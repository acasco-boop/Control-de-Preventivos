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 activeTab="1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26'!$A$1:$S$1446</definedName>
  </definedNames>
  <calcPr calcId="162913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88" i="1" l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 l="1"/>
  <c r="F752" i="1"/>
  <c r="F751" i="1"/>
  <c r="F750" i="1" l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 l="1"/>
  <c r="F730" i="1"/>
  <c r="F729" i="1"/>
  <c r="F728" i="1"/>
  <c r="F727" i="1"/>
  <c r="F726" i="1"/>
  <c r="F725" i="1"/>
  <c r="F724" i="1"/>
  <c r="F723" i="1"/>
  <c r="F722" i="1" l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 l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S638" i="1" l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638" i="1" l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S2" i="1" l="1"/>
  <c r="F612" i="1" l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 l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<sst xmlns="http://schemas.openxmlformats.org/spreadsheetml/2006/main" count="8163" uniqueCount="340">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</sst>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77.439354513888" createdVersion="6" refreshedVersion="6" minRefreshableVersion="3" recordCount="1445">
  <cacheSource type="worksheet">
    <worksheetSource ref="A1:S1446" sheet="Preventivos Realizados List 26"/>
  </cacheSource>
  <cacheFields count="19">
    <cacheField name="Nro. orden" numFmtId="0">
      <sharedItems containsString="0" containsBlank="1" containsNumber="1" containsInteger="1" minValue="26992" maxValue="41401"/>
    </cacheField>
    <cacheField name="Tipo de orden" numFmtId="0">
      <sharedItems containsBlank="1"/>
    </cacheField>
    <cacheField name="Estado" numFmtId="0">
      <sharedItems containsBlank="1"/>
    </cacheField>
    <cacheField name="Contabilizada" numFmtId="0">
      <sharedItems containsBlank="1"/>
    </cacheField>
    <cacheField name="Cód. plan" numFmtId="0">
      <sharedItems containsBlank="1"/>
    </cacheField>
    <cacheField name="Plan" numFmtId="0">
      <sharedItems containsBlank="1" count="18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  <m/>
      </sharedItems>
    </cacheField>
    <cacheField name="Fecha de creacion" numFmtId="0">
      <sharedItems containsNonDate="0" containsDate="1" containsString="0" containsBlank="1" minDate="2026-01-02T00:00:00" maxDate="2026-09-12T00:00:00"/>
    </cacheField>
    <cacheField name="Tiempo de creacion" numFmtId="0">
      <sharedItems containsNonDate="0" containsDate="1" containsString="0" containsBlank="1" minDate="1899-12-30T07:03:00" maxDate="1899-12-30T21:06:00"/>
    </cacheField>
    <cacheField name="Fecha de la orden" numFmtId="0">
      <sharedItems containsNonDate="0" containsDate="1" containsString="0" containsBlank="1" minDate="2026-01-02T00:00:00" maxDate="2026-09-12T00:00:00" count="143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  <m/>
      </sharedItems>
    </cacheField>
    <cacheField name="Fecha estimada de cierre" numFmtId="0">
      <sharedItems containsNonDate="0" containsDate="1" containsString="0" containsBlank="1" minDate="2026-01-02T00:00:00" maxDate="2026-09-12T00:00:00"/>
    </cacheField>
    <cacheField name="Fecha de cierre" numFmtId="0">
      <sharedItems containsNonDate="0" containsDate="1" containsString="0" containsBlank="1" minDate="2026-01-02T00:00:00" maxDate="2026-09-12T00:00:00"/>
    </cacheField>
    <cacheField name="Código de equipo" numFmtId="0">
      <sharedItems containsBlank="1" count="204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  <m/>
      </sharedItems>
    </cacheField>
    <cacheField name="Nombre equipo" numFmtId="0">
      <sharedItems containsBlank="1" containsMixedTypes="1" containsNumber="1" containsInteger="1" minValue="710" maxValue="1634"/>
    </cacheField>
    <cacheField name="Taller" numFmtId="0">
      <sharedItems containsBlank="1" count="5">
        <s v="BSAS"/>
        <s v="SRAF"/>
        <s v="MNZA"/>
        <s v="CIUD"/>
        <m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530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9021"/>
    </cacheField>
    <cacheField name="CC Grupo" numFmtId="0">
      <sharedItems containsBlank="1" count="35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4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755"/>
    <s v="Preventivo"/>
    <s v="Cerrada"/>
    <s v="Si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6"/>
    <s v="Preventivo"/>
    <s v="Cerrada"/>
    <s v="Si"/>
    <s v="3MU"/>
    <x v="9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7"/>
    <s v="Preventivo"/>
    <s v="Cerrada"/>
    <s v="Si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804"/>
    <s v="Preventivo"/>
    <s v="Cerrada"/>
    <s v="Si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5"/>
    <s v="Preventivo"/>
    <s v="Cerrada"/>
    <s v="Si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6"/>
    <s v="Preventivo"/>
    <s v="Cerrada"/>
    <s v="Si"/>
    <s v="6MC"/>
    <x v="2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4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10"/>
    <s v="Preventivo"/>
    <s v="Cerrada"/>
    <s v="Si"/>
    <s v="6ML"/>
    <x v="5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1027"/>
    <s v="Preventivo"/>
    <s v="Cerrada"/>
    <s v="Si"/>
    <s v="2ML 1"/>
    <x v="3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8"/>
    <s v="Preventivo"/>
    <s v="Cerrada"/>
    <s v="Si"/>
    <s v="3ML 1"/>
    <x v="4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9"/>
    <s v="Preventivo"/>
    <s v="Cerrada"/>
    <s v="Si"/>
    <s v="6ML 1"/>
    <x v="5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30"/>
    <s v="Preventivo"/>
    <s v="Cerrada"/>
    <s v="Si"/>
    <s v="2ML"/>
    <x v="3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1"/>
    <s v="Preventivo"/>
    <s v="Cerrada"/>
    <s v="Si"/>
    <s v="3ML"/>
    <x v="4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2"/>
    <s v="Preventivo"/>
    <s v="Cerrada"/>
    <s v="Si"/>
    <s v="6ML"/>
    <x v="5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60"/>
    <s v="Preventivo"/>
    <s v="Liberada"/>
    <s v="No"/>
    <s v="2ML"/>
    <x v="3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4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5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0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2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0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2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0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2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3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4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5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3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4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5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0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2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71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8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04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5">
        <item x="0"/>
        <item x="3"/>
        <item x="2"/>
        <item x="1"/>
        <item x="4"/>
      </items>
    </pivotField>
    <pivotField showAll="0"/>
    <pivotField showAll="0"/>
    <pivotField showAll="0"/>
    <pivotField showAll="0"/>
    <pivotField axis="axisRow" outline="0" showAll="0" defaultSubtotal="0">
      <items count="35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  <item x="34"/>
      </items>
    </pivotField>
  </pivotFields>
  <rowFields count="5">
    <field x="11"/>
    <field x="8"/>
    <field x="5"/>
    <field x="18"/>
    <field x="13"/>
  </rowFields>
  <rowItems count="270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 r="1">
      <x v="137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 r="1">
      <x v="137"/>
      <x v="1"/>
      <x v="5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 r="1">
      <x v="140"/>
      <x v="1"/>
      <x v="9"/>
      <x v="1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 r="1">
      <x v="140"/>
      <x v="1"/>
      <x v="9"/>
      <x v="1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 r="1">
      <x v="139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>
      <x v="199"/>
      <x v="137"/>
      <x v="1"/>
      <x v="33"/>
      <x v="1"/>
    </i>
    <i>
      <x v="200"/>
      <x v="138"/>
      <x/>
      <x v="1"/>
      <x v="1"/>
    </i>
    <i>
      <x v="201"/>
      <x v="138"/>
      <x/>
      <x v="2"/>
      <x v="1"/>
    </i>
    <i>
      <x v="202"/>
      <x v="141"/>
      <x/>
      <x v="2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1"/>
  <sheetViews>
    <sheetView workbookViewId="0">
      <selection activeCell="B1" sqref="B1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48</v>
      </c>
      <c r="B6" s="3">
        <v>46272</v>
      </c>
      <c r="C6" s="2" t="s">
        <v>35</v>
      </c>
      <c r="D6" s="2" t="s">
        <v>38</v>
      </c>
      <c r="E6" s="2" t="s">
        <v>208</v>
      </c>
    </row>
    <row r="7" spans="1:5" x14ac:dyDescent="0.3">
      <c r="A7" s="2" t="s">
        <v>64</v>
      </c>
      <c r="B7" s="3">
        <v>46027</v>
      </c>
      <c r="C7" s="2" t="s">
        <v>35</v>
      </c>
      <c r="D7" s="2" t="s">
        <v>38</v>
      </c>
      <c r="E7" s="2" t="s">
        <v>21</v>
      </c>
    </row>
    <row r="8" spans="1:5" x14ac:dyDescent="0.3">
      <c r="A8" s="2" t="s">
        <v>64</v>
      </c>
      <c r="B8" s="3">
        <v>46209</v>
      </c>
      <c r="C8" s="2" t="s">
        <v>35</v>
      </c>
      <c r="D8" s="2" t="s">
        <v>38</v>
      </c>
      <c r="E8" s="2" t="s">
        <v>208</v>
      </c>
    </row>
    <row r="9" spans="1:5" x14ac:dyDescent="0.3">
      <c r="A9" s="2" t="s">
        <v>104</v>
      </c>
      <c r="B9" s="3">
        <v>46030</v>
      </c>
      <c r="C9" s="2" t="s">
        <v>35</v>
      </c>
      <c r="D9" s="2" t="s">
        <v>38</v>
      </c>
      <c r="E9" s="2" t="s">
        <v>21</v>
      </c>
    </row>
    <row r="10" spans="1:5" x14ac:dyDescent="0.3">
      <c r="A10" s="2" t="s">
        <v>104</v>
      </c>
      <c r="B10" s="3">
        <v>46200</v>
      </c>
      <c r="C10" s="2" t="s">
        <v>35</v>
      </c>
      <c r="D10" s="2" t="s">
        <v>38</v>
      </c>
      <c r="E10" s="2" t="s">
        <v>208</v>
      </c>
    </row>
    <row r="11" spans="1:5" x14ac:dyDescent="0.3">
      <c r="A11" s="2" t="s">
        <v>36</v>
      </c>
      <c r="B11" s="3">
        <v>46036</v>
      </c>
      <c r="C11" s="2" t="s">
        <v>51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46129</v>
      </c>
      <c r="C12" s="2" t="s">
        <v>35</v>
      </c>
      <c r="D12" s="2" t="s">
        <v>38</v>
      </c>
      <c r="E12" s="2" t="s">
        <v>21</v>
      </c>
    </row>
    <row r="13" spans="1:5" x14ac:dyDescent="0.3">
      <c r="A13" s="2" t="s">
        <v>36</v>
      </c>
      <c r="B13" s="3">
        <v>46254</v>
      </c>
      <c r="C13" s="2" t="s">
        <v>35</v>
      </c>
      <c r="D13" s="2" t="s">
        <v>38</v>
      </c>
      <c r="E13" s="2" t="s">
        <v>208</v>
      </c>
    </row>
    <row r="14" spans="1:5" x14ac:dyDescent="0.3">
      <c r="A14" s="2" t="s">
        <v>69</v>
      </c>
      <c r="B14" s="3">
        <v>46051</v>
      </c>
      <c r="C14" s="2" t="s">
        <v>35</v>
      </c>
      <c r="D14" s="2" t="s">
        <v>38</v>
      </c>
      <c r="E14" s="2" t="s">
        <v>21</v>
      </c>
    </row>
    <row r="15" spans="1:5" x14ac:dyDescent="0.3">
      <c r="A15" s="2" t="s">
        <v>69</v>
      </c>
      <c r="B15" s="3">
        <v>46204</v>
      </c>
      <c r="C15" s="2" t="s">
        <v>35</v>
      </c>
      <c r="D15" s="2" t="s">
        <v>38</v>
      </c>
      <c r="E15" s="2" t="s">
        <v>208</v>
      </c>
    </row>
    <row r="16" spans="1:5" x14ac:dyDescent="0.3">
      <c r="A16" s="2" t="s">
        <v>70</v>
      </c>
      <c r="B16" s="3">
        <v>46029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46126</v>
      </c>
      <c r="C17" s="2" t="s">
        <v>35</v>
      </c>
      <c r="D17" s="2" t="s">
        <v>38</v>
      </c>
      <c r="E17" s="2" t="s">
        <v>21</v>
      </c>
    </row>
    <row r="18" spans="1:5" x14ac:dyDescent="0.3">
      <c r="A18" s="2" t="s">
        <v>70</v>
      </c>
      <c r="B18" s="3">
        <v>46248</v>
      </c>
      <c r="C18" s="2" t="s">
        <v>35</v>
      </c>
      <c r="D18" s="2" t="s">
        <v>38</v>
      </c>
      <c r="E18" s="2" t="s">
        <v>208</v>
      </c>
    </row>
    <row r="19" spans="1:5" x14ac:dyDescent="0.3">
      <c r="A19" s="2" t="s">
        <v>92</v>
      </c>
      <c r="B19" s="3">
        <v>46041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46127</v>
      </c>
      <c r="C20" s="2" t="s">
        <v>35</v>
      </c>
      <c r="D20" s="2" t="s">
        <v>38</v>
      </c>
      <c r="E20" s="2" t="s">
        <v>21</v>
      </c>
    </row>
    <row r="21" spans="1:5" x14ac:dyDescent="0.3">
      <c r="A21" s="2" t="s">
        <v>92</v>
      </c>
      <c r="B21" s="3">
        <v>46248</v>
      </c>
      <c r="C21" s="2" t="s">
        <v>35</v>
      </c>
      <c r="D21" s="2" t="s">
        <v>38</v>
      </c>
      <c r="E21" s="2" t="s">
        <v>208</v>
      </c>
    </row>
    <row r="22" spans="1:5" x14ac:dyDescent="0.3">
      <c r="A22" s="2" t="s">
        <v>54</v>
      </c>
      <c r="B22" s="3">
        <v>46028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46123</v>
      </c>
      <c r="C23" s="2" t="s">
        <v>35</v>
      </c>
      <c r="D23" s="2" t="s">
        <v>38</v>
      </c>
      <c r="E23" s="2" t="s">
        <v>21</v>
      </c>
    </row>
    <row r="24" spans="1:5" x14ac:dyDescent="0.3">
      <c r="A24" s="2" t="s">
        <v>54</v>
      </c>
      <c r="B24" s="3">
        <v>46247</v>
      </c>
      <c r="C24" s="2" t="s">
        <v>35</v>
      </c>
      <c r="D24" s="2" t="s">
        <v>38</v>
      </c>
      <c r="E24" s="2" t="s">
        <v>208</v>
      </c>
    </row>
    <row r="25" spans="1:5" x14ac:dyDescent="0.3">
      <c r="A25" s="2" t="s">
        <v>75</v>
      </c>
      <c r="B25" s="3">
        <v>46032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46102</v>
      </c>
      <c r="C26" s="2" t="s">
        <v>35</v>
      </c>
      <c r="D26" s="2" t="s">
        <v>38</v>
      </c>
      <c r="E26" s="2" t="s">
        <v>21</v>
      </c>
    </row>
    <row r="27" spans="1:5" x14ac:dyDescent="0.3">
      <c r="A27" s="2" t="s">
        <v>75</v>
      </c>
      <c r="B27" s="3">
        <v>46254</v>
      </c>
      <c r="C27" s="2" t="s">
        <v>35</v>
      </c>
      <c r="D27" s="2" t="s">
        <v>38</v>
      </c>
      <c r="E27" s="2" t="s">
        <v>208</v>
      </c>
    </row>
    <row r="28" spans="1:5" x14ac:dyDescent="0.3">
      <c r="A28" s="2" t="s">
        <v>76</v>
      </c>
      <c r="B28" s="3">
        <v>46050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46132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76</v>
      </c>
      <c r="B30" s="3">
        <v>46195</v>
      </c>
      <c r="C30" s="2" t="s">
        <v>35</v>
      </c>
      <c r="D30" s="2" t="s">
        <v>298</v>
      </c>
      <c r="E30" s="2" t="s">
        <v>17</v>
      </c>
    </row>
    <row r="31" spans="1:5" x14ac:dyDescent="0.3">
      <c r="A31" s="2" t="s">
        <v>76</v>
      </c>
      <c r="B31" s="3">
        <v>46272</v>
      </c>
      <c r="C31" s="2" t="s">
        <v>35</v>
      </c>
      <c r="D31" s="2" t="s">
        <v>307</v>
      </c>
      <c r="E31" s="2" t="s">
        <v>17</v>
      </c>
    </row>
    <row r="32" spans="1:5" x14ac:dyDescent="0.3">
      <c r="A32" s="2" t="s">
        <v>73</v>
      </c>
      <c r="B32" s="3">
        <v>46044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73</v>
      </c>
      <c r="B33" s="3">
        <v>46139</v>
      </c>
      <c r="C33" s="2" t="s">
        <v>35</v>
      </c>
      <c r="D33" s="2" t="s">
        <v>26</v>
      </c>
      <c r="E33" s="2" t="s">
        <v>17</v>
      </c>
    </row>
    <row r="34" spans="1:5" x14ac:dyDescent="0.3">
      <c r="A34" s="2" t="s">
        <v>73</v>
      </c>
      <c r="B34" s="3">
        <v>46232</v>
      </c>
      <c r="C34" s="2" t="s">
        <v>35</v>
      </c>
      <c r="D34" s="2" t="s">
        <v>26</v>
      </c>
      <c r="E34" s="2" t="s">
        <v>17</v>
      </c>
    </row>
    <row r="35" spans="1:5" x14ac:dyDescent="0.3">
      <c r="A35" s="2" t="s">
        <v>61</v>
      </c>
      <c r="B35" s="3">
        <v>46029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61</v>
      </c>
      <c r="B36" s="3">
        <v>46146</v>
      </c>
      <c r="C36" s="2" t="s">
        <v>35</v>
      </c>
      <c r="D36" s="2" t="s">
        <v>26</v>
      </c>
      <c r="E36" s="2" t="s">
        <v>31</v>
      </c>
    </row>
    <row r="37" spans="1:5" x14ac:dyDescent="0.3">
      <c r="A37" s="2" t="s">
        <v>61</v>
      </c>
      <c r="B37" s="3">
        <v>46224</v>
      </c>
      <c r="C37" s="2" t="s">
        <v>35</v>
      </c>
      <c r="D37" s="2" t="s">
        <v>26</v>
      </c>
      <c r="E37" s="2" t="s">
        <v>31</v>
      </c>
    </row>
    <row r="38" spans="1:5" x14ac:dyDescent="0.3">
      <c r="A38" s="2" t="s">
        <v>102</v>
      </c>
      <c r="B38" s="3">
        <v>46057</v>
      </c>
      <c r="C38" s="2" t="s">
        <v>108</v>
      </c>
      <c r="D38" s="2" t="s">
        <v>45</v>
      </c>
      <c r="E38" s="2" t="s">
        <v>17</v>
      </c>
    </row>
    <row r="39" spans="1:5" x14ac:dyDescent="0.3">
      <c r="A39" s="2" t="s">
        <v>102</v>
      </c>
      <c r="B39" s="3">
        <v>46234</v>
      </c>
      <c r="C39" s="2" t="s">
        <v>108</v>
      </c>
      <c r="D39" s="2" t="s">
        <v>45</v>
      </c>
      <c r="E39" s="2" t="s">
        <v>17</v>
      </c>
    </row>
    <row r="40" spans="1:5" x14ac:dyDescent="0.3">
      <c r="A40" s="2" t="s">
        <v>81</v>
      </c>
      <c r="B40" s="3">
        <v>46037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89</v>
      </c>
      <c r="B41" s="3">
        <v>46024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90</v>
      </c>
      <c r="B42" s="3">
        <v>46029</v>
      </c>
      <c r="C42" s="2" t="s">
        <v>51</v>
      </c>
      <c r="D42" s="2" t="s">
        <v>22</v>
      </c>
      <c r="E42" s="2" t="s">
        <v>21</v>
      </c>
    </row>
    <row r="43" spans="1:5" x14ac:dyDescent="0.3">
      <c r="A43" s="2" t="s">
        <v>90</v>
      </c>
      <c r="B43" s="3">
        <v>46065</v>
      </c>
      <c r="C43" s="2" t="s">
        <v>51</v>
      </c>
      <c r="D43" s="2" t="s">
        <v>22</v>
      </c>
      <c r="E43" s="2" t="s">
        <v>21</v>
      </c>
    </row>
    <row r="44" spans="1:5" x14ac:dyDescent="0.3">
      <c r="A44" s="2" t="s">
        <v>91</v>
      </c>
      <c r="B44" s="3">
        <v>46042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91</v>
      </c>
      <c r="B45" s="3">
        <v>46175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67</v>
      </c>
      <c r="B46" s="3">
        <v>46046</v>
      </c>
      <c r="C46" s="2" t="s">
        <v>35</v>
      </c>
      <c r="D46" s="2" t="s">
        <v>38</v>
      </c>
      <c r="E46" s="2" t="s">
        <v>21</v>
      </c>
    </row>
    <row r="47" spans="1:5" x14ac:dyDescent="0.3">
      <c r="A47" s="2" t="s">
        <v>67</v>
      </c>
      <c r="B47" s="3">
        <v>46161</v>
      </c>
      <c r="C47" s="2" t="s">
        <v>35</v>
      </c>
      <c r="D47" s="2" t="s">
        <v>38</v>
      </c>
      <c r="E47" s="2" t="s">
        <v>208</v>
      </c>
    </row>
    <row r="48" spans="1:5" x14ac:dyDescent="0.3">
      <c r="A48" s="2" t="s">
        <v>77</v>
      </c>
      <c r="B48" s="3">
        <v>46031</v>
      </c>
      <c r="C48" s="2" t="s">
        <v>51</v>
      </c>
      <c r="D48" s="2" t="s">
        <v>22</v>
      </c>
      <c r="E48" s="2" t="s">
        <v>21</v>
      </c>
    </row>
    <row r="49" spans="1:5" x14ac:dyDescent="0.3">
      <c r="A49" s="2" t="s">
        <v>106</v>
      </c>
      <c r="B49" s="3">
        <v>46024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94</v>
      </c>
      <c r="B50" s="3">
        <v>46066</v>
      </c>
      <c r="C50" s="2" t="s">
        <v>108</v>
      </c>
      <c r="D50" s="2" t="s">
        <v>299</v>
      </c>
      <c r="E50" s="2" t="s">
        <v>21</v>
      </c>
    </row>
    <row r="51" spans="1:5" x14ac:dyDescent="0.3">
      <c r="A51" s="2" t="s">
        <v>105</v>
      </c>
      <c r="B51" s="3">
        <v>46052</v>
      </c>
      <c r="C51" s="2" t="s">
        <v>51</v>
      </c>
      <c r="D51" s="2" t="s">
        <v>22</v>
      </c>
      <c r="E51" s="2" t="s">
        <v>21</v>
      </c>
    </row>
    <row r="52" spans="1:5" x14ac:dyDescent="0.3">
      <c r="A52" s="2" t="s">
        <v>59</v>
      </c>
      <c r="B52" s="3">
        <v>46052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98</v>
      </c>
      <c r="B53" s="3">
        <v>46034</v>
      </c>
      <c r="C53" s="2" t="s">
        <v>51</v>
      </c>
      <c r="D53" s="2" t="s">
        <v>40</v>
      </c>
      <c r="E53" s="2" t="s">
        <v>17</v>
      </c>
    </row>
    <row r="54" spans="1:5" x14ac:dyDescent="0.3">
      <c r="A54" s="2" t="s">
        <v>87</v>
      </c>
      <c r="B54" s="3">
        <v>46034</v>
      </c>
      <c r="C54" s="2" t="s">
        <v>51</v>
      </c>
      <c r="D54" s="2" t="s">
        <v>22</v>
      </c>
      <c r="E54" s="2" t="s">
        <v>21</v>
      </c>
    </row>
    <row r="55" spans="1:5" x14ac:dyDescent="0.3">
      <c r="A55" s="2" t="s">
        <v>99</v>
      </c>
      <c r="B55" s="3">
        <v>46029</v>
      </c>
      <c r="C55" s="2" t="s">
        <v>51</v>
      </c>
      <c r="D55" s="2" t="s">
        <v>22</v>
      </c>
      <c r="E55" s="2" t="s">
        <v>21</v>
      </c>
    </row>
    <row r="56" spans="1:5" x14ac:dyDescent="0.3">
      <c r="A56" s="2" t="s">
        <v>79</v>
      </c>
      <c r="B56" s="3">
        <v>46029</v>
      </c>
      <c r="C56" s="2" t="s">
        <v>35</v>
      </c>
      <c r="D56" s="2" t="s">
        <v>298</v>
      </c>
      <c r="E56" s="2" t="s">
        <v>17</v>
      </c>
    </row>
    <row r="57" spans="1:5" x14ac:dyDescent="0.3">
      <c r="A57" s="2" t="s">
        <v>79</v>
      </c>
      <c r="B57" s="3">
        <v>46162</v>
      </c>
      <c r="C57" s="2" t="s">
        <v>35</v>
      </c>
      <c r="D57" s="2" t="s">
        <v>298</v>
      </c>
      <c r="E57" s="2" t="s">
        <v>17</v>
      </c>
    </row>
    <row r="58" spans="1:5" x14ac:dyDescent="0.3">
      <c r="A58" s="2" t="s">
        <v>79</v>
      </c>
      <c r="B58" s="3">
        <v>46267</v>
      </c>
      <c r="C58" s="2" t="s">
        <v>35</v>
      </c>
      <c r="D58" s="2" t="s">
        <v>307</v>
      </c>
      <c r="E58" s="2" t="s">
        <v>17</v>
      </c>
    </row>
    <row r="59" spans="1:5" x14ac:dyDescent="0.3">
      <c r="A59" s="2" t="s">
        <v>55</v>
      </c>
      <c r="B59" s="3">
        <v>46053</v>
      </c>
      <c r="C59" s="2" t="s">
        <v>35</v>
      </c>
      <c r="D59" s="2" t="s">
        <v>26</v>
      </c>
      <c r="E59" s="2" t="s">
        <v>17</v>
      </c>
    </row>
    <row r="60" spans="1:5" x14ac:dyDescent="0.3">
      <c r="A60" s="2" t="s">
        <v>55</v>
      </c>
      <c r="B60" s="3">
        <v>46128</v>
      </c>
      <c r="C60" s="2" t="s">
        <v>35</v>
      </c>
      <c r="D60" s="2" t="s">
        <v>26</v>
      </c>
      <c r="E60" s="2" t="s">
        <v>21</v>
      </c>
    </row>
    <row r="61" spans="1:5" x14ac:dyDescent="0.3">
      <c r="A61" s="2" t="s">
        <v>55</v>
      </c>
      <c r="B61" s="3">
        <v>46220</v>
      </c>
      <c r="C61" s="2" t="s">
        <v>35</v>
      </c>
      <c r="D61" s="2" t="s">
        <v>26</v>
      </c>
      <c r="E61" s="2" t="s">
        <v>208</v>
      </c>
    </row>
    <row r="62" spans="1:5" x14ac:dyDescent="0.3">
      <c r="A62" s="2" t="s">
        <v>60</v>
      </c>
      <c r="B62" s="3">
        <v>46048</v>
      </c>
      <c r="C62" s="2" t="s">
        <v>51</v>
      </c>
      <c r="D62" s="2" t="s">
        <v>300</v>
      </c>
      <c r="E62" s="2" t="s">
        <v>21</v>
      </c>
    </row>
    <row r="63" spans="1:5" x14ac:dyDescent="0.3">
      <c r="A63" s="2" t="s">
        <v>80</v>
      </c>
      <c r="B63" s="3">
        <v>46044</v>
      </c>
      <c r="C63" s="2" t="s">
        <v>51</v>
      </c>
      <c r="D63" s="2" t="s">
        <v>40</v>
      </c>
      <c r="E63" s="2" t="s">
        <v>17</v>
      </c>
    </row>
    <row r="64" spans="1:5" x14ac:dyDescent="0.3">
      <c r="A64" s="2" t="s">
        <v>80</v>
      </c>
      <c r="B64" s="3">
        <v>46241</v>
      </c>
      <c r="C64" s="2" t="s">
        <v>35</v>
      </c>
      <c r="D64" s="2" t="s">
        <v>40</v>
      </c>
      <c r="E64" s="2" t="s">
        <v>17</v>
      </c>
    </row>
    <row r="65" spans="1:5" x14ac:dyDescent="0.3">
      <c r="A65" s="2" t="s">
        <v>97</v>
      </c>
      <c r="B65" s="3">
        <v>46071</v>
      </c>
      <c r="C65" s="2" t="s">
        <v>51</v>
      </c>
      <c r="D65" s="2" t="s">
        <v>71</v>
      </c>
      <c r="E65" s="2" t="s">
        <v>21</v>
      </c>
    </row>
    <row r="66" spans="1:5" x14ac:dyDescent="0.3">
      <c r="A66" s="2" t="s">
        <v>97</v>
      </c>
      <c r="B66" s="3">
        <v>46247</v>
      </c>
      <c r="C66" s="2" t="s">
        <v>51</v>
      </c>
      <c r="D66" s="2" t="s">
        <v>324</v>
      </c>
      <c r="E66" s="2" t="s">
        <v>208</v>
      </c>
    </row>
    <row r="67" spans="1:5" x14ac:dyDescent="0.3">
      <c r="A67" s="2" t="s">
        <v>41</v>
      </c>
      <c r="B67" s="3">
        <v>46064</v>
      </c>
      <c r="C67" s="2" t="s">
        <v>51</v>
      </c>
      <c r="D67" s="2" t="s">
        <v>40</v>
      </c>
      <c r="E67" s="2" t="s">
        <v>17</v>
      </c>
    </row>
    <row r="68" spans="1:5" x14ac:dyDescent="0.3">
      <c r="A68" s="2" t="s">
        <v>41</v>
      </c>
      <c r="B68" s="3">
        <v>46171</v>
      </c>
      <c r="C68" s="2" t="s">
        <v>51</v>
      </c>
      <c r="D68" s="2" t="s">
        <v>40</v>
      </c>
      <c r="E68" s="2" t="s">
        <v>17</v>
      </c>
    </row>
    <row r="69" spans="1:5" x14ac:dyDescent="0.3">
      <c r="A69" s="2" t="s">
        <v>57</v>
      </c>
      <c r="B69" s="3">
        <v>46059</v>
      </c>
      <c r="C69" s="2" t="s">
        <v>35</v>
      </c>
      <c r="D69" s="2" t="s">
        <v>26</v>
      </c>
      <c r="E69" s="2" t="s">
        <v>31</v>
      </c>
    </row>
    <row r="70" spans="1:5" x14ac:dyDescent="0.3">
      <c r="A70" s="2" t="s">
        <v>57</v>
      </c>
      <c r="B70" s="3">
        <v>46168</v>
      </c>
      <c r="C70" s="2" t="s">
        <v>35</v>
      </c>
      <c r="D70" s="2" t="s">
        <v>26</v>
      </c>
      <c r="E70" s="2" t="s">
        <v>31</v>
      </c>
    </row>
    <row r="71" spans="1:5" x14ac:dyDescent="0.3">
      <c r="A71" s="2" t="s">
        <v>83</v>
      </c>
      <c r="B71" s="3">
        <v>46028</v>
      </c>
      <c r="C71" s="2" t="s">
        <v>51</v>
      </c>
      <c r="D71" s="2" t="s">
        <v>301</v>
      </c>
      <c r="E71" s="2" t="s">
        <v>21</v>
      </c>
    </row>
    <row r="72" spans="1:5" x14ac:dyDescent="0.3">
      <c r="A72" s="2" t="s">
        <v>72</v>
      </c>
      <c r="B72" s="3">
        <v>46034</v>
      </c>
      <c r="C72" s="2" t="s">
        <v>51</v>
      </c>
      <c r="D72" s="2" t="s">
        <v>302</v>
      </c>
      <c r="E72" s="2" t="s">
        <v>21</v>
      </c>
    </row>
    <row r="73" spans="1:5" x14ac:dyDescent="0.3">
      <c r="A73" s="2" t="s">
        <v>100</v>
      </c>
      <c r="B73" s="3">
        <v>46037</v>
      </c>
      <c r="C73" s="2" t="s">
        <v>51</v>
      </c>
      <c r="D73" s="2" t="s">
        <v>301</v>
      </c>
      <c r="E73" s="2" t="s">
        <v>21</v>
      </c>
    </row>
    <row r="74" spans="1:5" x14ac:dyDescent="0.3">
      <c r="A74" s="2" t="s">
        <v>100</v>
      </c>
      <c r="B74" s="3">
        <v>46066</v>
      </c>
      <c r="C74" s="2" t="s">
        <v>51</v>
      </c>
      <c r="D74" s="2" t="s">
        <v>301</v>
      </c>
      <c r="E74" s="2" t="s">
        <v>21</v>
      </c>
    </row>
    <row r="75" spans="1:5" x14ac:dyDescent="0.3">
      <c r="A75" s="2" t="s">
        <v>93</v>
      </c>
      <c r="B75" s="3">
        <v>46050</v>
      </c>
      <c r="C75" s="2" t="s">
        <v>51</v>
      </c>
      <c r="D75" s="2" t="s">
        <v>302</v>
      </c>
      <c r="E75" s="2" t="s">
        <v>21</v>
      </c>
    </row>
    <row r="76" spans="1:5" x14ac:dyDescent="0.3">
      <c r="A76" s="2" t="s">
        <v>74</v>
      </c>
      <c r="B76" s="3">
        <v>46038</v>
      </c>
      <c r="C76" s="2" t="s">
        <v>51</v>
      </c>
      <c r="D76" s="2" t="s">
        <v>22</v>
      </c>
      <c r="E76" s="2" t="s">
        <v>21</v>
      </c>
    </row>
    <row r="77" spans="1:5" x14ac:dyDescent="0.3">
      <c r="A77" s="2" t="s">
        <v>101</v>
      </c>
      <c r="B77" s="3">
        <v>46055</v>
      </c>
      <c r="C77" s="2" t="s">
        <v>35</v>
      </c>
      <c r="D77" s="2" t="s">
        <v>38</v>
      </c>
      <c r="E77" s="2" t="s">
        <v>21</v>
      </c>
    </row>
    <row r="78" spans="1:5" x14ac:dyDescent="0.3">
      <c r="A78" s="2" t="s">
        <v>101</v>
      </c>
      <c r="B78" s="3">
        <v>46177</v>
      </c>
      <c r="C78" s="2" t="s">
        <v>35</v>
      </c>
      <c r="D78" s="2" t="s">
        <v>38</v>
      </c>
      <c r="E78" s="2" t="s">
        <v>208</v>
      </c>
    </row>
    <row r="79" spans="1:5" x14ac:dyDescent="0.3">
      <c r="A79" s="2" t="s">
        <v>63</v>
      </c>
      <c r="B79" s="3">
        <v>46050</v>
      </c>
      <c r="C79" s="2" t="s">
        <v>35</v>
      </c>
      <c r="D79" s="2" t="s">
        <v>26</v>
      </c>
      <c r="E79" s="2" t="s">
        <v>31</v>
      </c>
    </row>
    <row r="80" spans="1:5" x14ac:dyDescent="0.3">
      <c r="A80" s="2" t="s">
        <v>43</v>
      </c>
      <c r="B80" s="3">
        <v>46036</v>
      </c>
      <c r="C80" s="2" t="s">
        <v>35</v>
      </c>
      <c r="D80" s="2" t="s">
        <v>26</v>
      </c>
      <c r="E80" s="2" t="s">
        <v>21</v>
      </c>
    </row>
    <row r="81" spans="1:5" x14ac:dyDescent="0.3">
      <c r="A81" s="2" t="s">
        <v>43</v>
      </c>
      <c r="B81" s="3">
        <v>46158</v>
      </c>
      <c r="C81" s="2" t="s">
        <v>35</v>
      </c>
      <c r="D81" s="2" t="s">
        <v>26</v>
      </c>
      <c r="E81" s="2" t="s">
        <v>17</v>
      </c>
    </row>
    <row r="82" spans="1:5" x14ac:dyDescent="0.3">
      <c r="A82" s="2" t="s">
        <v>42</v>
      </c>
      <c r="B82" s="3">
        <v>46051</v>
      </c>
      <c r="C82" s="2" t="s">
        <v>51</v>
      </c>
      <c r="D82" s="2" t="s">
        <v>22</v>
      </c>
      <c r="E82" s="2" t="s">
        <v>21</v>
      </c>
    </row>
    <row r="83" spans="1:5" x14ac:dyDescent="0.3">
      <c r="A83" s="2" t="s">
        <v>32</v>
      </c>
      <c r="B83" s="3">
        <v>46031</v>
      </c>
      <c r="C83" s="2" t="s">
        <v>108</v>
      </c>
      <c r="D83" s="2" t="s">
        <v>34</v>
      </c>
      <c r="E83" s="2" t="s">
        <v>17</v>
      </c>
    </row>
    <row r="84" spans="1:5" x14ac:dyDescent="0.3">
      <c r="A84" s="2" t="s">
        <v>56</v>
      </c>
      <c r="B84" s="3">
        <v>46049</v>
      </c>
      <c r="C84" s="2" t="s">
        <v>35</v>
      </c>
      <c r="D84" s="2" t="s">
        <v>26</v>
      </c>
      <c r="E84" s="2" t="s">
        <v>31</v>
      </c>
    </row>
    <row r="85" spans="1:5" x14ac:dyDescent="0.3">
      <c r="A85" s="2" t="s">
        <v>56</v>
      </c>
      <c r="B85" s="3">
        <v>46140</v>
      </c>
      <c r="C85" s="2" t="s">
        <v>35</v>
      </c>
      <c r="D85" s="2" t="s">
        <v>26</v>
      </c>
      <c r="E85" s="2" t="s">
        <v>31</v>
      </c>
    </row>
    <row r="86" spans="1:5" x14ac:dyDescent="0.3">
      <c r="A86" s="2" t="s">
        <v>56</v>
      </c>
      <c r="B86" s="3">
        <v>46216</v>
      </c>
      <c r="C86" s="2" t="s">
        <v>35</v>
      </c>
      <c r="D86" s="2" t="s">
        <v>26</v>
      </c>
      <c r="E86" s="2" t="s">
        <v>17</v>
      </c>
    </row>
    <row r="87" spans="1:5" x14ac:dyDescent="0.3">
      <c r="A87" s="2" t="s">
        <v>56</v>
      </c>
      <c r="B87" s="3">
        <v>46275</v>
      </c>
      <c r="C87" s="2" t="s">
        <v>35</v>
      </c>
      <c r="D87" s="2" t="s">
        <v>26</v>
      </c>
      <c r="E87" s="2" t="s">
        <v>208</v>
      </c>
    </row>
    <row r="88" spans="1:5" x14ac:dyDescent="0.3">
      <c r="A88" s="2" t="s">
        <v>65</v>
      </c>
      <c r="B88" s="3">
        <v>46043</v>
      </c>
      <c r="C88" s="2" t="s">
        <v>35</v>
      </c>
      <c r="D88" s="2" t="s">
        <v>26</v>
      </c>
      <c r="E88" s="2" t="s">
        <v>17</v>
      </c>
    </row>
    <row r="89" spans="1:5" x14ac:dyDescent="0.3">
      <c r="A89" s="2" t="s">
        <v>65</v>
      </c>
      <c r="B89" s="3">
        <v>46146</v>
      </c>
      <c r="C89" s="2" t="s">
        <v>35</v>
      </c>
      <c r="D89" s="2" t="s">
        <v>26</v>
      </c>
      <c r="E89" s="2" t="s">
        <v>17</v>
      </c>
    </row>
    <row r="90" spans="1:5" x14ac:dyDescent="0.3">
      <c r="A90" s="2" t="s">
        <v>65</v>
      </c>
      <c r="B90" s="3">
        <v>46226</v>
      </c>
      <c r="C90" s="2" t="s">
        <v>35</v>
      </c>
      <c r="D90" s="2" t="s">
        <v>26</v>
      </c>
      <c r="E90" s="2" t="s">
        <v>17</v>
      </c>
    </row>
    <row r="91" spans="1:5" x14ac:dyDescent="0.3">
      <c r="A91" s="2" t="s">
        <v>29</v>
      </c>
      <c r="B91" s="3">
        <v>46028</v>
      </c>
      <c r="C91" s="2" t="s">
        <v>35</v>
      </c>
      <c r="D91" s="2" t="s">
        <v>26</v>
      </c>
      <c r="E91" s="2" t="s">
        <v>31</v>
      </c>
    </row>
    <row r="92" spans="1:5" x14ac:dyDescent="0.3">
      <c r="A92" s="2" t="s">
        <v>29</v>
      </c>
      <c r="B92" s="3">
        <v>46118</v>
      </c>
      <c r="C92" s="2" t="s">
        <v>35</v>
      </c>
      <c r="D92" s="2" t="s">
        <v>26</v>
      </c>
      <c r="E92" s="2" t="s">
        <v>31</v>
      </c>
    </row>
    <row r="93" spans="1:5" x14ac:dyDescent="0.3">
      <c r="A93" s="2" t="s">
        <v>29</v>
      </c>
      <c r="B93" s="3">
        <v>46198</v>
      </c>
      <c r="C93" s="2" t="s">
        <v>35</v>
      </c>
      <c r="D93" s="2" t="s">
        <v>26</v>
      </c>
      <c r="E93" s="2" t="s">
        <v>31</v>
      </c>
    </row>
    <row r="94" spans="1:5" x14ac:dyDescent="0.3">
      <c r="A94" s="2" t="s">
        <v>58</v>
      </c>
      <c r="B94" s="3">
        <v>46050</v>
      </c>
      <c r="C94" s="2" t="s">
        <v>51</v>
      </c>
      <c r="D94" s="2" t="s">
        <v>301</v>
      </c>
      <c r="E94" s="2" t="s">
        <v>21</v>
      </c>
    </row>
    <row r="95" spans="1:5" x14ac:dyDescent="0.3">
      <c r="A95" s="2" t="s">
        <v>66</v>
      </c>
      <c r="B95" s="3">
        <v>46052</v>
      </c>
      <c r="C95" s="2" t="s">
        <v>51</v>
      </c>
      <c r="D95" s="2" t="s">
        <v>22</v>
      </c>
      <c r="E95" s="2" t="s">
        <v>21</v>
      </c>
    </row>
    <row r="96" spans="1:5" x14ac:dyDescent="0.3">
      <c r="A96" s="2" t="s">
        <v>66</v>
      </c>
      <c r="B96" s="3">
        <v>46065</v>
      </c>
      <c r="C96" s="2" t="s">
        <v>51</v>
      </c>
      <c r="D96" s="2" t="s">
        <v>22</v>
      </c>
      <c r="E96" s="2" t="s">
        <v>21</v>
      </c>
    </row>
    <row r="97" spans="1:5" x14ac:dyDescent="0.3">
      <c r="A97" s="2" t="s">
        <v>85</v>
      </c>
      <c r="B97" s="3">
        <v>46035</v>
      </c>
      <c r="C97" s="2" t="s">
        <v>51</v>
      </c>
      <c r="D97" s="2" t="s">
        <v>302</v>
      </c>
      <c r="E97" s="2" t="s">
        <v>21</v>
      </c>
    </row>
    <row r="98" spans="1:5" x14ac:dyDescent="0.3">
      <c r="A98" s="2" t="s">
        <v>145</v>
      </c>
      <c r="B98" s="3">
        <v>46076</v>
      </c>
      <c r="C98" s="2" t="s">
        <v>35</v>
      </c>
      <c r="D98" s="2" t="s">
        <v>298</v>
      </c>
      <c r="E98" s="2" t="s">
        <v>17</v>
      </c>
    </row>
    <row r="99" spans="1:5" x14ac:dyDescent="0.3">
      <c r="A99" s="2" t="s">
        <v>145</v>
      </c>
      <c r="B99" s="3">
        <v>46169</v>
      </c>
      <c r="C99" s="2" t="s">
        <v>35</v>
      </c>
      <c r="D99" s="2" t="s">
        <v>298</v>
      </c>
      <c r="E99" s="2" t="s">
        <v>17</v>
      </c>
    </row>
    <row r="100" spans="1:5" x14ac:dyDescent="0.3">
      <c r="A100" s="2" t="s">
        <v>145</v>
      </c>
      <c r="B100" s="3">
        <v>46244</v>
      </c>
      <c r="C100" s="2" t="s">
        <v>35</v>
      </c>
      <c r="D100" s="2" t="s">
        <v>307</v>
      </c>
      <c r="E100" s="2" t="s">
        <v>17</v>
      </c>
    </row>
    <row r="101" spans="1:5" x14ac:dyDescent="0.3">
      <c r="A101" s="2" t="s">
        <v>147</v>
      </c>
      <c r="B101" s="3">
        <v>46079</v>
      </c>
      <c r="C101" s="2" t="s">
        <v>35</v>
      </c>
      <c r="D101" s="2" t="s">
        <v>26</v>
      </c>
      <c r="E101" s="2" t="s">
        <v>31</v>
      </c>
    </row>
    <row r="102" spans="1:5" x14ac:dyDescent="0.3">
      <c r="A102" s="2" t="s">
        <v>147</v>
      </c>
      <c r="B102" s="3">
        <v>46191</v>
      </c>
      <c r="C102" s="2" t="s">
        <v>35</v>
      </c>
      <c r="D102" s="2" t="s">
        <v>26</v>
      </c>
      <c r="E102" s="2" t="s">
        <v>17</v>
      </c>
    </row>
    <row r="103" spans="1:5" x14ac:dyDescent="0.3">
      <c r="A103" s="2" t="s">
        <v>148</v>
      </c>
      <c r="B103" s="3">
        <v>46080</v>
      </c>
      <c r="C103" s="2" t="s">
        <v>35</v>
      </c>
      <c r="D103" s="2" t="s">
        <v>26</v>
      </c>
      <c r="E103" s="2" t="s">
        <v>17</v>
      </c>
    </row>
    <row r="104" spans="1:5" x14ac:dyDescent="0.3">
      <c r="A104" s="2" t="s">
        <v>148</v>
      </c>
      <c r="B104" s="3">
        <v>46160</v>
      </c>
      <c r="C104" s="2" t="s">
        <v>35</v>
      </c>
      <c r="D104" s="2" t="s">
        <v>26</v>
      </c>
      <c r="E104" s="2" t="s">
        <v>17</v>
      </c>
    </row>
    <row r="105" spans="1:5" x14ac:dyDescent="0.3">
      <c r="A105" s="2" t="s">
        <v>148</v>
      </c>
      <c r="B105" s="3">
        <v>46275</v>
      </c>
      <c r="C105" s="2" t="s">
        <v>35</v>
      </c>
      <c r="D105" s="2" t="s">
        <v>26</v>
      </c>
      <c r="E105" s="2" t="s">
        <v>208</v>
      </c>
    </row>
    <row r="106" spans="1:5" x14ac:dyDescent="0.3">
      <c r="A106" s="2" t="s">
        <v>150</v>
      </c>
      <c r="B106" s="3">
        <v>46086</v>
      </c>
      <c r="C106" s="2" t="s">
        <v>51</v>
      </c>
      <c r="D106" s="2" t="s">
        <v>151</v>
      </c>
      <c r="E106" s="2" t="s">
        <v>31</v>
      </c>
    </row>
    <row r="107" spans="1:5" x14ac:dyDescent="0.3">
      <c r="A107" s="2" t="s">
        <v>150</v>
      </c>
      <c r="B107" s="3">
        <v>46263</v>
      </c>
      <c r="C107" s="2" t="s">
        <v>51</v>
      </c>
      <c r="D107" s="2" t="s">
        <v>151</v>
      </c>
      <c r="E107" s="2" t="s">
        <v>31</v>
      </c>
    </row>
    <row r="108" spans="1:5" x14ac:dyDescent="0.3">
      <c r="A108" s="2" t="s">
        <v>152</v>
      </c>
      <c r="B108" s="3">
        <v>46086</v>
      </c>
      <c r="C108" s="2" t="s">
        <v>51</v>
      </c>
      <c r="D108" s="2" t="s">
        <v>303</v>
      </c>
      <c r="E108" s="2" t="s">
        <v>17</v>
      </c>
    </row>
    <row r="109" spans="1:5" x14ac:dyDescent="0.3">
      <c r="A109" s="2" t="s">
        <v>153</v>
      </c>
      <c r="B109" s="3">
        <v>46086</v>
      </c>
      <c r="C109" s="2" t="s">
        <v>51</v>
      </c>
      <c r="D109" s="2" t="s">
        <v>22</v>
      </c>
      <c r="E109" s="2" t="s">
        <v>21</v>
      </c>
    </row>
    <row r="110" spans="1:5" x14ac:dyDescent="0.3">
      <c r="A110" s="2" t="s">
        <v>154</v>
      </c>
      <c r="B110" s="3">
        <v>46087</v>
      </c>
      <c r="C110" s="2" t="s">
        <v>51</v>
      </c>
      <c r="D110" s="2" t="s">
        <v>303</v>
      </c>
      <c r="E110" s="2" t="s">
        <v>17</v>
      </c>
    </row>
    <row r="111" spans="1:5" x14ac:dyDescent="0.3">
      <c r="A111" s="2" t="s">
        <v>156</v>
      </c>
      <c r="B111" s="3">
        <v>46090</v>
      </c>
      <c r="C111" s="2" t="s">
        <v>51</v>
      </c>
      <c r="D111" s="2" t="s">
        <v>303</v>
      </c>
      <c r="E111" s="2" t="s">
        <v>17</v>
      </c>
    </row>
    <row r="112" spans="1:5" x14ac:dyDescent="0.3">
      <c r="A112" s="2" t="s">
        <v>157</v>
      </c>
      <c r="B112" s="3">
        <v>46090</v>
      </c>
      <c r="C112" s="2" t="s">
        <v>51</v>
      </c>
      <c r="D112" s="2" t="s">
        <v>26</v>
      </c>
      <c r="E112" s="2" t="s">
        <v>21</v>
      </c>
    </row>
    <row r="113" spans="1:5" x14ac:dyDescent="0.3">
      <c r="A113" s="2" t="s">
        <v>158</v>
      </c>
      <c r="B113" s="3">
        <v>46090</v>
      </c>
      <c r="C113" s="2" t="s">
        <v>35</v>
      </c>
      <c r="D113" s="2" t="s">
        <v>298</v>
      </c>
      <c r="E113" s="2" t="s">
        <v>17</v>
      </c>
    </row>
    <row r="114" spans="1:5" x14ac:dyDescent="0.3">
      <c r="A114" s="2" t="s">
        <v>159</v>
      </c>
      <c r="B114" s="3">
        <v>46091</v>
      </c>
      <c r="C114" s="2" t="s">
        <v>51</v>
      </c>
      <c r="D114" s="2" t="s">
        <v>303</v>
      </c>
      <c r="E114" s="2" t="s">
        <v>17</v>
      </c>
    </row>
    <row r="115" spans="1:5" x14ac:dyDescent="0.3">
      <c r="A115" s="2" t="s">
        <v>160</v>
      </c>
      <c r="B115" s="3">
        <v>46091</v>
      </c>
      <c r="C115" s="2" t="s">
        <v>108</v>
      </c>
      <c r="D115" s="2" t="s">
        <v>45</v>
      </c>
      <c r="E115" s="2" t="s">
        <v>17</v>
      </c>
    </row>
    <row r="116" spans="1:5" x14ac:dyDescent="0.3">
      <c r="A116" s="2" t="s">
        <v>162</v>
      </c>
      <c r="B116" s="3">
        <v>46092</v>
      </c>
      <c r="C116" s="2" t="s">
        <v>51</v>
      </c>
      <c r="D116" s="2" t="s">
        <v>301</v>
      </c>
      <c r="E116" s="2" t="s">
        <v>21</v>
      </c>
    </row>
    <row r="117" spans="1:5" x14ac:dyDescent="0.3">
      <c r="A117" s="2" t="s">
        <v>164</v>
      </c>
      <c r="B117" s="3">
        <v>46092</v>
      </c>
      <c r="C117" s="2" t="s">
        <v>51</v>
      </c>
      <c r="D117" s="2" t="s">
        <v>22</v>
      </c>
      <c r="E117" s="2" t="s">
        <v>21</v>
      </c>
    </row>
    <row r="118" spans="1:5" x14ac:dyDescent="0.3">
      <c r="A118" s="2" t="s">
        <v>165</v>
      </c>
      <c r="B118" s="3">
        <v>46094</v>
      </c>
      <c r="C118" s="2" t="s">
        <v>35</v>
      </c>
      <c r="D118" s="2" t="s">
        <v>26</v>
      </c>
      <c r="E118" s="2" t="s">
        <v>21</v>
      </c>
    </row>
    <row r="119" spans="1:5" x14ac:dyDescent="0.3">
      <c r="A119" s="2" t="s">
        <v>165</v>
      </c>
      <c r="B119" s="3">
        <v>46183</v>
      </c>
      <c r="C119" s="2" t="s">
        <v>35</v>
      </c>
      <c r="D119" s="2" t="s">
        <v>26</v>
      </c>
      <c r="E119" s="2" t="s">
        <v>208</v>
      </c>
    </row>
    <row r="120" spans="1:5" x14ac:dyDescent="0.3">
      <c r="A120" s="2" t="s">
        <v>166</v>
      </c>
      <c r="B120" s="3">
        <v>46095</v>
      </c>
      <c r="C120" s="2" t="s">
        <v>35</v>
      </c>
      <c r="D120" s="2" t="s">
        <v>26</v>
      </c>
      <c r="E120" s="2" t="s">
        <v>17</v>
      </c>
    </row>
    <row r="121" spans="1:5" x14ac:dyDescent="0.3">
      <c r="A121" s="2" t="s">
        <v>166</v>
      </c>
      <c r="B121" s="3">
        <v>46223</v>
      </c>
      <c r="C121" s="2" t="s">
        <v>35</v>
      </c>
      <c r="D121" s="2" t="s">
        <v>26</v>
      </c>
      <c r="E121" s="2" t="s">
        <v>17</v>
      </c>
    </row>
    <row r="122" spans="1:5" x14ac:dyDescent="0.3">
      <c r="A122" s="2" t="s">
        <v>167</v>
      </c>
      <c r="B122" s="3">
        <v>46098</v>
      </c>
      <c r="C122" s="2" t="s">
        <v>35</v>
      </c>
      <c r="D122" s="2" t="s">
        <v>22</v>
      </c>
      <c r="E122" s="2" t="s">
        <v>21</v>
      </c>
    </row>
    <row r="123" spans="1:5" x14ac:dyDescent="0.3">
      <c r="A123" s="2" t="s">
        <v>168</v>
      </c>
      <c r="B123" s="3">
        <v>46104</v>
      </c>
      <c r="C123" s="2" t="s">
        <v>51</v>
      </c>
      <c r="D123" s="2" t="s">
        <v>301</v>
      </c>
      <c r="E123" s="2" t="s">
        <v>21</v>
      </c>
    </row>
    <row r="124" spans="1:5" x14ac:dyDescent="0.3">
      <c r="A124" s="2" t="s">
        <v>169</v>
      </c>
      <c r="B124" s="3">
        <v>46107</v>
      </c>
      <c r="C124" s="2" t="s">
        <v>51</v>
      </c>
      <c r="D124" s="2" t="s">
        <v>302</v>
      </c>
      <c r="E124" s="2" t="s">
        <v>21</v>
      </c>
    </row>
    <row r="125" spans="1:5" x14ac:dyDescent="0.3">
      <c r="A125" s="2" t="s">
        <v>170</v>
      </c>
      <c r="B125" s="3">
        <v>46111</v>
      </c>
      <c r="C125" s="2" t="s">
        <v>108</v>
      </c>
      <c r="D125" s="2" t="s">
        <v>172</v>
      </c>
      <c r="E125" s="2" t="s">
        <v>21</v>
      </c>
    </row>
    <row r="126" spans="1:5" x14ac:dyDescent="0.3">
      <c r="A126" s="2" t="s">
        <v>173</v>
      </c>
      <c r="B126" s="3">
        <v>46111</v>
      </c>
      <c r="C126" s="2" t="s">
        <v>35</v>
      </c>
      <c r="D126" s="2" t="s">
        <v>298</v>
      </c>
      <c r="E126" s="2" t="s">
        <v>17</v>
      </c>
    </row>
    <row r="127" spans="1:5" x14ac:dyDescent="0.3">
      <c r="A127" s="2" t="s">
        <v>173</v>
      </c>
      <c r="B127" s="3">
        <v>46214</v>
      </c>
      <c r="C127" s="2" t="s">
        <v>35</v>
      </c>
      <c r="D127" s="2" t="s">
        <v>298</v>
      </c>
      <c r="E127" s="2" t="s">
        <v>17</v>
      </c>
    </row>
    <row r="128" spans="1:5" x14ac:dyDescent="0.3">
      <c r="A128" s="2" t="s">
        <v>174</v>
      </c>
      <c r="B128" s="3">
        <v>46113</v>
      </c>
      <c r="C128" s="2" t="s">
        <v>51</v>
      </c>
      <c r="D128" s="2" t="s">
        <v>302</v>
      </c>
      <c r="E128" s="2" t="s">
        <v>21</v>
      </c>
    </row>
    <row r="129" spans="1:5" x14ac:dyDescent="0.3">
      <c r="A129" s="2" t="s">
        <v>175</v>
      </c>
      <c r="B129" s="3">
        <v>46121</v>
      </c>
      <c r="C129" s="2" t="s">
        <v>35</v>
      </c>
      <c r="D129" s="2" t="s">
        <v>38</v>
      </c>
      <c r="E129" s="2" t="s">
        <v>21</v>
      </c>
    </row>
    <row r="130" spans="1:5" x14ac:dyDescent="0.3">
      <c r="A130" s="2" t="s">
        <v>175</v>
      </c>
      <c r="B130" s="3">
        <v>46240</v>
      </c>
      <c r="C130" s="2" t="s">
        <v>35</v>
      </c>
      <c r="D130" s="2" t="s">
        <v>38</v>
      </c>
      <c r="E130" s="2" t="s">
        <v>208</v>
      </c>
    </row>
    <row r="131" spans="1:5" x14ac:dyDescent="0.3">
      <c r="A131" s="2" t="s">
        <v>176</v>
      </c>
      <c r="B131" s="3">
        <v>46122</v>
      </c>
      <c r="C131" s="2" t="s">
        <v>51</v>
      </c>
      <c r="D131" s="2" t="s">
        <v>301</v>
      </c>
      <c r="E131" s="2" t="s">
        <v>21</v>
      </c>
    </row>
    <row r="132" spans="1:5" x14ac:dyDescent="0.3">
      <c r="A132" s="2" t="s">
        <v>177</v>
      </c>
      <c r="B132" s="3">
        <v>46122</v>
      </c>
      <c r="C132" s="2" t="s">
        <v>51</v>
      </c>
      <c r="D132" s="2" t="s">
        <v>302</v>
      </c>
      <c r="E132" s="2" t="s">
        <v>21</v>
      </c>
    </row>
    <row r="133" spans="1:5" x14ac:dyDescent="0.3">
      <c r="A133" s="2" t="s">
        <v>179</v>
      </c>
      <c r="B133" s="3">
        <v>46125</v>
      </c>
      <c r="C133" s="2" t="s">
        <v>51</v>
      </c>
      <c r="D133" s="2" t="s">
        <v>180</v>
      </c>
      <c r="E133" s="2" t="s">
        <v>21</v>
      </c>
    </row>
    <row r="134" spans="1:5" x14ac:dyDescent="0.3">
      <c r="A134" s="2" t="s">
        <v>181</v>
      </c>
      <c r="B134" s="3">
        <v>46125</v>
      </c>
      <c r="C134" s="2" t="s">
        <v>35</v>
      </c>
      <c r="D134" s="2" t="s">
        <v>26</v>
      </c>
      <c r="E134" s="2" t="s">
        <v>21</v>
      </c>
    </row>
    <row r="135" spans="1:5" x14ac:dyDescent="0.3">
      <c r="A135" s="2" t="s">
        <v>181</v>
      </c>
      <c r="B135" s="3">
        <v>46216</v>
      </c>
      <c r="C135" s="2" t="s">
        <v>35</v>
      </c>
      <c r="D135" s="2" t="s">
        <v>26</v>
      </c>
      <c r="E135" s="2" t="s">
        <v>208</v>
      </c>
    </row>
    <row r="136" spans="1:5" x14ac:dyDescent="0.3">
      <c r="A136" s="2" t="s">
        <v>182</v>
      </c>
      <c r="B136" s="3">
        <v>46125</v>
      </c>
      <c r="C136" s="2" t="s">
        <v>51</v>
      </c>
      <c r="D136" s="2" t="s">
        <v>183</v>
      </c>
      <c r="E136" s="2" t="s">
        <v>21</v>
      </c>
    </row>
    <row r="137" spans="1:5" x14ac:dyDescent="0.3">
      <c r="A137" s="2" t="s">
        <v>184</v>
      </c>
      <c r="B137" s="3">
        <v>46125</v>
      </c>
      <c r="C137" s="2" t="s">
        <v>51</v>
      </c>
      <c r="D137" s="2" t="s">
        <v>22</v>
      </c>
      <c r="E137" s="2" t="s">
        <v>21</v>
      </c>
    </row>
    <row r="138" spans="1:5" x14ac:dyDescent="0.3">
      <c r="A138" s="2" t="s">
        <v>185</v>
      </c>
      <c r="B138" s="3">
        <v>46125</v>
      </c>
      <c r="C138" s="2" t="s">
        <v>51</v>
      </c>
      <c r="D138" s="2" t="s">
        <v>301</v>
      </c>
      <c r="E138" s="2" t="s">
        <v>21</v>
      </c>
    </row>
    <row r="139" spans="1:5" x14ac:dyDescent="0.3">
      <c r="A139" s="2" t="s">
        <v>186</v>
      </c>
      <c r="B139" s="3">
        <v>46125</v>
      </c>
      <c r="C139" s="2" t="s">
        <v>51</v>
      </c>
      <c r="D139" s="2" t="s">
        <v>301</v>
      </c>
      <c r="E139" s="2" t="s">
        <v>21</v>
      </c>
    </row>
    <row r="140" spans="1:5" x14ac:dyDescent="0.3">
      <c r="A140" s="2" t="s">
        <v>187</v>
      </c>
      <c r="B140" s="3">
        <v>46126</v>
      </c>
      <c r="C140" s="2" t="s">
        <v>51</v>
      </c>
      <c r="D140" s="2" t="s">
        <v>301</v>
      </c>
      <c r="E140" s="2" t="s">
        <v>21</v>
      </c>
    </row>
    <row r="141" spans="1:5" x14ac:dyDescent="0.3">
      <c r="A141" s="2" t="s">
        <v>188</v>
      </c>
      <c r="B141" s="3">
        <v>46127</v>
      </c>
      <c r="C141" s="2" t="s">
        <v>35</v>
      </c>
      <c r="D141" s="2" t="s">
        <v>180</v>
      </c>
      <c r="E141" s="2" t="s">
        <v>21</v>
      </c>
    </row>
    <row r="142" spans="1:5" x14ac:dyDescent="0.3">
      <c r="A142" s="2" t="s">
        <v>189</v>
      </c>
      <c r="B142" s="3">
        <v>46127</v>
      </c>
      <c r="C142" s="2" t="s">
        <v>51</v>
      </c>
      <c r="D142" s="2" t="s">
        <v>183</v>
      </c>
      <c r="E142" s="2" t="s">
        <v>21</v>
      </c>
    </row>
    <row r="143" spans="1:5" x14ac:dyDescent="0.3">
      <c r="A143" s="2" t="s">
        <v>190</v>
      </c>
      <c r="B143" s="3">
        <v>46127</v>
      </c>
      <c r="C143" s="2" t="s">
        <v>51</v>
      </c>
      <c r="D143" s="2" t="s">
        <v>301</v>
      </c>
      <c r="E143" s="2" t="s">
        <v>21</v>
      </c>
    </row>
    <row r="144" spans="1:5" x14ac:dyDescent="0.3">
      <c r="A144" s="2" t="s">
        <v>191</v>
      </c>
      <c r="B144" s="3">
        <v>46127</v>
      </c>
      <c r="C144" s="2" t="s">
        <v>51</v>
      </c>
      <c r="D144" s="2" t="s">
        <v>301</v>
      </c>
      <c r="E144" s="2" t="s">
        <v>21</v>
      </c>
    </row>
    <row r="145" spans="1:5" x14ac:dyDescent="0.3">
      <c r="A145" s="2" t="s">
        <v>193</v>
      </c>
      <c r="B145" s="3">
        <v>46127</v>
      </c>
      <c r="C145" s="2" t="s">
        <v>51</v>
      </c>
      <c r="D145" s="2" t="s">
        <v>303</v>
      </c>
      <c r="E145" s="2" t="s">
        <v>17</v>
      </c>
    </row>
    <row r="146" spans="1:5" x14ac:dyDescent="0.3">
      <c r="A146" s="2" t="s">
        <v>194</v>
      </c>
      <c r="B146" s="3">
        <v>46127</v>
      </c>
      <c r="C146" s="2" t="s">
        <v>35</v>
      </c>
      <c r="D146" s="2" t="s">
        <v>298</v>
      </c>
      <c r="E146" s="2" t="s">
        <v>17</v>
      </c>
    </row>
    <row r="147" spans="1:5" x14ac:dyDescent="0.3">
      <c r="A147" s="2" t="s">
        <v>194</v>
      </c>
      <c r="B147" s="3">
        <v>46230</v>
      </c>
      <c r="C147" s="2" t="s">
        <v>51</v>
      </c>
      <c r="D147" s="2" t="s">
        <v>298</v>
      </c>
      <c r="E147" s="2" t="s">
        <v>17</v>
      </c>
    </row>
    <row r="148" spans="1:5" x14ac:dyDescent="0.3">
      <c r="A148" s="2" t="s">
        <v>195</v>
      </c>
      <c r="B148" s="3">
        <v>46128</v>
      </c>
      <c r="C148" s="2" t="s">
        <v>51</v>
      </c>
      <c r="D148" s="2" t="s">
        <v>302</v>
      </c>
      <c r="E148" s="2" t="s">
        <v>21</v>
      </c>
    </row>
    <row r="149" spans="1:5" x14ac:dyDescent="0.3">
      <c r="A149" s="2" t="s">
        <v>196</v>
      </c>
      <c r="B149" s="3">
        <v>46129</v>
      </c>
      <c r="C149" s="2" t="s">
        <v>51</v>
      </c>
      <c r="D149" s="2" t="s">
        <v>71</v>
      </c>
      <c r="E149" s="2" t="s">
        <v>21</v>
      </c>
    </row>
    <row r="150" spans="1:5" x14ac:dyDescent="0.3">
      <c r="A150" s="2" t="s">
        <v>197</v>
      </c>
      <c r="B150" s="3">
        <v>46132</v>
      </c>
      <c r="C150" s="2" t="s">
        <v>51</v>
      </c>
      <c r="D150" s="2" t="s">
        <v>224</v>
      </c>
      <c r="E150" s="2" t="s">
        <v>21</v>
      </c>
    </row>
    <row r="151" spans="1:5" x14ac:dyDescent="0.3">
      <c r="A151" s="2" t="s">
        <v>198</v>
      </c>
      <c r="B151" s="3">
        <v>46133</v>
      </c>
      <c r="C151" s="2" t="s">
        <v>51</v>
      </c>
      <c r="D151" s="2" t="s">
        <v>71</v>
      </c>
      <c r="E151" s="2" t="s">
        <v>21</v>
      </c>
    </row>
    <row r="152" spans="1:5" x14ac:dyDescent="0.3">
      <c r="A152" s="2" t="s">
        <v>199</v>
      </c>
      <c r="B152" s="3">
        <v>46134</v>
      </c>
      <c r="C152" s="2" t="s">
        <v>51</v>
      </c>
      <c r="D152" s="2" t="s">
        <v>200</v>
      </c>
      <c r="E152" s="2" t="s">
        <v>31</v>
      </c>
    </row>
    <row r="153" spans="1:5" x14ac:dyDescent="0.3">
      <c r="A153" s="2" t="s">
        <v>201</v>
      </c>
      <c r="B153" s="3">
        <v>46134</v>
      </c>
      <c r="C153" s="2" t="s">
        <v>51</v>
      </c>
      <c r="D153" s="2" t="s">
        <v>301</v>
      </c>
      <c r="E153" s="2" t="s">
        <v>21</v>
      </c>
    </row>
    <row r="154" spans="1:5" x14ac:dyDescent="0.3">
      <c r="A154" s="2" t="s">
        <v>202</v>
      </c>
      <c r="B154" s="3">
        <v>46135</v>
      </c>
      <c r="C154" s="2" t="s">
        <v>51</v>
      </c>
      <c r="D154" s="2" t="s">
        <v>183</v>
      </c>
      <c r="E154" s="2" t="s">
        <v>21</v>
      </c>
    </row>
    <row r="155" spans="1:5" x14ac:dyDescent="0.3">
      <c r="A155" s="2" t="s">
        <v>203</v>
      </c>
      <c r="B155" s="3">
        <v>46134</v>
      </c>
      <c r="C155" s="2" t="s">
        <v>35</v>
      </c>
      <c r="D155" s="2" t="s">
        <v>298</v>
      </c>
      <c r="E155" s="2" t="s">
        <v>17</v>
      </c>
    </row>
    <row r="156" spans="1:5" x14ac:dyDescent="0.3">
      <c r="A156" s="2" t="s">
        <v>203</v>
      </c>
      <c r="B156" s="3">
        <v>46245</v>
      </c>
      <c r="C156" s="2" t="s">
        <v>35</v>
      </c>
      <c r="D156" s="2" t="s">
        <v>307</v>
      </c>
      <c r="E156" s="2" t="s">
        <v>17</v>
      </c>
    </row>
    <row r="157" spans="1:5" x14ac:dyDescent="0.3">
      <c r="A157" s="2" t="s">
        <v>205</v>
      </c>
      <c r="B157" s="3">
        <v>46141</v>
      </c>
      <c r="C157" s="2" t="s">
        <v>108</v>
      </c>
      <c r="D157" s="2" t="s">
        <v>45</v>
      </c>
      <c r="E157" s="2" t="s">
        <v>17</v>
      </c>
    </row>
    <row r="158" spans="1:5" x14ac:dyDescent="0.3">
      <c r="A158" s="2" t="s">
        <v>205</v>
      </c>
      <c r="B158" s="3">
        <v>46245</v>
      </c>
      <c r="C158" s="2" t="s">
        <v>108</v>
      </c>
      <c r="D158" s="2" t="s">
        <v>45</v>
      </c>
      <c r="E158" s="2" t="s">
        <v>17</v>
      </c>
    </row>
    <row r="159" spans="1:5" x14ac:dyDescent="0.3">
      <c r="A159" s="2" t="s">
        <v>206</v>
      </c>
      <c r="B159" s="3">
        <v>46199</v>
      </c>
      <c r="C159" s="2" t="s">
        <v>35</v>
      </c>
      <c r="D159" s="2" t="s">
        <v>26</v>
      </c>
      <c r="E159" s="2" t="s">
        <v>31</v>
      </c>
    </row>
    <row r="160" spans="1:5" x14ac:dyDescent="0.3">
      <c r="A160" s="2" t="s">
        <v>207</v>
      </c>
      <c r="B160" s="3">
        <v>46146</v>
      </c>
      <c r="C160" s="2" t="s">
        <v>51</v>
      </c>
      <c r="D160" s="2" t="s">
        <v>301</v>
      </c>
      <c r="E160" s="2" t="s">
        <v>208</v>
      </c>
    </row>
    <row r="161" spans="1:5" x14ac:dyDescent="0.3">
      <c r="A161" s="2" t="s">
        <v>209</v>
      </c>
      <c r="B161" s="3">
        <v>46147</v>
      </c>
      <c r="C161" s="2" t="s">
        <v>51</v>
      </c>
      <c r="D161" s="2" t="s">
        <v>180</v>
      </c>
      <c r="E161" s="2" t="s">
        <v>208</v>
      </c>
    </row>
    <row r="162" spans="1:5" x14ac:dyDescent="0.3">
      <c r="A162" s="2" t="s">
        <v>210</v>
      </c>
      <c r="B162" s="3">
        <v>46148</v>
      </c>
      <c r="C162" s="2" t="s">
        <v>35</v>
      </c>
      <c r="D162" s="2" t="s">
        <v>300</v>
      </c>
      <c r="E162" s="2" t="s">
        <v>208</v>
      </c>
    </row>
    <row r="163" spans="1:5" x14ac:dyDescent="0.3">
      <c r="A163" s="2" t="s">
        <v>211</v>
      </c>
      <c r="B163" s="3">
        <v>46148</v>
      </c>
      <c r="C163" s="2" t="s">
        <v>51</v>
      </c>
      <c r="D163" s="2" t="s">
        <v>301</v>
      </c>
      <c r="E163" s="2" t="s">
        <v>208</v>
      </c>
    </row>
    <row r="164" spans="1:5" x14ac:dyDescent="0.3">
      <c r="A164" s="2" t="s">
        <v>212</v>
      </c>
      <c r="B164" s="3">
        <v>46148</v>
      </c>
      <c r="C164" s="2" t="s">
        <v>51</v>
      </c>
      <c r="D164" s="2" t="s">
        <v>71</v>
      </c>
      <c r="E164" s="2" t="s">
        <v>208</v>
      </c>
    </row>
    <row r="165" spans="1:5" x14ac:dyDescent="0.3">
      <c r="A165" s="2" t="s">
        <v>213</v>
      </c>
      <c r="B165" s="3">
        <v>46148</v>
      </c>
      <c r="C165" s="2" t="s">
        <v>51</v>
      </c>
      <c r="D165" s="2" t="s">
        <v>301</v>
      </c>
      <c r="E165" s="2" t="s">
        <v>21</v>
      </c>
    </row>
    <row r="166" spans="1:5" x14ac:dyDescent="0.3">
      <c r="A166" s="2" t="s">
        <v>214</v>
      </c>
      <c r="B166" s="3">
        <v>46149</v>
      </c>
      <c r="C166" s="2" t="s">
        <v>51</v>
      </c>
      <c r="D166" s="2" t="s">
        <v>71</v>
      </c>
      <c r="E166" s="2" t="s">
        <v>208</v>
      </c>
    </row>
    <row r="167" spans="1:5" x14ac:dyDescent="0.3">
      <c r="A167" s="2" t="s">
        <v>215</v>
      </c>
      <c r="B167" s="3">
        <v>46149</v>
      </c>
      <c r="C167" s="2" t="s">
        <v>35</v>
      </c>
      <c r="D167" s="2" t="s">
        <v>26</v>
      </c>
      <c r="E167" s="2" t="s">
        <v>31</v>
      </c>
    </row>
    <row r="168" spans="1:5" x14ac:dyDescent="0.3">
      <c r="A168" s="2" t="s">
        <v>215</v>
      </c>
      <c r="B168" s="3">
        <v>46239</v>
      </c>
      <c r="C168" s="2" t="s">
        <v>35</v>
      </c>
      <c r="D168" s="2" t="s">
        <v>26</v>
      </c>
      <c r="E168" s="2" t="s">
        <v>31</v>
      </c>
    </row>
    <row r="169" spans="1:5" x14ac:dyDescent="0.3">
      <c r="A169" s="2" t="s">
        <v>217</v>
      </c>
      <c r="B169" s="3">
        <v>46149</v>
      </c>
      <c r="C169" s="2" t="s">
        <v>51</v>
      </c>
      <c r="D169" s="2" t="s">
        <v>301</v>
      </c>
      <c r="E169" s="2" t="s">
        <v>208</v>
      </c>
    </row>
    <row r="170" spans="1:5" x14ac:dyDescent="0.3">
      <c r="A170" s="2" t="s">
        <v>219</v>
      </c>
      <c r="B170" s="3">
        <v>46150</v>
      </c>
      <c r="C170" s="2" t="s">
        <v>35</v>
      </c>
      <c r="D170" s="2" t="s">
        <v>26</v>
      </c>
      <c r="E170" s="2" t="s">
        <v>208</v>
      </c>
    </row>
    <row r="171" spans="1:5" x14ac:dyDescent="0.3">
      <c r="A171" s="2" t="s">
        <v>219</v>
      </c>
      <c r="B171" s="3">
        <v>46225</v>
      </c>
      <c r="C171" s="2" t="s">
        <v>35</v>
      </c>
      <c r="D171" s="2" t="s">
        <v>26</v>
      </c>
      <c r="E171" s="2" t="s">
        <v>31</v>
      </c>
    </row>
    <row r="172" spans="1:5" x14ac:dyDescent="0.3">
      <c r="A172" s="2" t="s">
        <v>220</v>
      </c>
      <c r="B172" s="3">
        <v>46150</v>
      </c>
      <c r="C172" s="2" t="s">
        <v>51</v>
      </c>
      <c r="D172" s="2" t="s">
        <v>180</v>
      </c>
      <c r="E172" s="2" t="s">
        <v>208</v>
      </c>
    </row>
    <row r="173" spans="1:5" x14ac:dyDescent="0.3">
      <c r="A173" s="2" t="s">
        <v>221</v>
      </c>
      <c r="B173" s="3">
        <v>46150</v>
      </c>
      <c r="C173" s="2" t="s">
        <v>51</v>
      </c>
      <c r="D173" s="2" t="s">
        <v>71</v>
      </c>
      <c r="E173" s="2" t="s">
        <v>208</v>
      </c>
    </row>
    <row r="174" spans="1:5" x14ac:dyDescent="0.3">
      <c r="A174" s="2" t="s">
        <v>222</v>
      </c>
      <c r="B174" s="3">
        <v>46150</v>
      </c>
      <c r="C174" s="2" t="s">
        <v>51</v>
      </c>
      <c r="D174" s="2" t="s">
        <v>71</v>
      </c>
      <c r="E174" s="2" t="s">
        <v>208</v>
      </c>
    </row>
    <row r="175" spans="1:5" x14ac:dyDescent="0.3">
      <c r="A175" s="2" t="s">
        <v>223</v>
      </c>
      <c r="B175" s="3">
        <v>46150</v>
      </c>
      <c r="C175" s="2" t="s">
        <v>51</v>
      </c>
      <c r="D175" s="2" t="s">
        <v>224</v>
      </c>
      <c r="E175" s="2" t="s">
        <v>208</v>
      </c>
    </row>
    <row r="176" spans="1:5" x14ac:dyDescent="0.3">
      <c r="A176" s="2" t="s">
        <v>225</v>
      </c>
      <c r="B176" s="3">
        <v>46153</v>
      </c>
      <c r="C176" s="2" t="s">
        <v>108</v>
      </c>
      <c r="D176" s="2" t="s">
        <v>183</v>
      </c>
      <c r="E176" s="2" t="s">
        <v>21</v>
      </c>
    </row>
    <row r="177" spans="1:5" x14ac:dyDescent="0.3">
      <c r="A177" s="2" t="s">
        <v>225</v>
      </c>
      <c r="B177" s="3">
        <v>46244</v>
      </c>
      <c r="C177" s="2" t="s">
        <v>108</v>
      </c>
      <c r="D177" s="2" t="s">
        <v>183</v>
      </c>
      <c r="E177" s="2" t="s">
        <v>208</v>
      </c>
    </row>
    <row r="178" spans="1:5" x14ac:dyDescent="0.3">
      <c r="A178" s="2" t="s">
        <v>225</v>
      </c>
      <c r="B178" s="3">
        <v>46267</v>
      </c>
      <c r="C178" s="2" t="s">
        <v>108</v>
      </c>
      <c r="D178" s="2" t="s">
        <v>183</v>
      </c>
      <c r="E178" s="2" t="s">
        <v>208</v>
      </c>
    </row>
    <row r="179" spans="1:5" x14ac:dyDescent="0.3">
      <c r="A179" s="2" t="s">
        <v>226</v>
      </c>
      <c r="B179" s="3">
        <v>46154</v>
      </c>
      <c r="C179" s="2" t="s">
        <v>51</v>
      </c>
      <c r="D179" s="2" t="s">
        <v>172</v>
      </c>
      <c r="E179" s="2" t="s">
        <v>208</v>
      </c>
    </row>
    <row r="180" spans="1:5" x14ac:dyDescent="0.3">
      <c r="A180" s="2" t="s">
        <v>227</v>
      </c>
      <c r="B180" s="3">
        <v>46156</v>
      </c>
      <c r="C180" s="2" t="s">
        <v>51</v>
      </c>
      <c r="D180" s="2" t="s">
        <v>302</v>
      </c>
      <c r="E180" s="2" t="s">
        <v>208</v>
      </c>
    </row>
    <row r="181" spans="1:5" x14ac:dyDescent="0.3">
      <c r="A181" s="2" t="s">
        <v>228</v>
      </c>
      <c r="B181" s="3">
        <v>46156</v>
      </c>
      <c r="C181" s="2" t="s">
        <v>51</v>
      </c>
      <c r="D181" s="2" t="s">
        <v>71</v>
      </c>
      <c r="E181" s="2" t="s">
        <v>208</v>
      </c>
    </row>
    <row r="182" spans="1:5" x14ac:dyDescent="0.3">
      <c r="A182" s="2" t="s">
        <v>229</v>
      </c>
      <c r="B182" s="3">
        <v>46156</v>
      </c>
      <c r="C182" s="2" t="s">
        <v>108</v>
      </c>
      <c r="D182" s="2" t="s">
        <v>172</v>
      </c>
      <c r="E182" s="2" t="s">
        <v>208</v>
      </c>
    </row>
    <row r="183" spans="1:5" x14ac:dyDescent="0.3">
      <c r="A183" s="2" t="s">
        <v>230</v>
      </c>
      <c r="B183" s="3">
        <v>46156</v>
      </c>
      <c r="C183" s="2" t="s">
        <v>51</v>
      </c>
      <c r="D183" s="2" t="s">
        <v>302</v>
      </c>
      <c r="E183" s="2" t="s">
        <v>208</v>
      </c>
    </row>
    <row r="184" spans="1:5" x14ac:dyDescent="0.3">
      <c r="A184" s="2" t="s">
        <v>231</v>
      </c>
      <c r="B184" s="3">
        <v>46157</v>
      </c>
      <c r="C184" s="2" t="s">
        <v>51</v>
      </c>
      <c r="D184" s="2" t="s">
        <v>183</v>
      </c>
      <c r="E184" s="2" t="s">
        <v>208</v>
      </c>
    </row>
    <row r="185" spans="1:5" x14ac:dyDescent="0.3">
      <c r="A185" s="2" t="s">
        <v>232</v>
      </c>
      <c r="B185" s="3">
        <v>46156</v>
      </c>
      <c r="C185" s="2" t="s">
        <v>51</v>
      </c>
      <c r="D185" s="2" t="s">
        <v>303</v>
      </c>
      <c r="E185" s="2" t="s">
        <v>17</v>
      </c>
    </row>
    <row r="186" spans="1:5" x14ac:dyDescent="0.3">
      <c r="A186" s="2" t="s">
        <v>232</v>
      </c>
      <c r="B186" s="3">
        <v>46192</v>
      </c>
      <c r="C186" s="2" t="s">
        <v>51</v>
      </c>
      <c r="D186" s="2" t="s">
        <v>22</v>
      </c>
      <c r="E186" s="2" t="s">
        <v>208</v>
      </c>
    </row>
    <row r="187" spans="1:5" x14ac:dyDescent="0.3">
      <c r="A187" s="2" t="s">
        <v>233</v>
      </c>
      <c r="B187" s="3">
        <v>46157</v>
      </c>
      <c r="C187" s="2" t="s">
        <v>35</v>
      </c>
      <c r="D187" s="2" t="s">
        <v>298</v>
      </c>
      <c r="E187" s="2" t="s">
        <v>17</v>
      </c>
    </row>
    <row r="188" spans="1:5" x14ac:dyDescent="0.3">
      <c r="A188" s="2" t="s">
        <v>234</v>
      </c>
      <c r="B188" s="3">
        <v>46161</v>
      </c>
      <c r="C188" s="2" t="s">
        <v>51</v>
      </c>
      <c r="D188" s="2" t="s">
        <v>22</v>
      </c>
      <c r="E188" s="2" t="s">
        <v>208</v>
      </c>
    </row>
    <row r="189" spans="1:5" x14ac:dyDescent="0.3">
      <c r="A189" s="2" t="s">
        <v>234</v>
      </c>
      <c r="B189" s="3">
        <v>46274</v>
      </c>
      <c r="C189" s="2" t="s">
        <v>51</v>
      </c>
      <c r="D189" s="2" t="s">
        <v>22</v>
      </c>
      <c r="E189" s="2" t="s">
        <v>208</v>
      </c>
    </row>
    <row r="190" spans="1:5" x14ac:dyDescent="0.3">
      <c r="A190" s="2" t="s">
        <v>235</v>
      </c>
      <c r="B190" s="3">
        <v>46161</v>
      </c>
      <c r="C190" s="2" t="s">
        <v>51</v>
      </c>
      <c r="D190" s="2" t="s">
        <v>22</v>
      </c>
      <c r="E190" s="2" t="s">
        <v>208</v>
      </c>
    </row>
    <row r="191" spans="1:5" x14ac:dyDescent="0.3">
      <c r="A191" s="2" t="s">
        <v>236</v>
      </c>
      <c r="B191" s="3">
        <v>46162</v>
      </c>
      <c r="C191" s="2" t="s">
        <v>108</v>
      </c>
      <c r="D191" s="2" t="s">
        <v>22</v>
      </c>
      <c r="E191" s="2" t="s">
        <v>208</v>
      </c>
    </row>
    <row r="192" spans="1:5" x14ac:dyDescent="0.3">
      <c r="A192" s="2" t="s">
        <v>238</v>
      </c>
      <c r="B192" s="3">
        <v>46162</v>
      </c>
      <c r="C192" s="2" t="s">
        <v>51</v>
      </c>
      <c r="D192" s="2" t="s">
        <v>22</v>
      </c>
      <c r="E192" s="2" t="s">
        <v>208</v>
      </c>
    </row>
    <row r="193" spans="1:5" x14ac:dyDescent="0.3">
      <c r="A193" s="2" t="s">
        <v>239</v>
      </c>
      <c r="B193" s="3">
        <v>46163</v>
      </c>
      <c r="C193" s="2" t="s">
        <v>51</v>
      </c>
      <c r="D193" s="2" t="s">
        <v>22</v>
      </c>
      <c r="E193" s="2" t="s">
        <v>208</v>
      </c>
    </row>
    <row r="194" spans="1:5" x14ac:dyDescent="0.3">
      <c r="A194" s="2" t="s">
        <v>240</v>
      </c>
      <c r="B194" s="3">
        <v>46155</v>
      </c>
      <c r="C194" s="2" t="s">
        <v>35</v>
      </c>
      <c r="D194" s="2" t="s">
        <v>26</v>
      </c>
      <c r="E194" s="2" t="s">
        <v>31</v>
      </c>
    </row>
    <row r="195" spans="1:5" x14ac:dyDescent="0.3">
      <c r="A195" s="2" t="s">
        <v>240</v>
      </c>
      <c r="B195" s="3">
        <v>46232</v>
      </c>
      <c r="C195" s="2" t="s">
        <v>35</v>
      </c>
      <c r="D195" s="2" t="s">
        <v>26</v>
      </c>
      <c r="E195" s="2" t="s">
        <v>31</v>
      </c>
    </row>
    <row r="196" spans="1:5" x14ac:dyDescent="0.3">
      <c r="A196" s="2" t="s">
        <v>241</v>
      </c>
      <c r="B196" s="3">
        <v>46164</v>
      </c>
      <c r="C196" s="2" t="s">
        <v>51</v>
      </c>
      <c r="D196" s="2" t="s">
        <v>40</v>
      </c>
      <c r="E196" s="2" t="s">
        <v>17</v>
      </c>
    </row>
    <row r="197" spans="1:5" x14ac:dyDescent="0.3">
      <c r="A197" s="2" t="s">
        <v>242</v>
      </c>
      <c r="B197" s="3">
        <v>46164</v>
      </c>
      <c r="C197" s="2" t="s">
        <v>51</v>
      </c>
      <c r="D197" s="2" t="s">
        <v>40</v>
      </c>
      <c r="E197" s="2" t="s">
        <v>17</v>
      </c>
    </row>
    <row r="198" spans="1:5" x14ac:dyDescent="0.3">
      <c r="A198" s="2" t="s">
        <v>243</v>
      </c>
      <c r="B198" s="3">
        <v>46165</v>
      </c>
      <c r="C198" s="2" t="s">
        <v>108</v>
      </c>
      <c r="D198" s="2" t="s">
        <v>45</v>
      </c>
      <c r="E198" s="2" t="s">
        <v>17</v>
      </c>
    </row>
    <row r="199" spans="1:5" x14ac:dyDescent="0.3">
      <c r="A199" s="2" t="s">
        <v>244</v>
      </c>
      <c r="B199" s="3">
        <v>46168</v>
      </c>
      <c r="C199" s="2" t="s">
        <v>51</v>
      </c>
      <c r="D199" s="2" t="s">
        <v>26</v>
      </c>
      <c r="E199" s="2" t="s">
        <v>208</v>
      </c>
    </row>
    <row r="200" spans="1:5" x14ac:dyDescent="0.3">
      <c r="A200" s="2" t="s">
        <v>245</v>
      </c>
      <c r="B200" s="3">
        <v>46144</v>
      </c>
      <c r="C200" s="2" t="s">
        <v>51</v>
      </c>
      <c r="D200" s="2" t="s">
        <v>298</v>
      </c>
      <c r="E200" s="2" t="s">
        <v>31</v>
      </c>
    </row>
    <row r="201" spans="1:5" x14ac:dyDescent="0.3">
      <c r="A201" s="2" t="s">
        <v>246</v>
      </c>
      <c r="B201" s="3">
        <v>46168</v>
      </c>
      <c r="C201" s="2" t="s">
        <v>51</v>
      </c>
      <c r="D201" s="2" t="s">
        <v>22</v>
      </c>
      <c r="E201" s="2" t="s">
        <v>208</v>
      </c>
    </row>
    <row r="202" spans="1:5" x14ac:dyDescent="0.3">
      <c r="A202" s="2" t="s">
        <v>247</v>
      </c>
      <c r="B202" s="3">
        <v>46168</v>
      </c>
      <c r="C202" s="2" t="s">
        <v>51</v>
      </c>
      <c r="D202" s="2" t="s">
        <v>40</v>
      </c>
      <c r="E202" s="2" t="s">
        <v>17</v>
      </c>
    </row>
    <row r="203" spans="1:5" x14ac:dyDescent="0.3">
      <c r="A203" s="2" t="s">
        <v>248</v>
      </c>
      <c r="B203" s="3">
        <v>46168</v>
      </c>
      <c r="C203" s="2" t="s">
        <v>51</v>
      </c>
      <c r="D203" s="2" t="s">
        <v>40</v>
      </c>
      <c r="E203" s="2" t="s">
        <v>17</v>
      </c>
    </row>
    <row r="204" spans="1:5" x14ac:dyDescent="0.3">
      <c r="A204" s="2" t="s">
        <v>249</v>
      </c>
      <c r="B204" s="3">
        <v>46169</v>
      </c>
      <c r="C204" s="2" t="s">
        <v>35</v>
      </c>
      <c r="D204" s="2" t="s">
        <v>300</v>
      </c>
      <c r="E204" s="2" t="s">
        <v>208</v>
      </c>
    </row>
    <row r="205" spans="1:5" x14ac:dyDescent="0.3">
      <c r="A205" s="2" t="s">
        <v>250</v>
      </c>
      <c r="B205" s="3">
        <v>46172</v>
      </c>
      <c r="C205" s="2" t="s">
        <v>51</v>
      </c>
      <c r="D205" s="2" t="s">
        <v>251</v>
      </c>
      <c r="E205" s="2" t="s">
        <v>17</v>
      </c>
    </row>
    <row r="206" spans="1:5" x14ac:dyDescent="0.3">
      <c r="A206" s="2" t="s">
        <v>252</v>
      </c>
      <c r="B206" s="3">
        <v>46172</v>
      </c>
      <c r="C206" s="2" t="s">
        <v>51</v>
      </c>
      <c r="D206" s="2" t="s">
        <v>40</v>
      </c>
      <c r="E206" s="2" t="s">
        <v>17</v>
      </c>
    </row>
    <row r="207" spans="1:5" x14ac:dyDescent="0.3">
      <c r="A207" s="2" t="s">
        <v>253</v>
      </c>
      <c r="B207" s="3">
        <v>46175</v>
      </c>
      <c r="C207" s="2" t="s">
        <v>51</v>
      </c>
      <c r="D207" s="2" t="s">
        <v>151</v>
      </c>
      <c r="E207" s="2" t="s">
        <v>31</v>
      </c>
    </row>
    <row r="208" spans="1:5" x14ac:dyDescent="0.3">
      <c r="A208" s="2" t="s">
        <v>254</v>
      </c>
      <c r="B208" s="3">
        <v>46175</v>
      </c>
      <c r="C208" s="2" t="s">
        <v>51</v>
      </c>
      <c r="D208" s="2" t="s">
        <v>183</v>
      </c>
      <c r="E208" s="2" t="s">
        <v>208</v>
      </c>
    </row>
    <row r="209" spans="1:5" x14ac:dyDescent="0.3">
      <c r="A209" s="2" t="s">
        <v>255</v>
      </c>
      <c r="B209" s="3">
        <v>46175</v>
      </c>
      <c r="C209" s="2" t="s">
        <v>51</v>
      </c>
      <c r="D209" s="2" t="s">
        <v>22</v>
      </c>
      <c r="E209" s="2" t="s">
        <v>208</v>
      </c>
    </row>
    <row r="210" spans="1:5" x14ac:dyDescent="0.3">
      <c r="A210" s="2" t="s">
        <v>256</v>
      </c>
      <c r="B210" s="3">
        <v>46174</v>
      </c>
      <c r="C210" s="2" t="s">
        <v>51</v>
      </c>
      <c r="D210" s="2" t="s">
        <v>257</v>
      </c>
      <c r="E210" s="2" t="s">
        <v>31</v>
      </c>
    </row>
    <row r="211" spans="1:5" x14ac:dyDescent="0.3">
      <c r="A211" s="2" t="s">
        <v>258</v>
      </c>
      <c r="B211" s="3">
        <v>46176</v>
      </c>
      <c r="C211" s="2" t="s">
        <v>51</v>
      </c>
      <c r="D211" s="2" t="s">
        <v>302</v>
      </c>
      <c r="E211" s="2" t="s">
        <v>208</v>
      </c>
    </row>
    <row r="212" spans="1:5" x14ac:dyDescent="0.3">
      <c r="A212" s="2" t="s">
        <v>259</v>
      </c>
      <c r="B212" s="3">
        <v>46176</v>
      </c>
      <c r="C212" s="2" t="s">
        <v>51</v>
      </c>
      <c r="D212" s="2" t="s">
        <v>301</v>
      </c>
      <c r="E212" s="2" t="s">
        <v>208</v>
      </c>
    </row>
    <row r="213" spans="1:5" x14ac:dyDescent="0.3">
      <c r="A213" s="2" t="s">
        <v>260</v>
      </c>
      <c r="B213" s="3">
        <v>46182</v>
      </c>
      <c r="C213" s="2" t="s">
        <v>51</v>
      </c>
      <c r="D213" s="2" t="s">
        <v>302</v>
      </c>
      <c r="E213" s="2" t="s">
        <v>208</v>
      </c>
    </row>
    <row r="214" spans="1:5" x14ac:dyDescent="0.3">
      <c r="A214" s="2" t="s">
        <v>261</v>
      </c>
      <c r="B214" s="3">
        <v>46182</v>
      </c>
      <c r="C214" s="2" t="s">
        <v>51</v>
      </c>
      <c r="D214" s="2" t="s">
        <v>302</v>
      </c>
      <c r="E214" s="2" t="s">
        <v>208</v>
      </c>
    </row>
    <row r="215" spans="1:5" x14ac:dyDescent="0.3">
      <c r="A215" s="2" t="s">
        <v>264</v>
      </c>
      <c r="B215" s="3">
        <v>46182</v>
      </c>
      <c r="C215" s="2" t="s">
        <v>35</v>
      </c>
      <c r="D215" s="2" t="s">
        <v>298</v>
      </c>
      <c r="E215" s="2" t="s">
        <v>17</v>
      </c>
    </row>
    <row r="216" spans="1:5" x14ac:dyDescent="0.3">
      <c r="A216" s="2" t="s">
        <v>264</v>
      </c>
      <c r="B216" s="3">
        <v>46238</v>
      </c>
      <c r="C216" s="2" t="s">
        <v>35</v>
      </c>
      <c r="D216" s="2" t="s">
        <v>307</v>
      </c>
      <c r="E216" s="2" t="s">
        <v>17</v>
      </c>
    </row>
    <row r="217" spans="1:5" x14ac:dyDescent="0.3">
      <c r="A217" s="2" t="s">
        <v>265</v>
      </c>
      <c r="B217" s="3">
        <v>46183</v>
      </c>
      <c r="C217" s="2" t="s">
        <v>51</v>
      </c>
      <c r="D217" s="2" t="s">
        <v>301</v>
      </c>
      <c r="E217" s="2" t="s">
        <v>208</v>
      </c>
    </row>
    <row r="218" spans="1:5" x14ac:dyDescent="0.3">
      <c r="A218" s="2" t="s">
        <v>266</v>
      </c>
      <c r="B218" s="3">
        <v>46183</v>
      </c>
      <c r="C218" s="2" t="s">
        <v>51</v>
      </c>
      <c r="D218" s="2" t="s">
        <v>301</v>
      </c>
      <c r="E218" s="2" t="s">
        <v>208</v>
      </c>
    </row>
    <row r="219" spans="1:5" x14ac:dyDescent="0.3">
      <c r="A219" s="2" t="s">
        <v>267</v>
      </c>
      <c r="B219" s="3">
        <v>46184</v>
      </c>
      <c r="C219" s="2" t="s">
        <v>51</v>
      </c>
      <c r="D219" s="2" t="s">
        <v>22</v>
      </c>
      <c r="E219" s="2" t="s">
        <v>208</v>
      </c>
    </row>
    <row r="220" spans="1:5" x14ac:dyDescent="0.3">
      <c r="A220" s="2" t="s">
        <v>268</v>
      </c>
      <c r="B220" s="3">
        <v>46184</v>
      </c>
      <c r="C220" s="2" t="s">
        <v>51</v>
      </c>
      <c r="D220" s="2" t="s">
        <v>301</v>
      </c>
      <c r="E220" s="2" t="s">
        <v>208</v>
      </c>
    </row>
    <row r="221" spans="1:5" x14ac:dyDescent="0.3">
      <c r="A221" s="2" t="s">
        <v>269</v>
      </c>
      <c r="B221" s="3">
        <v>46190</v>
      </c>
      <c r="C221" s="2" t="s">
        <v>51</v>
      </c>
      <c r="D221" s="2" t="s">
        <v>270</v>
      </c>
      <c r="E221" s="2" t="s">
        <v>31</v>
      </c>
    </row>
    <row r="222" spans="1:5" x14ac:dyDescent="0.3">
      <c r="A222" s="2" t="s">
        <v>271</v>
      </c>
      <c r="B222" s="3">
        <v>46191</v>
      </c>
      <c r="C222" s="2" t="s">
        <v>51</v>
      </c>
      <c r="D222" s="2" t="s">
        <v>302</v>
      </c>
      <c r="E222" s="2" t="s">
        <v>208</v>
      </c>
    </row>
    <row r="223" spans="1:5" x14ac:dyDescent="0.3">
      <c r="A223" s="2" t="s">
        <v>272</v>
      </c>
      <c r="B223" s="3">
        <v>46191</v>
      </c>
      <c r="C223" s="2" t="s">
        <v>35</v>
      </c>
      <c r="D223" s="2" t="s">
        <v>26</v>
      </c>
      <c r="E223" s="2" t="s">
        <v>31</v>
      </c>
    </row>
    <row r="224" spans="1:5" x14ac:dyDescent="0.3">
      <c r="A224" s="2" t="s">
        <v>273</v>
      </c>
      <c r="B224" s="3">
        <v>46191</v>
      </c>
      <c r="C224" s="2" t="s">
        <v>51</v>
      </c>
      <c r="D224" s="2" t="s">
        <v>302</v>
      </c>
      <c r="E224" s="2" t="s">
        <v>208</v>
      </c>
    </row>
    <row r="225" spans="1:5" x14ac:dyDescent="0.3">
      <c r="A225" s="2" t="s">
        <v>274</v>
      </c>
      <c r="B225" s="3">
        <v>46195</v>
      </c>
      <c r="C225" s="2" t="s">
        <v>51</v>
      </c>
      <c r="D225" s="2" t="s">
        <v>22</v>
      </c>
      <c r="E225" s="2" t="s">
        <v>208</v>
      </c>
    </row>
    <row r="226" spans="1:5" x14ac:dyDescent="0.3">
      <c r="A226" s="2" t="s">
        <v>275</v>
      </c>
      <c r="B226" s="3">
        <v>46196</v>
      </c>
      <c r="C226" s="2" t="s">
        <v>51</v>
      </c>
      <c r="D226" s="2" t="s">
        <v>22</v>
      </c>
      <c r="E226" s="2" t="s">
        <v>208</v>
      </c>
    </row>
    <row r="227" spans="1:5" x14ac:dyDescent="0.3">
      <c r="A227" s="2" t="s">
        <v>276</v>
      </c>
      <c r="B227" s="3">
        <v>46196</v>
      </c>
      <c r="C227" s="2" t="s">
        <v>51</v>
      </c>
      <c r="D227" s="2" t="s">
        <v>301</v>
      </c>
      <c r="E227" s="2" t="s">
        <v>208</v>
      </c>
    </row>
    <row r="228" spans="1:5" x14ac:dyDescent="0.3">
      <c r="A228" s="2" t="s">
        <v>277</v>
      </c>
      <c r="B228" s="3">
        <v>46196</v>
      </c>
      <c r="C228" s="2" t="s">
        <v>51</v>
      </c>
      <c r="D228" s="2" t="s">
        <v>301</v>
      </c>
      <c r="E228" s="2" t="s">
        <v>208</v>
      </c>
    </row>
    <row r="229" spans="1:5" x14ac:dyDescent="0.3">
      <c r="A229" s="2" t="s">
        <v>278</v>
      </c>
      <c r="B229" s="3">
        <v>46197</v>
      </c>
      <c r="C229" s="2" t="s">
        <v>51</v>
      </c>
      <c r="D229" s="2" t="s">
        <v>200</v>
      </c>
      <c r="E229" s="2" t="s">
        <v>31</v>
      </c>
    </row>
    <row r="230" spans="1:5" x14ac:dyDescent="0.3">
      <c r="A230" s="2" t="s">
        <v>279</v>
      </c>
      <c r="B230" s="3">
        <v>46197</v>
      </c>
      <c r="C230" s="2" t="s">
        <v>51</v>
      </c>
      <c r="D230" s="2" t="s">
        <v>301</v>
      </c>
      <c r="E230" s="2" t="s">
        <v>208</v>
      </c>
    </row>
    <row r="231" spans="1:5" x14ac:dyDescent="0.3">
      <c r="A231" s="2" t="s">
        <v>280</v>
      </c>
      <c r="B231" s="3">
        <v>46199</v>
      </c>
      <c r="C231" s="2" t="s">
        <v>51</v>
      </c>
      <c r="D231" s="2" t="s">
        <v>304</v>
      </c>
      <c r="E231" s="2" t="s">
        <v>208</v>
      </c>
    </row>
    <row r="232" spans="1:5" x14ac:dyDescent="0.3">
      <c r="A232" s="2" t="s">
        <v>281</v>
      </c>
      <c r="B232" s="3">
        <v>46197</v>
      </c>
      <c r="C232" s="2" t="s">
        <v>108</v>
      </c>
      <c r="D232" s="2" t="s">
        <v>251</v>
      </c>
      <c r="E232" s="2" t="s">
        <v>17</v>
      </c>
    </row>
    <row r="233" spans="1:5" x14ac:dyDescent="0.3">
      <c r="A233" s="2" t="s">
        <v>282</v>
      </c>
      <c r="B233" s="3">
        <v>46197</v>
      </c>
      <c r="C233" s="2" t="s">
        <v>35</v>
      </c>
      <c r="D233" s="2" t="s">
        <v>26</v>
      </c>
      <c r="E233" s="2" t="s">
        <v>17</v>
      </c>
    </row>
    <row r="234" spans="1:5" x14ac:dyDescent="0.3">
      <c r="A234" s="2" t="s">
        <v>283</v>
      </c>
      <c r="B234" s="3">
        <v>46205</v>
      </c>
      <c r="C234" s="2" t="s">
        <v>51</v>
      </c>
      <c r="D234" s="2" t="s">
        <v>320</v>
      </c>
      <c r="E234" s="2" t="s">
        <v>208</v>
      </c>
    </row>
    <row r="235" spans="1:5" x14ac:dyDescent="0.3">
      <c r="A235" s="2" t="s">
        <v>284</v>
      </c>
      <c r="B235" s="3">
        <v>46205</v>
      </c>
      <c r="C235" s="2" t="s">
        <v>35</v>
      </c>
      <c r="D235" s="2" t="s">
        <v>183</v>
      </c>
      <c r="E235" s="2" t="s">
        <v>208</v>
      </c>
    </row>
    <row r="236" spans="1:5" x14ac:dyDescent="0.3">
      <c r="A236" s="2" t="s">
        <v>285</v>
      </c>
      <c r="B236" s="3">
        <v>46205</v>
      </c>
      <c r="C236" s="2" t="s">
        <v>51</v>
      </c>
      <c r="D236" s="2" t="s">
        <v>22</v>
      </c>
      <c r="E236" s="2" t="s">
        <v>208</v>
      </c>
    </row>
    <row r="237" spans="1:5" x14ac:dyDescent="0.3">
      <c r="A237" s="2" t="s">
        <v>286</v>
      </c>
      <c r="B237" s="3">
        <v>46206</v>
      </c>
      <c r="C237" s="2" t="s">
        <v>51</v>
      </c>
      <c r="D237" s="2" t="s">
        <v>321</v>
      </c>
      <c r="E237" s="2" t="s">
        <v>208</v>
      </c>
    </row>
    <row r="238" spans="1:5" x14ac:dyDescent="0.3">
      <c r="A238" s="2" t="s">
        <v>287</v>
      </c>
      <c r="B238" s="3">
        <v>46210</v>
      </c>
      <c r="C238" s="2" t="s">
        <v>51</v>
      </c>
      <c r="D238" s="2" t="s">
        <v>22</v>
      </c>
      <c r="E238" s="2" t="s">
        <v>208</v>
      </c>
    </row>
    <row r="239" spans="1:5" x14ac:dyDescent="0.3">
      <c r="A239" s="2" t="s">
        <v>288</v>
      </c>
      <c r="B239" s="3">
        <v>46211</v>
      </c>
      <c r="C239" s="2" t="s">
        <v>35</v>
      </c>
      <c r="D239" s="2" t="s">
        <v>300</v>
      </c>
      <c r="E239" s="2" t="s">
        <v>208</v>
      </c>
    </row>
    <row r="240" spans="1:5" x14ac:dyDescent="0.3">
      <c r="A240" s="2" t="s">
        <v>289</v>
      </c>
      <c r="B240" s="3">
        <v>46216</v>
      </c>
      <c r="C240" s="2" t="s">
        <v>51</v>
      </c>
      <c r="D240" s="2" t="s">
        <v>302</v>
      </c>
      <c r="E240" s="2" t="s">
        <v>208</v>
      </c>
    </row>
    <row r="241" spans="1:5" x14ac:dyDescent="0.3">
      <c r="A241" s="2" t="s">
        <v>291</v>
      </c>
      <c r="B241" s="3">
        <v>46217</v>
      </c>
      <c r="C241" s="2" t="s">
        <v>51</v>
      </c>
      <c r="D241" s="2" t="s">
        <v>270</v>
      </c>
      <c r="E241" s="2" t="s">
        <v>31</v>
      </c>
    </row>
    <row r="242" spans="1:5" x14ac:dyDescent="0.3">
      <c r="A242" s="2" t="s">
        <v>292</v>
      </c>
      <c r="B242" s="3">
        <v>46217</v>
      </c>
      <c r="C242" s="2" t="s">
        <v>51</v>
      </c>
      <c r="D242" s="2" t="s">
        <v>22</v>
      </c>
      <c r="E242" s="2" t="s">
        <v>208</v>
      </c>
    </row>
    <row r="243" spans="1:5" x14ac:dyDescent="0.3">
      <c r="A243" s="2" t="s">
        <v>294</v>
      </c>
      <c r="B243" s="3">
        <v>46219</v>
      </c>
      <c r="C243" s="2" t="s">
        <v>51</v>
      </c>
      <c r="D243" s="2" t="s">
        <v>263</v>
      </c>
      <c r="E243" s="2" t="s">
        <v>17</v>
      </c>
    </row>
    <row r="244" spans="1:5" x14ac:dyDescent="0.3">
      <c r="A244" s="2" t="s">
        <v>295</v>
      </c>
      <c r="B244" s="3">
        <v>46231</v>
      </c>
      <c r="C244" s="2" t="s">
        <v>51</v>
      </c>
      <c r="D244" s="2" t="s">
        <v>302</v>
      </c>
      <c r="E244" s="2" t="s">
        <v>208</v>
      </c>
    </row>
    <row r="245" spans="1:5" x14ac:dyDescent="0.3">
      <c r="A245" s="2" t="s">
        <v>296</v>
      </c>
      <c r="B245" s="3">
        <v>46225</v>
      </c>
      <c r="C245" s="2" t="s">
        <v>35</v>
      </c>
      <c r="D245" s="2" t="s">
        <v>26</v>
      </c>
      <c r="E245" s="2" t="s">
        <v>17</v>
      </c>
    </row>
    <row r="246" spans="1:5" x14ac:dyDescent="0.3">
      <c r="A246" s="2" t="s">
        <v>297</v>
      </c>
      <c r="B246" s="3">
        <v>46226</v>
      </c>
      <c r="C246" s="2" t="s">
        <v>51</v>
      </c>
      <c r="D246" s="2" t="s">
        <v>138</v>
      </c>
      <c r="E246" s="2" t="s">
        <v>17</v>
      </c>
    </row>
    <row r="247" spans="1:5" x14ac:dyDescent="0.3">
      <c r="A247" s="2" t="s">
        <v>308</v>
      </c>
      <c r="B247" s="3">
        <v>46234</v>
      </c>
      <c r="C247" s="2" t="s">
        <v>51</v>
      </c>
      <c r="D247" s="2" t="s">
        <v>40</v>
      </c>
      <c r="E247" s="2" t="s">
        <v>17</v>
      </c>
    </row>
    <row r="248" spans="1:5" x14ac:dyDescent="0.3">
      <c r="A248" s="2" t="s">
        <v>309</v>
      </c>
      <c r="B248" s="3">
        <v>46237</v>
      </c>
      <c r="C248" s="2" t="s">
        <v>51</v>
      </c>
      <c r="D248" s="2" t="s">
        <v>71</v>
      </c>
      <c r="E248" s="2" t="s">
        <v>208</v>
      </c>
    </row>
    <row r="249" spans="1:5" x14ac:dyDescent="0.3">
      <c r="A249" s="2" t="s">
        <v>310</v>
      </c>
      <c r="B249" s="3">
        <v>46235</v>
      </c>
      <c r="C249" s="2" t="s">
        <v>51</v>
      </c>
      <c r="D249" s="2" t="s">
        <v>45</v>
      </c>
      <c r="E249" s="2" t="s">
        <v>17</v>
      </c>
    </row>
    <row r="250" spans="1:5" x14ac:dyDescent="0.3">
      <c r="A250" s="2" t="s">
        <v>311</v>
      </c>
      <c r="B250" s="3">
        <v>46235</v>
      </c>
      <c r="C250" s="2" t="s">
        <v>51</v>
      </c>
      <c r="D250" s="2" t="s">
        <v>45</v>
      </c>
      <c r="E250" s="2" t="s">
        <v>17</v>
      </c>
    </row>
    <row r="251" spans="1:5" x14ac:dyDescent="0.3">
      <c r="A251" s="2" t="s">
        <v>312</v>
      </c>
      <c r="B251" s="3">
        <v>46235</v>
      </c>
      <c r="C251" s="2" t="s">
        <v>51</v>
      </c>
      <c r="D251" s="2" t="s">
        <v>45</v>
      </c>
      <c r="E251" s="2" t="s">
        <v>17</v>
      </c>
    </row>
    <row r="252" spans="1:5" x14ac:dyDescent="0.3">
      <c r="A252" s="2" t="s">
        <v>313</v>
      </c>
      <c r="B252" s="3">
        <v>46238</v>
      </c>
      <c r="C252" s="2" t="s">
        <v>51</v>
      </c>
      <c r="D252" s="2" t="s">
        <v>40</v>
      </c>
      <c r="E252" s="2" t="s">
        <v>17</v>
      </c>
    </row>
    <row r="253" spans="1:5" x14ac:dyDescent="0.3">
      <c r="A253" s="2" t="s">
        <v>314</v>
      </c>
      <c r="B253" s="3">
        <v>46240</v>
      </c>
      <c r="C253" s="2" t="s">
        <v>35</v>
      </c>
      <c r="D253" s="2" t="s">
        <v>307</v>
      </c>
      <c r="E253" s="2" t="s">
        <v>17</v>
      </c>
    </row>
    <row r="254" spans="1:5" x14ac:dyDescent="0.3">
      <c r="A254" s="2" t="s">
        <v>315</v>
      </c>
      <c r="B254" s="3">
        <v>46240</v>
      </c>
      <c r="C254" s="2" t="s">
        <v>51</v>
      </c>
      <c r="D254" s="2" t="s">
        <v>316</v>
      </c>
      <c r="E254" s="2" t="s">
        <v>208</v>
      </c>
    </row>
    <row r="255" spans="1:5" x14ac:dyDescent="0.3">
      <c r="A255" s="2" t="s">
        <v>317</v>
      </c>
      <c r="B255" s="3">
        <v>46240</v>
      </c>
      <c r="C255" s="2" t="s">
        <v>51</v>
      </c>
      <c r="D255" s="2" t="s">
        <v>306</v>
      </c>
      <c r="E255" s="2" t="s">
        <v>208</v>
      </c>
    </row>
    <row r="256" spans="1:5" x14ac:dyDescent="0.3">
      <c r="A256" s="2" t="s">
        <v>319</v>
      </c>
      <c r="B256" s="3">
        <v>46241</v>
      </c>
      <c r="C256" s="2" t="s">
        <v>51</v>
      </c>
      <c r="D256" s="2" t="s">
        <v>306</v>
      </c>
      <c r="E256" s="2" t="s">
        <v>208</v>
      </c>
    </row>
    <row r="257" spans="1:5" x14ac:dyDescent="0.3">
      <c r="A257" s="2" t="s">
        <v>322</v>
      </c>
      <c r="B257" s="3">
        <v>46246</v>
      </c>
      <c r="C257" s="2" t="s">
        <v>51</v>
      </c>
      <c r="D257" s="2" t="s">
        <v>22</v>
      </c>
      <c r="E257" s="2" t="s">
        <v>208</v>
      </c>
    </row>
    <row r="258" spans="1:5" x14ac:dyDescent="0.3">
      <c r="A258" s="2" t="s">
        <v>323</v>
      </c>
      <c r="B258" s="3">
        <v>46247</v>
      </c>
      <c r="C258" s="2" t="s">
        <v>51</v>
      </c>
      <c r="D258" s="2" t="s">
        <v>71</v>
      </c>
      <c r="E258" s="2" t="s">
        <v>208</v>
      </c>
    </row>
    <row r="259" spans="1:5" x14ac:dyDescent="0.3">
      <c r="A259" s="2" t="s">
        <v>325</v>
      </c>
      <c r="B259" s="3">
        <v>46247</v>
      </c>
      <c r="C259" s="2" t="s">
        <v>51</v>
      </c>
      <c r="D259" s="2" t="s">
        <v>22</v>
      </c>
      <c r="E259" s="2" t="s">
        <v>208</v>
      </c>
    </row>
    <row r="260" spans="1:5" x14ac:dyDescent="0.3">
      <c r="A260" s="2" t="s">
        <v>326</v>
      </c>
      <c r="B260" s="3">
        <v>46248</v>
      </c>
      <c r="C260" s="2" t="s">
        <v>51</v>
      </c>
      <c r="D260" s="2" t="s">
        <v>71</v>
      </c>
      <c r="E260" s="2" t="s">
        <v>208</v>
      </c>
    </row>
    <row r="261" spans="1:5" x14ac:dyDescent="0.3">
      <c r="A261" s="2" t="s">
        <v>327</v>
      </c>
      <c r="B261" s="3">
        <v>46248</v>
      </c>
      <c r="C261" s="2" t="s">
        <v>51</v>
      </c>
      <c r="D261" s="2" t="s">
        <v>224</v>
      </c>
      <c r="E261" s="2" t="s">
        <v>208</v>
      </c>
    </row>
    <row r="262" spans="1:5" x14ac:dyDescent="0.3">
      <c r="A262" s="2" t="s">
        <v>328</v>
      </c>
      <c r="B262" s="3">
        <v>46252</v>
      </c>
      <c r="C262" s="2" t="s">
        <v>51</v>
      </c>
      <c r="D262" s="2" t="s">
        <v>22</v>
      </c>
      <c r="E262" s="2" t="s">
        <v>208</v>
      </c>
    </row>
    <row r="263" spans="1:5" x14ac:dyDescent="0.3">
      <c r="A263" s="2" t="s">
        <v>329</v>
      </c>
      <c r="B263" s="3">
        <v>46254</v>
      </c>
      <c r="C263" s="2" t="s">
        <v>51</v>
      </c>
      <c r="D263" s="2" t="s">
        <v>224</v>
      </c>
      <c r="E263" s="2" t="s">
        <v>208</v>
      </c>
    </row>
    <row r="264" spans="1:5" x14ac:dyDescent="0.3">
      <c r="A264" s="2" t="s">
        <v>333</v>
      </c>
      <c r="B264" s="3">
        <v>46259</v>
      </c>
      <c r="C264" s="2" t="s">
        <v>51</v>
      </c>
      <c r="D264" s="2" t="s">
        <v>224</v>
      </c>
      <c r="E264" s="2" t="s">
        <v>208</v>
      </c>
    </row>
    <row r="265" spans="1:5" x14ac:dyDescent="0.3">
      <c r="A265" s="2" t="s">
        <v>334</v>
      </c>
      <c r="B265" s="3">
        <v>46260</v>
      </c>
      <c r="C265" s="2" t="s">
        <v>51</v>
      </c>
      <c r="D265" s="2" t="s">
        <v>22</v>
      </c>
      <c r="E265" s="2" t="s">
        <v>208</v>
      </c>
    </row>
    <row r="266" spans="1:5" x14ac:dyDescent="0.3">
      <c r="A266" s="2" t="s">
        <v>335</v>
      </c>
      <c r="B266" s="3">
        <v>46267</v>
      </c>
      <c r="C266" s="2" t="s">
        <v>51</v>
      </c>
      <c r="D266" s="2" t="s">
        <v>22</v>
      </c>
      <c r="E266" s="2" t="s">
        <v>208</v>
      </c>
    </row>
    <row r="267" spans="1:5" x14ac:dyDescent="0.3">
      <c r="A267" s="2" t="s">
        <v>338</v>
      </c>
      <c r="B267" s="3">
        <v>46272</v>
      </c>
      <c r="C267" s="2" t="s">
        <v>35</v>
      </c>
      <c r="D267" s="2" t="s">
        <v>332</v>
      </c>
      <c r="E267" s="2" t="s">
        <v>208</v>
      </c>
    </row>
    <row r="268" spans="1:5" x14ac:dyDescent="0.3">
      <c r="A268" s="2" t="s">
        <v>336</v>
      </c>
      <c r="B268" s="3">
        <v>46273</v>
      </c>
      <c r="C268" s="2" t="s">
        <v>51</v>
      </c>
      <c r="D268" s="2" t="s">
        <v>224</v>
      </c>
      <c r="E268" s="2" t="s">
        <v>208</v>
      </c>
    </row>
    <row r="269" spans="1:5" x14ac:dyDescent="0.3">
      <c r="A269" s="2" t="s">
        <v>339</v>
      </c>
      <c r="B269" s="3">
        <v>46273</v>
      </c>
      <c r="C269" s="2" t="s">
        <v>51</v>
      </c>
      <c r="D269" s="2" t="s">
        <v>306</v>
      </c>
      <c r="E269" s="2" t="s">
        <v>208</v>
      </c>
    </row>
    <row r="270" spans="1:5" x14ac:dyDescent="0.3">
      <c r="A270" s="2" t="s">
        <v>337</v>
      </c>
      <c r="B270" s="3">
        <v>46276</v>
      </c>
      <c r="C270" s="2" t="s">
        <v>51</v>
      </c>
      <c r="D270" s="2" t="s">
        <v>306</v>
      </c>
      <c r="E270" s="2" t="s">
        <v>208</v>
      </c>
    </row>
    <row r="271" spans="1:5" x14ac:dyDescent="0.3">
      <c r="A271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46"/>
  <sheetViews>
    <sheetView tabSelected="1" workbookViewId="0">
      <selection activeCell="I430" sqref="I430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 t="shared" ref="F2:F65" si="0"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26993</v>
      </c>
      <c r="B3" s="4" t="s">
        <v>28</v>
      </c>
      <c r="C3" s="4" t="s">
        <v>15</v>
      </c>
      <c r="D3" s="4" t="s">
        <v>16</v>
      </c>
      <c r="E3" s="4" t="s">
        <v>122</v>
      </c>
      <c r="F3" s="4" t="str">
        <f t="shared" si="0"/>
        <v>3MC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23722</v>
      </c>
      <c r="Q3" s="4" t="s">
        <v>19</v>
      </c>
      <c r="R3" s="4">
        <v>34165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26994</v>
      </c>
      <c r="B4" s="4" t="s">
        <v>28</v>
      </c>
      <c r="C4" s="4" t="s">
        <v>15</v>
      </c>
      <c r="D4" s="4" t="s">
        <v>23</v>
      </c>
      <c r="E4" s="4" t="s">
        <v>114</v>
      </c>
      <c r="F4" s="4" t="str">
        <f t="shared" si="0"/>
        <v>6MC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23723</v>
      </c>
      <c r="Q4" s="4" t="s">
        <v>19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27007</v>
      </c>
      <c r="B5" s="4" t="s">
        <v>28</v>
      </c>
      <c r="C5" s="4" t="s">
        <v>15</v>
      </c>
      <c r="D5" s="4" t="s">
        <v>16</v>
      </c>
      <c r="E5" s="4" t="s">
        <v>121</v>
      </c>
      <c r="F5" s="4" t="str">
        <f t="shared" si="0"/>
        <v>2MC</v>
      </c>
      <c r="G5" s="5">
        <v>46024</v>
      </c>
      <c r="H5" s="6">
        <v>0.87430555555555556</v>
      </c>
      <c r="I5" s="5">
        <v>46024</v>
      </c>
      <c r="J5" s="5">
        <v>46024</v>
      </c>
      <c r="K5" s="5">
        <v>46024</v>
      </c>
      <c r="L5" s="4" t="s">
        <v>106</v>
      </c>
      <c r="M5" s="4" t="s">
        <v>84</v>
      </c>
      <c r="N5" s="4" t="s">
        <v>21</v>
      </c>
      <c r="O5" s="4" t="s">
        <v>18</v>
      </c>
      <c r="P5" s="4">
        <v>23732</v>
      </c>
      <c r="Q5" s="4" t="s">
        <v>19</v>
      </c>
      <c r="R5" s="4">
        <v>33963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27008</v>
      </c>
      <c r="B6" s="4" t="s">
        <v>28</v>
      </c>
      <c r="C6" s="4" t="s">
        <v>15</v>
      </c>
      <c r="D6" s="4" t="s">
        <v>16</v>
      </c>
      <c r="E6" s="4" t="s">
        <v>53</v>
      </c>
      <c r="F6" s="4" t="str">
        <f t="shared" si="0"/>
        <v>3MC</v>
      </c>
      <c r="G6" s="5">
        <v>46024</v>
      </c>
      <c r="H6" s="6">
        <v>0.87430555555555556</v>
      </c>
      <c r="I6" s="5">
        <v>46024</v>
      </c>
      <c r="J6" s="5">
        <v>46024</v>
      </c>
      <c r="K6" s="5">
        <v>46024</v>
      </c>
      <c r="L6" s="4" t="s">
        <v>106</v>
      </c>
      <c r="M6" s="4" t="s">
        <v>84</v>
      </c>
      <c r="N6" s="4" t="s">
        <v>21</v>
      </c>
      <c r="O6" s="4" t="s">
        <v>18</v>
      </c>
      <c r="P6" s="4">
        <v>23733</v>
      </c>
      <c r="Q6" s="4" t="s">
        <v>19</v>
      </c>
      <c r="R6" s="4">
        <v>33964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27009</v>
      </c>
      <c r="B7" s="4" t="s">
        <v>28</v>
      </c>
      <c r="C7" s="4" t="s">
        <v>15</v>
      </c>
      <c r="D7" s="4" t="s">
        <v>16</v>
      </c>
      <c r="E7" s="4" t="s">
        <v>111</v>
      </c>
      <c r="F7" s="4" t="str">
        <f t="shared" si="0"/>
        <v>6MC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46041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23734</v>
      </c>
      <c r="Q7" s="4" t="s">
        <v>19</v>
      </c>
      <c r="R7" s="4">
        <v>34478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27102</v>
      </c>
      <c r="B8" s="4" t="s">
        <v>28</v>
      </c>
      <c r="C8" s="4" t="s">
        <v>15</v>
      </c>
      <c r="D8" s="4" t="s">
        <v>16</v>
      </c>
      <c r="E8" s="4" t="s">
        <v>115</v>
      </c>
      <c r="F8" s="4" t="str">
        <f t="shared" si="0"/>
        <v>2ML</v>
      </c>
      <c r="G8" s="5">
        <v>46027</v>
      </c>
      <c r="H8" s="6">
        <v>0.32430555555555557</v>
      </c>
      <c r="I8" s="5">
        <v>46027</v>
      </c>
      <c r="J8" s="5">
        <v>46027</v>
      </c>
      <c r="K8" s="5">
        <v>46027</v>
      </c>
      <c r="L8" s="4" t="s">
        <v>64</v>
      </c>
      <c r="M8" s="4" t="s">
        <v>37</v>
      </c>
      <c r="N8" s="4" t="s">
        <v>21</v>
      </c>
      <c r="O8" s="4" t="s">
        <v>24</v>
      </c>
      <c r="P8" s="4">
        <v>23769</v>
      </c>
      <c r="Q8" s="4" t="s">
        <v>19</v>
      </c>
      <c r="R8" s="4">
        <v>34170</v>
      </c>
      <c r="S8" s="4" t="str">
        <f>VLOOKUP(L8&amp;TEXT(I8,"mmmm")&amp;YEAR(I8),'[1]Detalle C-Fecha'!$D$2:$E$15921,2,FALSE)</f>
        <v>ADA_CH - Danone Arg. S.A. - Chascomus</v>
      </c>
    </row>
    <row r="9" spans="1:19" x14ac:dyDescent="0.3">
      <c r="A9" s="4">
        <v>27103</v>
      </c>
      <c r="B9" s="4" t="s">
        <v>28</v>
      </c>
      <c r="C9" s="4" t="s">
        <v>15</v>
      </c>
      <c r="D9" s="4" t="s">
        <v>16</v>
      </c>
      <c r="E9" s="4" t="s">
        <v>116</v>
      </c>
      <c r="F9" s="4" t="str">
        <f t="shared" si="0"/>
        <v>3ML</v>
      </c>
      <c r="G9" s="5">
        <v>46027</v>
      </c>
      <c r="H9" s="6">
        <v>0.32430555555555557</v>
      </c>
      <c r="I9" s="5">
        <v>46027</v>
      </c>
      <c r="J9" s="5">
        <v>46027</v>
      </c>
      <c r="K9" s="5">
        <v>46027</v>
      </c>
      <c r="L9" s="4" t="s">
        <v>64</v>
      </c>
      <c r="M9" s="4" t="s">
        <v>37</v>
      </c>
      <c r="N9" s="4" t="s">
        <v>21</v>
      </c>
      <c r="O9" s="4" t="s">
        <v>24</v>
      </c>
      <c r="P9" s="4">
        <v>23770</v>
      </c>
      <c r="Q9" s="4" t="s">
        <v>19</v>
      </c>
      <c r="R9" s="4">
        <v>34171</v>
      </c>
      <c r="S9" s="4" t="str">
        <f>VLOOKUP(L9&amp;TEXT(I9,"mmmm")&amp;YEAR(I9),'[1]Detalle C-Fecha'!$D$2:$E$15921,2,FALSE)</f>
        <v>ADA_CH - Danone Arg. S.A. - Chascomus</v>
      </c>
    </row>
    <row r="10" spans="1:19" x14ac:dyDescent="0.3">
      <c r="A10" s="4">
        <v>27104</v>
      </c>
      <c r="B10" s="4" t="s">
        <v>28</v>
      </c>
      <c r="C10" s="4" t="s">
        <v>15</v>
      </c>
      <c r="D10" s="4" t="s">
        <v>16</v>
      </c>
      <c r="E10" s="4" t="s">
        <v>117</v>
      </c>
      <c r="F10" s="4" t="str">
        <f t="shared" si="0"/>
        <v>6ML</v>
      </c>
      <c r="G10" s="5">
        <v>46027</v>
      </c>
      <c r="H10" s="6">
        <v>0.32430555555555557</v>
      </c>
      <c r="I10" s="5">
        <v>46027</v>
      </c>
      <c r="J10" s="5">
        <v>46027</v>
      </c>
      <c r="K10" s="5">
        <v>46027</v>
      </c>
      <c r="L10" s="4" t="s">
        <v>64</v>
      </c>
      <c r="M10" s="4" t="s">
        <v>37</v>
      </c>
      <c r="N10" s="4" t="s">
        <v>21</v>
      </c>
      <c r="O10" s="4" t="s">
        <v>24</v>
      </c>
      <c r="P10" s="4">
        <v>23771</v>
      </c>
      <c r="Q10" s="4" t="s">
        <v>19</v>
      </c>
      <c r="R10" s="4">
        <v>34172</v>
      </c>
      <c r="S10" s="4" t="str">
        <f>VLOOKUP(L10&amp;TEXT(I10,"mmmm")&amp;YEAR(I10),'[1]Detalle C-Fecha'!$D$2:$E$15921,2,FALSE)</f>
        <v>ADA_CH - Danone Arg. S.A. - Chascomus</v>
      </c>
    </row>
    <row r="11" spans="1:19" x14ac:dyDescent="0.3">
      <c r="A11" s="4">
        <v>27158</v>
      </c>
      <c r="B11" s="4" t="s">
        <v>28</v>
      </c>
      <c r="C11" s="4" t="s">
        <v>15</v>
      </c>
      <c r="D11" s="4" t="s">
        <v>16</v>
      </c>
      <c r="E11" s="4" t="s">
        <v>115</v>
      </c>
      <c r="F11" s="4" t="str">
        <f t="shared" si="0"/>
        <v>2ML</v>
      </c>
      <c r="G11" s="5">
        <v>46028</v>
      </c>
      <c r="H11" s="6">
        <v>0.30486111111111108</v>
      </c>
      <c r="I11" s="5">
        <v>46028</v>
      </c>
      <c r="J11" s="5">
        <v>46028</v>
      </c>
      <c r="K11" s="5">
        <v>46041</v>
      </c>
      <c r="L11" s="4" t="s">
        <v>54</v>
      </c>
      <c r="M11" s="4" t="s">
        <v>37</v>
      </c>
      <c r="N11" s="4" t="s">
        <v>21</v>
      </c>
      <c r="O11" s="4" t="s">
        <v>24</v>
      </c>
      <c r="P11" s="4">
        <v>23813</v>
      </c>
      <c r="Q11" s="4" t="s">
        <v>19</v>
      </c>
      <c r="R11" s="4">
        <v>34492</v>
      </c>
      <c r="S11" s="4" t="str">
        <f>VLOOKUP(L11&amp;TEXT(I11,"mmmm")&amp;YEAR(I11),'[1]Detalle C-Fecha'!$D$2:$E$15921,2,FALSE)</f>
        <v>ADA_CH - Danone Arg. S.A. - Chascomus</v>
      </c>
    </row>
    <row r="12" spans="1:19" x14ac:dyDescent="0.3">
      <c r="A12" s="4">
        <v>27159</v>
      </c>
      <c r="B12" s="4" t="s">
        <v>28</v>
      </c>
      <c r="C12" s="4" t="s">
        <v>15</v>
      </c>
      <c r="D12" s="4" t="s">
        <v>16</v>
      </c>
      <c r="E12" s="4" t="s">
        <v>116</v>
      </c>
      <c r="F12" s="4" t="str">
        <f t="shared" si="0"/>
        <v>3ML</v>
      </c>
      <c r="G12" s="5">
        <v>46028</v>
      </c>
      <c r="H12" s="6">
        <v>0.30486111111111108</v>
      </c>
      <c r="I12" s="5">
        <v>46028</v>
      </c>
      <c r="J12" s="5">
        <v>46028</v>
      </c>
      <c r="K12" s="5">
        <v>46041</v>
      </c>
      <c r="L12" s="4" t="s">
        <v>54</v>
      </c>
      <c r="M12" s="4" t="s">
        <v>37</v>
      </c>
      <c r="N12" s="4" t="s">
        <v>21</v>
      </c>
      <c r="O12" s="4" t="s">
        <v>24</v>
      </c>
      <c r="P12" s="4">
        <v>23814</v>
      </c>
      <c r="Q12" s="4" t="s">
        <v>19</v>
      </c>
      <c r="R12" s="4">
        <v>34493</v>
      </c>
      <c r="S12" s="4" t="str">
        <f>VLOOKUP(L12&amp;TEXT(I12,"mmmm")&amp;YEAR(I12),'[1]Detalle C-Fecha'!$D$2:$E$15921,2,FALSE)</f>
        <v>ADA_CH - Danone Arg. S.A. - Chascomus</v>
      </c>
    </row>
    <row r="13" spans="1:19" x14ac:dyDescent="0.3">
      <c r="A13" s="4">
        <v>27160</v>
      </c>
      <c r="B13" s="4" t="s">
        <v>28</v>
      </c>
      <c r="C13" s="4" t="s">
        <v>15</v>
      </c>
      <c r="D13" s="4" t="s">
        <v>16</v>
      </c>
      <c r="E13" s="4" t="s">
        <v>116</v>
      </c>
      <c r="F13" s="4" t="str">
        <f t="shared" si="0"/>
        <v>3ML</v>
      </c>
      <c r="G13" s="5">
        <v>46028</v>
      </c>
      <c r="H13" s="6">
        <v>0.30486111111111108</v>
      </c>
      <c r="I13" s="5">
        <v>46028</v>
      </c>
      <c r="J13" s="5">
        <v>46028</v>
      </c>
      <c r="K13" s="5">
        <v>46041</v>
      </c>
      <c r="L13" s="4" t="s">
        <v>54</v>
      </c>
      <c r="M13" s="4" t="s">
        <v>37</v>
      </c>
      <c r="N13" s="4" t="s">
        <v>21</v>
      </c>
      <c r="O13" s="4" t="s">
        <v>24</v>
      </c>
      <c r="P13" s="4">
        <v>23815</v>
      </c>
      <c r="Q13" s="4" t="s">
        <v>19</v>
      </c>
      <c r="R13" s="4">
        <v>34494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27228</v>
      </c>
      <c r="B14" s="4" t="s">
        <v>28</v>
      </c>
      <c r="C14" s="4" t="s">
        <v>15</v>
      </c>
      <c r="D14" s="4" t="s">
        <v>16</v>
      </c>
      <c r="E14" s="4" t="s">
        <v>35</v>
      </c>
      <c r="F14" s="4" t="str">
        <f t="shared" si="0"/>
        <v>2ML</v>
      </c>
      <c r="G14" s="5">
        <v>46028</v>
      </c>
      <c r="H14" s="6">
        <v>0.46736111111111112</v>
      </c>
      <c r="I14" s="5">
        <v>46028</v>
      </c>
      <c r="J14" s="5">
        <v>46028</v>
      </c>
      <c r="K14" s="5">
        <v>46028</v>
      </c>
      <c r="L14" s="4" t="s">
        <v>29</v>
      </c>
      <c r="M14" s="4" t="s">
        <v>30</v>
      </c>
      <c r="N14" s="4" t="s">
        <v>31</v>
      </c>
      <c r="O14" s="4" t="s">
        <v>25</v>
      </c>
      <c r="P14" s="4">
        <v>23853</v>
      </c>
      <c r="Q14" s="4" t="s">
        <v>19</v>
      </c>
      <c r="R14" s="4">
        <v>35202</v>
      </c>
      <c r="S14" s="4" t="str">
        <f>VLOOKUP(L14&amp;TEXT(I14,"mmmm")&amp;YEAR(I14),'[1]Detalle C-Fecha'!$D$2:$E$15921,2,FALSE)</f>
        <v>Expreso - Servicios Troncales</v>
      </c>
    </row>
    <row r="15" spans="1:19" x14ac:dyDescent="0.3">
      <c r="A15" s="4">
        <v>27229</v>
      </c>
      <c r="B15" s="4" t="s">
        <v>28</v>
      </c>
      <c r="C15" s="4" t="s">
        <v>15</v>
      </c>
      <c r="D15" s="4" t="s">
        <v>16</v>
      </c>
      <c r="E15" s="4" t="s">
        <v>47</v>
      </c>
      <c r="F15" s="4" t="str">
        <f t="shared" si="0"/>
        <v>3ML</v>
      </c>
      <c r="G15" s="5">
        <v>46028</v>
      </c>
      <c r="H15" s="6">
        <v>0.46736111111111112</v>
      </c>
      <c r="I15" s="5">
        <v>46028</v>
      </c>
      <c r="J15" s="5">
        <v>46028</v>
      </c>
      <c r="K15" s="5">
        <v>46028</v>
      </c>
      <c r="L15" s="4" t="s">
        <v>29</v>
      </c>
      <c r="M15" s="4" t="s">
        <v>30</v>
      </c>
      <c r="N15" s="4" t="s">
        <v>31</v>
      </c>
      <c r="O15" s="4" t="s">
        <v>25</v>
      </c>
      <c r="P15" s="4">
        <v>23854</v>
      </c>
      <c r="Q15" s="4" t="s">
        <v>19</v>
      </c>
      <c r="R15" s="4">
        <v>35225</v>
      </c>
      <c r="S15" s="4" t="str">
        <f>VLOOKUP(L15&amp;TEXT(I15,"mmmm")&amp;YEAR(I15),'[1]Detalle C-Fecha'!$D$2:$E$15921,2,FALSE)</f>
        <v>Expreso - Servicios Troncales</v>
      </c>
    </row>
    <row r="16" spans="1:19" x14ac:dyDescent="0.3">
      <c r="A16" s="4">
        <v>27230</v>
      </c>
      <c r="B16" s="4" t="s">
        <v>28</v>
      </c>
      <c r="C16" s="4" t="s">
        <v>15</v>
      </c>
      <c r="D16" s="4" t="s">
        <v>16</v>
      </c>
      <c r="E16" s="4" t="s">
        <v>137</v>
      </c>
      <c r="F16" s="4" t="str">
        <f t="shared" si="0"/>
        <v>7ML</v>
      </c>
      <c r="G16" s="5">
        <v>46028</v>
      </c>
      <c r="H16" s="6">
        <v>0.46736111111111112</v>
      </c>
      <c r="I16" s="5">
        <v>46028</v>
      </c>
      <c r="J16" s="5">
        <v>46028</v>
      </c>
      <c r="K16" s="5">
        <v>46028</v>
      </c>
      <c r="L16" s="4" t="s">
        <v>29</v>
      </c>
      <c r="M16" s="4" t="s">
        <v>30</v>
      </c>
      <c r="N16" s="4" t="s">
        <v>31</v>
      </c>
      <c r="O16" s="4" t="s">
        <v>25</v>
      </c>
      <c r="P16" s="4">
        <v>23855</v>
      </c>
      <c r="Q16" s="4" t="s">
        <v>19</v>
      </c>
      <c r="R16" s="4">
        <v>35391</v>
      </c>
      <c r="S16" s="4" t="str">
        <f>VLOOKUP(L16&amp;TEXT(I16,"mmmm")&amp;YEAR(I16),'[1]Detalle C-Fecha'!$D$2:$E$15921,2,FALSE)</f>
        <v>Expreso - Servicios Troncales</v>
      </c>
    </row>
    <row r="17" spans="1:19" x14ac:dyDescent="0.3">
      <c r="A17" s="4">
        <v>27231</v>
      </c>
      <c r="B17" s="4" t="s">
        <v>28</v>
      </c>
      <c r="C17" s="4" t="s">
        <v>15</v>
      </c>
      <c r="D17" s="4" t="s">
        <v>16</v>
      </c>
      <c r="E17" s="4" t="s">
        <v>46</v>
      </c>
      <c r="F17" s="4" t="str">
        <f t="shared" si="0"/>
        <v>6ML</v>
      </c>
      <c r="G17" s="5">
        <v>46028</v>
      </c>
      <c r="H17" s="6">
        <v>0.46736111111111112</v>
      </c>
      <c r="I17" s="5">
        <v>46028</v>
      </c>
      <c r="J17" s="5">
        <v>46028</v>
      </c>
      <c r="K17" s="5">
        <v>46028</v>
      </c>
      <c r="L17" s="4" t="s">
        <v>29</v>
      </c>
      <c r="M17" s="4" t="s">
        <v>30</v>
      </c>
      <c r="N17" s="4" t="s">
        <v>31</v>
      </c>
      <c r="O17" s="4" t="s">
        <v>25</v>
      </c>
      <c r="P17" s="4">
        <v>23856</v>
      </c>
      <c r="Q17" s="4" t="s">
        <v>19</v>
      </c>
      <c r="R17" s="4">
        <v>35392</v>
      </c>
      <c r="S17" s="4" t="str">
        <f>VLOOKUP(L17&amp;TEXT(I17,"mmmm")&amp;YEAR(I17),'[1]Detalle C-Fecha'!$D$2:$E$15921,2,FALSE)</f>
        <v>Expreso - Servicios Troncales</v>
      </c>
    </row>
    <row r="18" spans="1:19" x14ac:dyDescent="0.3">
      <c r="A18" s="4">
        <v>27255</v>
      </c>
      <c r="B18" s="4" t="s">
        <v>28</v>
      </c>
      <c r="C18" s="4" t="s">
        <v>15</v>
      </c>
      <c r="D18" s="4" t="s">
        <v>16</v>
      </c>
      <c r="E18" s="4" t="s">
        <v>51</v>
      </c>
      <c r="F18" s="4" t="str">
        <f t="shared" si="0"/>
        <v>2MC</v>
      </c>
      <c r="G18" s="5">
        <v>46028</v>
      </c>
      <c r="H18" s="6">
        <v>0.68402777777777779</v>
      </c>
      <c r="I18" s="5">
        <v>46028</v>
      </c>
      <c r="J18" s="5">
        <v>46028</v>
      </c>
      <c r="K18" s="5">
        <v>46041</v>
      </c>
      <c r="L18" s="4" t="s">
        <v>83</v>
      </c>
      <c r="M18" s="4" t="s">
        <v>50</v>
      </c>
      <c r="N18" s="4" t="s">
        <v>21</v>
      </c>
      <c r="O18" s="4" t="s">
        <v>24</v>
      </c>
      <c r="P18" s="4">
        <v>23872</v>
      </c>
      <c r="Q18" s="4" t="s">
        <v>19</v>
      </c>
      <c r="R18" s="4">
        <v>34501</v>
      </c>
      <c r="S18" s="4" t="str">
        <f>VLOOKUP(L18&amp;TEXT(I18,"mmmm")&amp;YEAR(I18),'[1]Detalle C-Fecha'!$D$2:$E$15921,2,FALSE)</f>
        <v>CCUDyAZA</v>
      </c>
    </row>
    <row r="19" spans="1:19" x14ac:dyDescent="0.3">
      <c r="A19" s="4">
        <v>27256</v>
      </c>
      <c r="B19" s="4" t="s">
        <v>28</v>
      </c>
      <c r="C19" s="4" t="s">
        <v>15</v>
      </c>
      <c r="D19" s="4" t="s">
        <v>16</v>
      </c>
      <c r="E19" s="4" t="s">
        <v>53</v>
      </c>
      <c r="F19" s="4" t="str">
        <f t="shared" si="0"/>
        <v>3MC</v>
      </c>
      <c r="G19" s="5">
        <v>46028</v>
      </c>
      <c r="H19" s="6">
        <v>0.68402777777777779</v>
      </c>
      <c r="I19" s="5">
        <v>46028</v>
      </c>
      <c r="J19" s="5">
        <v>46028</v>
      </c>
      <c r="K19" s="5">
        <v>46041</v>
      </c>
      <c r="L19" s="4" t="s">
        <v>83</v>
      </c>
      <c r="M19" s="4" t="s">
        <v>50</v>
      </c>
      <c r="N19" s="4" t="s">
        <v>21</v>
      </c>
      <c r="O19" s="4" t="s">
        <v>24</v>
      </c>
      <c r="P19" s="4">
        <v>23873</v>
      </c>
      <c r="Q19" s="4" t="s">
        <v>19</v>
      </c>
      <c r="R19" s="4">
        <v>34502</v>
      </c>
      <c r="S19" s="4" t="str">
        <f>VLOOKUP(L19&amp;TEXT(I19,"mmmm")&amp;YEAR(I19),'[1]Detalle C-Fecha'!$D$2:$E$15921,2,FALSE)</f>
        <v>CCUDyAZA</v>
      </c>
    </row>
    <row r="20" spans="1:19" x14ac:dyDescent="0.3">
      <c r="A20" s="4">
        <v>27257</v>
      </c>
      <c r="B20" s="4" t="s">
        <v>28</v>
      </c>
      <c r="C20" s="4" t="s">
        <v>15</v>
      </c>
      <c r="D20" s="4" t="s">
        <v>16</v>
      </c>
      <c r="E20" s="4" t="s">
        <v>112</v>
      </c>
      <c r="F20" s="4" t="str">
        <f t="shared" si="0"/>
        <v>6MC</v>
      </c>
      <c r="G20" s="5">
        <v>46028</v>
      </c>
      <c r="H20" s="6">
        <v>0.68402777777777779</v>
      </c>
      <c r="I20" s="5">
        <v>46028</v>
      </c>
      <c r="J20" s="5">
        <v>46028</v>
      </c>
      <c r="K20" s="5">
        <v>46041</v>
      </c>
      <c r="L20" s="4" t="s">
        <v>83</v>
      </c>
      <c r="M20" s="4" t="s">
        <v>50</v>
      </c>
      <c r="N20" s="4" t="s">
        <v>21</v>
      </c>
      <c r="O20" s="4" t="s">
        <v>24</v>
      </c>
      <c r="P20" s="4">
        <v>23874</v>
      </c>
      <c r="Q20" s="4" t="s">
        <v>19</v>
      </c>
      <c r="R20" s="4">
        <v>34503</v>
      </c>
      <c r="S20" s="4" t="str">
        <f>VLOOKUP(L20&amp;TEXT(I20,"mmmm")&amp;YEAR(I20),'[1]Detalle C-Fecha'!$D$2:$E$15921,2,FALSE)</f>
        <v>CCUDyAZA</v>
      </c>
    </row>
    <row r="21" spans="1:19" x14ac:dyDescent="0.3">
      <c r="A21" s="4">
        <v>27264</v>
      </c>
      <c r="B21" s="4" t="s">
        <v>28</v>
      </c>
      <c r="C21" s="4" t="s">
        <v>15</v>
      </c>
      <c r="D21" s="4" t="s">
        <v>16</v>
      </c>
      <c r="E21" s="4" t="s">
        <v>115</v>
      </c>
      <c r="F21" s="4" t="str">
        <f t="shared" si="0"/>
        <v>2ML</v>
      </c>
      <c r="G21" s="5">
        <v>46029</v>
      </c>
      <c r="H21" s="6">
        <v>0.29375000000000001</v>
      </c>
      <c r="I21" s="5">
        <v>46029</v>
      </c>
      <c r="J21" s="5">
        <v>46029</v>
      </c>
      <c r="K21" s="5">
        <v>46041</v>
      </c>
      <c r="L21" s="4" t="s">
        <v>70</v>
      </c>
      <c r="M21" s="4" t="s">
        <v>37</v>
      </c>
      <c r="N21" s="4" t="s">
        <v>21</v>
      </c>
      <c r="O21" s="4" t="s">
        <v>24</v>
      </c>
      <c r="P21" s="4">
        <v>23881</v>
      </c>
      <c r="Q21" s="4" t="s">
        <v>19</v>
      </c>
      <c r="R21" s="4">
        <v>34508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27265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46029</v>
      </c>
      <c r="H22" s="6">
        <v>0.29375000000000001</v>
      </c>
      <c r="I22" s="5">
        <v>46029</v>
      </c>
      <c r="J22" s="5">
        <v>46029</v>
      </c>
      <c r="K22" s="5">
        <v>46041</v>
      </c>
      <c r="L22" s="4" t="s">
        <v>70</v>
      </c>
      <c r="M22" s="4" t="s">
        <v>37</v>
      </c>
      <c r="N22" s="4" t="s">
        <v>21</v>
      </c>
      <c r="O22" s="4" t="s">
        <v>24</v>
      </c>
      <c r="P22" s="4">
        <v>23882</v>
      </c>
      <c r="Q22" s="4" t="s">
        <v>19</v>
      </c>
      <c r="R22" s="4">
        <v>34509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27266</v>
      </c>
      <c r="B23" s="4" t="s">
        <v>28</v>
      </c>
      <c r="C23" s="4" t="s">
        <v>15</v>
      </c>
      <c r="D23" s="4" t="s">
        <v>16</v>
      </c>
      <c r="E23" s="4" t="s">
        <v>117</v>
      </c>
      <c r="F23" s="4" t="str">
        <f t="shared" si="0"/>
        <v>6ML</v>
      </c>
      <c r="G23" s="5">
        <v>46029</v>
      </c>
      <c r="H23" s="6">
        <v>0.29375000000000001</v>
      </c>
      <c r="I23" s="5">
        <v>46029</v>
      </c>
      <c r="J23" s="5">
        <v>46029</v>
      </c>
      <c r="K23" s="5">
        <v>46041</v>
      </c>
      <c r="L23" s="4" t="s">
        <v>70</v>
      </c>
      <c r="M23" s="4" t="s">
        <v>37</v>
      </c>
      <c r="N23" s="4" t="s">
        <v>21</v>
      </c>
      <c r="O23" s="4" t="s">
        <v>24</v>
      </c>
      <c r="P23" s="4">
        <v>23883</v>
      </c>
      <c r="Q23" s="4" t="s">
        <v>19</v>
      </c>
      <c r="R23" s="4">
        <v>34510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27279</v>
      </c>
      <c r="B24" s="4" t="s">
        <v>28</v>
      </c>
      <c r="C24" s="4" t="s">
        <v>15</v>
      </c>
      <c r="D24" s="4" t="s">
        <v>16</v>
      </c>
      <c r="E24" s="4" t="s">
        <v>35</v>
      </c>
      <c r="F24" s="4" t="str">
        <f t="shared" si="0"/>
        <v>2ML</v>
      </c>
      <c r="G24" s="5">
        <v>46029</v>
      </c>
      <c r="H24" s="6">
        <v>0.49861111111111112</v>
      </c>
      <c r="I24" s="5">
        <v>46029</v>
      </c>
      <c r="J24" s="5">
        <v>46035</v>
      </c>
      <c r="K24" s="5">
        <v>46035</v>
      </c>
      <c r="L24" s="4" t="s">
        <v>79</v>
      </c>
      <c r="M24" s="4" t="s">
        <v>68</v>
      </c>
      <c r="N24" s="4" t="s">
        <v>17</v>
      </c>
      <c r="O24" s="4" t="s">
        <v>24</v>
      </c>
      <c r="P24" s="4">
        <v>23894</v>
      </c>
      <c r="Q24" s="4" t="s">
        <v>19</v>
      </c>
      <c r="R24" s="4">
        <v>34131</v>
      </c>
      <c r="S24" s="4" t="str">
        <f>VLOOKUP(L24&amp;TEXT(I24,"mmmm")&amp;YEAR(I24),'[1]Detalle C-Fecha'!$D$2:$E$15921,2,FALSE)</f>
        <v>CENCOMLD - Cencosud SA - Mendoza</v>
      </c>
    </row>
    <row r="25" spans="1:19" x14ac:dyDescent="0.3">
      <c r="A25" s="4">
        <v>27280</v>
      </c>
      <c r="B25" s="4" t="s">
        <v>28</v>
      </c>
      <c r="C25" s="4" t="s">
        <v>15</v>
      </c>
      <c r="D25" s="4" t="s">
        <v>16</v>
      </c>
      <c r="E25" s="4" t="s">
        <v>47</v>
      </c>
      <c r="F25" s="4" t="str">
        <f t="shared" si="0"/>
        <v>3ML</v>
      </c>
      <c r="G25" s="5">
        <v>46029</v>
      </c>
      <c r="H25" s="6">
        <v>0.49861111111111112</v>
      </c>
      <c r="I25" s="5">
        <v>46029</v>
      </c>
      <c r="J25" s="5">
        <v>46035</v>
      </c>
      <c r="K25" s="5">
        <v>46035</v>
      </c>
      <c r="L25" s="4" t="s">
        <v>79</v>
      </c>
      <c r="M25" s="4" t="s">
        <v>68</v>
      </c>
      <c r="N25" s="4" t="s">
        <v>17</v>
      </c>
      <c r="O25" s="4" t="s">
        <v>24</v>
      </c>
      <c r="P25" s="4">
        <v>23895</v>
      </c>
      <c r="Q25" s="4" t="s">
        <v>19</v>
      </c>
      <c r="R25" s="4">
        <v>34133</v>
      </c>
      <c r="S25" s="4" t="str">
        <f>VLOOKUP(L25&amp;TEXT(I25,"mmmm")&amp;YEAR(I25),'[1]Detalle C-Fecha'!$D$2:$E$15921,2,FALSE)</f>
        <v>CENCOMLD - Cencosud SA - Mendoza</v>
      </c>
    </row>
    <row r="26" spans="1:19" x14ac:dyDescent="0.3">
      <c r="A26" s="4">
        <v>27281</v>
      </c>
      <c r="B26" s="4" t="s">
        <v>28</v>
      </c>
      <c r="C26" s="4" t="s">
        <v>15</v>
      </c>
      <c r="D26" s="4" t="s">
        <v>16</v>
      </c>
      <c r="E26" s="4" t="s">
        <v>46</v>
      </c>
      <c r="F26" s="4" t="str">
        <f t="shared" si="0"/>
        <v>6ML</v>
      </c>
      <c r="G26" s="5">
        <v>46029</v>
      </c>
      <c r="H26" s="6">
        <v>0.49861111111111112</v>
      </c>
      <c r="I26" s="5">
        <v>46029</v>
      </c>
      <c r="J26" s="5">
        <v>46035</v>
      </c>
      <c r="K26" s="5">
        <v>46035</v>
      </c>
      <c r="L26" s="4" t="s">
        <v>79</v>
      </c>
      <c r="M26" s="4" t="s">
        <v>68</v>
      </c>
      <c r="N26" s="4" t="s">
        <v>17</v>
      </c>
      <c r="O26" s="4" t="s">
        <v>24</v>
      </c>
      <c r="P26" s="4">
        <v>23896</v>
      </c>
      <c r="Q26" s="4" t="s">
        <v>19</v>
      </c>
      <c r="R26" s="4">
        <v>34135</v>
      </c>
      <c r="S26" s="4" t="str">
        <f>VLOOKUP(L26&amp;TEXT(I26,"mmmm")&amp;YEAR(I26),'[1]Detalle C-Fecha'!$D$2:$E$15921,2,FALSE)</f>
        <v>CENCOMLD - Cencosud SA - Mendoza</v>
      </c>
    </row>
    <row r="27" spans="1:19" x14ac:dyDescent="0.3">
      <c r="A27" s="4">
        <v>27291</v>
      </c>
      <c r="B27" s="4" t="s">
        <v>28</v>
      </c>
      <c r="C27" s="4" t="s">
        <v>15</v>
      </c>
      <c r="D27" s="4" t="s">
        <v>16</v>
      </c>
      <c r="E27" s="4" t="s">
        <v>35</v>
      </c>
      <c r="F27" s="4" t="str">
        <f t="shared" si="0"/>
        <v>2ML</v>
      </c>
      <c r="G27" s="5">
        <v>46029</v>
      </c>
      <c r="H27" s="6">
        <v>0.57916666666666672</v>
      </c>
      <c r="I27" s="5">
        <v>46029</v>
      </c>
      <c r="J27" s="5">
        <v>46029</v>
      </c>
      <c r="K27" s="5">
        <v>46029</v>
      </c>
      <c r="L27" s="4" t="s">
        <v>61</v>
      </c>
      <c r="M27" s="4" t="s">
        <v>62</v>
      </c>
      <c r="N27" s="4" t="s">
        <v>31</v>
      </c>
      <c r="O27" s="4" t="s">
        <v>25</v>
      </c>
      <c r="P27" s="4">
        <v>23905</v>
      </c>
      <c r="Q27" s="4" t="s">
        <v>19</v>
      </c>
      <c r="R27" s="4">
        <v>35407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27292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46029</v>
      </c>
      <c r="H28" s="6">
        <v>0.57916666666666672</v>
      </c>
      <c r="I28" s="5">
        <v>46029</v>
      </c>
      <c r="J28" s="5">
        <v>46029</v>
      </c>
      <c r="K28" s="5">
        <v>46029</v>
      </c>
      <c r="L28" s="4" t="s">
        <v>61</v>
      </c>
      <c r="M28" s="4" t="s">
        <v>62</v>
      </c>
      <c r="N28" s="4" t="s">
        <v>31</v>
      </c>
      <c r="O28" s="4" t="s">
        <v>25</v>
      </c>
      <c r="P28" s="4">
        <v>23906</v>
      </c>
      <c r="Q28" s="4" t="s">
        <v>19</v>
      </c>
      <c r="R28" s="4">
        <v>35409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27293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46029</v>
      </c>
      <c r="H29" s="6">
        <v>0.57916666666666672</v>
      </c>
      <c r="I29" s="5">
        <v>46029</v>
      </c>
      <c r="J29" s="5">
        <v>46029</v>
      </c>
      <c r="K29" s="5">
        <v>46029</v>
      </c>
      <c r="L29" s="4" t="s">
        <v>61</v>
      </c>
      <c r="M29" s="4" t="s">
        <v>62</v>
      </c>
      <c r="N29" s="4" t="s">
        <v>31</v>
      </c>
      <c r="O29" s="4" t="s">
        <v>25</v>
      </c>
      <c r="P29" s="4">
        <v>23907</v>
      </c>
      <c r="Q29" s="4" t="s">
        <v>19</v>
      </c>
      <c r="R29" s="4">
        <v>35410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27294</v>
      </c>
      <c r="B30" s="4" t="s">
        <v>28</v>
      </c>
      <c r="C30" s="4" t="s">
        <v>15</v>
      </c>
      <c r="D30" s="4" t="s">
        <v>16</v>
      </c>
      <c r="E30" s="4" t="s">
        <v>46</v>
      </c>
      <c r="F30" s="4" t="str">
        <f t="shared" si="0"/>
        <v>6ML</v>
      </c>
      <c r="G30" s="5">
        <v>46029</v>
      </c>
      <c r="H30" s="6">
        <v>0.57916666666666672</v>
      </c>
      <c r="I30" s="5">
        <v>46029</v>
      </c>
      <c r="J30" s="5">
        <v>46029</v>
      </c>
      <c r="K30" s="5">
        <v>46029</v>
      </c>
      <c r="L30" s="4" t="s">
        <v>61</v>
      </c>
      <c r="M30" s="4" t="s">
        <v>62</v>
      </c>
      <c r="N30" s="4" t="s">
        <v>31</v>
      </c>
      <c r="O30" s="4" t="s">
        <v>25</v>
      </c>
      <c r="P30" s="4">
        <v>23908</v>
      </c>
      <c r="Q30" s="4" t="s">
        <v>19</v>
      </c>
      <c r="R30" s="4">
        <v>35413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27303</v>
      </c>
      <c r="B31" s="4" t="s">
        <v>28</v>
      </c>
      <c r="C31" s="4" t="s">
        <v>15</v>
      </c>
      <c r="D31" s="4" t="s">
        <v>16</v>
      </c>
      <c r="E31" s="4" t="s">
        <v>113</v>
      </c>
      <c r="F31" s="4" t="str">
        <f t="shared" si="0"/>
        <v>2MC</v>
      </c>
      <c r="G31" s="5">
        <v>46029</v>
      </c>
      <c r="H31" s="6">
        <v>0.63888888888888895</v>
      </c>
      <c r="I31" s="5">
        <v>46029</v>
      </c>
      <c r="J31" s="5">
        <v>46029</v>
      </c>
      <c r="K31" s="5">
        <v>46041</v>
      </c>
      <c r="L31" s="4" t="s">
        <v>90</v>
      </c>
      <c r="M31" s="4" t="s">
        <v>49</v>
      </c>
      <c r="N31" s="4" t="s">
        <v>21</v>
      </c>
      <c r="O31" s="4" t="s">
        <v>18</v>
      </c>
      <c r="P31" s="4">
        <v>23915</v>
      </c>
      <c r="Q31" s="4" t="s">
        <v>19</v>
      </c>
      <c r="R31" s="4">
        <v>34513</v>
      </c>
      <c r="S31" s="4" t="str">
        <f>VLOOKUP(L31&amp;TEXT(I31,"mmmm")&amp;YEAR(I31),'[1]Detalle C-Fecha'!$D$2:$E$15921,2,FALSE)</f>
        <v>CMQ_TTE - QUILMES TTE</v>
      </c>
    </row>
    <row r="32" spans="1:19" x14ac:dyDescent="0.3">
      <c r="A32" s="4">
        <v>27304</v>
      </c>
      <c r="B32" s="4" t="s">
        <v>28</v>
      </c>
      <c r="C32" s="4" t="s">
        <v>15</v>
      </c>
      <c r="D32" s="4" t="s">
        <v>16</v>
      </c>
      <c r="E32" s="4" t="s">
        <v>122</v>
      </c>
      <c r="F32" s="4" t="str">
        <f t="shared" si="0"/>
        <v>3MC</v>
      </c>
      <c r="G32" s="5">
        <v>46029</v>
      </c>
      <c r="H32" s="6">
        <v>0.63888888888888895</v>
      </c>
      <c r="I32" s="5">
        <v>46029</v>
      </c>
      <c r="J32" s="5">
        <v>46029</v>
      </c>
      <c r="K32" s="5">
        <v>46029</v>
      </c>
      <c r="L32" s="4" t="s">
        <v>90</v>
      </c>
      <c r="M32" s="4" t="s">
        <v>49</v>
      </c>
      <c r="N32" s="4" t="s">
        <v>21</v>
      </c>
      <c r="O32" s="4" t="s">
        <v>18</v>
      </c>
      <c r="P32" s="4">
        <v>23916</v>
      </c>
      <c r="Q32" s="4" t="s">
        <v>19</v>
      </c>
      <c r="R32" s="4">
        <v>35093</v>
      </c>
      <c r="S32" s="4" t="str">
        <f>VLOOKUP(L32&amp;TEXT(I32,"mmmm")&amp;YEAR(I32),'[1]Detalle C-Fecha'!$D$2:$E$15921,2,FALSE)</f>
        <v>CMQ_TTE - QUILMES TTE</v>
      </c>
    </row>
    <row r="33" spans="1:19" x14ac:dyDescent="0.3">
      <c r="A33" s="4">
        <v>27305</v>
      </c>
      <c r="B33" s="4" t="s">
        <v>28</v>
      </c>
      <c r="C33" s="4" t="s">
        <v>15</v>
      </c>
      <c r="D33" s="4" t="s">
        <v>16</v>
      </c>
      <c r="E33" s="4" t="s">
        <v>114</v>
      </c>
      <c r="F33" s="4" t="str">
        <f t="shared" si="0"/>
        <v>6MC</v>
      </c>
      <c r="G33" s="5">
        <v>46029</v>
      </c>
      <c r="H33" s="6">
        <v>0.63888888888888895</v>
      </c>
      <c r="I33" s="5">
        <v>46029</v>
      </c>
      <c r="J33" s="5">
        <v>46029</v>
      </c>
      <c r="K33" s="5">
        <v>46041</v>
      </c>
      <c r="L33" s="4" t="s">
        <v>90</v>
      </c>
      <c r="M33" s="4" t="s">
        <v>49</v>
      </c>
      <c r="N33" s="4" t="s">
        <v>21</v>
      </c>
      <c r="O33" s="4" t="s">
        <v>18</v>
      </c>
      <c r="P33" s="4">
        <v>23917</v>
      </c>
      <c r="Q33" s="4" t="s">
        <v>19</v>
      </c>
      <c r="R33" s="4">
        <v>34514</v>
      </c>
      <c r="S33" s="4" t="str">
        <f>VLOOKUP(L33&amp;TEXT(I33,"mmmm")&amp;YEAR(I33),'[1]Detalle C-Fecha'!$D$2:$E$15921,2,FALSE)</f>
        <v>CMQ_TTE - QUILMES TTE</v>
      </c>
    </row>
    <row r="34" spans="1:19" x14ac:dyDescent="0.3">
      <c r="A34" s="4">
        <v>27311</v>
      </c>
      <c r="B34" s="4" t="s">
        <v>28</v>
      </c>
      <c r="C34" s="4" t="s">
        <v>15</v>
      </c>
      <c r="D34" s="4" t="s">
        <v>16</v>
      </c>
      <c r="F34" s="4" t="str">
        <f t="shared" si="0"/>
        <v/>
      </c>
      <c r="G34" s="5">
        <v>46029</v>
      </c>
      <c r="H34" s="6">
        <v>0.76736111111111116</v>
      </c>
      <c r="I34" s="5">
        <v>46024</v>
      </c>
      <c r="J34" s="5">
        <v>46024</v>
      </c>
      <c r="K34" s="5">
        <v>46041</v>
      </c>
      <c r="L34" s="4" t="s">
        <v>139</v>
      </c>
      <c r="M34" s="4" t="s">
        <v>86</v>
      </c>
      <c r="N34" s="4" t="s">
        <v>21</v>
      </c>
      <c r="O34" s="4" t="s">
        <v>18</v>
      </c>
      <c r="P34" s="4">
        <v>23923</v>
      </c>
      <c r="Q34" s="4" t="s">
        <v>19</v>
      </c>
      <c r="R34" s="4">
        <v>34479</v>
      </c>
      <c r="S34" s="4" t="str">
        <f>VLOOKUP(L34&amp;TEXT(I34,"mmmm")&amp;YEAR(I34),'[1]Detalle C-Fecha'!$D$2:$E$15921,2,FALSE)</f>
        <v>CMQ_TTE - QUILMES TTE</v>
      </c>
    </row>
    <row r="35" spans="1:19" x14ac:dyDescent="0.3">
      <c r="A35" s="4">
        <v>27314</v>
      </c>
      <c r="B35" s="4" t="s">
        <v>28</v>
      </c>
      <c r="C35" s="4" t="s">
        <v>15</v>
      </c>
      <c r="D35" s="4" t="s">
        <v>16</v>
      </c>
      <c r="E35" s="4" t="s">
        <v>121</v>
      </c>
      <c r="F35" s="4" t="str">
        <f t="shared" si="0"/>
        <v>2MC</v>
      </c>
      <c r="G35" s="5">
        <v>46029</v>
      </c>
      <c r="H35" s="6">
        <v>0.83750000000000002</v>
      </c>
      <c r="I35" s="5">
        <v>46029</v>
      </c>
      <c r="J35" s="5">
        <v>46029</v>
      </c>
      <c r="K35" s="5">
        <v>46041</v>
      </c>
      <c r="L35" s="4" t="s">
        <v>99</v>
      </c>
      <c r="M35" s="4" t="s">
        <v>88</v>
      </c>
      <c r="N35" s="4" t="s">
        <v>21</v>
      </c>
      <c r="O35" s="4" t="s">
        <v>18</v>
      </c>
      <c r="P35" s="4">
        <v>23926</v>
      </c>
      <c r="Q35" s="4" t="s">
        <v>19</v>
      </c>
      <c r="R35" s="4">
        <v>34517</v>
      </c>
      <c r="S35" s="4" t="str">
        <f>VLOOKUP(L35&amp;TEXT(I35,"mmmm")&amp;YEAR(I35),'[1]Detalle C-Fecha'!$D$2:$E$15921,2,FALSE)</f>
        <v>CMQ_TTE - QUILMES TTE</v>
      </c>
    </row>
    <row r="36" spans="1:19" x14ac:dyDescent="0.3">
      <c r="A36" s="4">
        <v>27315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46029</v>
      </c>
      <c r="H36" s="6">
        <v>0.83750000000000002</v>
      </c>
      <c r="I36" s="5">
        <v>46029</v>
      </c>
      <c r="J36" s="5">
        <v>46029</v>
      </c>
      <c r="K36" s="5">
        <v>46041</v>
      </c>
      <c r="L36" s="4" t="s">
        <v>99</v>
      </c>
      <c r="M36" s="4" t="s">
        <v>88</v>
      </c>
      <c r="N36" s="4" t="s">
        <v>21</v>
      </c>
      <c r="O36" s="4" t="s">
        <v>18</v>
      </c>
      <c r="P36" s="4">
        <v>23927</v>
      </c>
      <c r="Q36" s="4" t="s">
        <v>19</v>
      </c>
      <c r="R36" s="4">
        <v>34518</v>
      </c>
      <c r="S36" s="4" t="str">
        <f>VLOOKUP(L36&amp;TEXT(I36,"mmmm")&amp;YEAR(I36),'[1]Detalle C-Fecha'!$D$2:$E$15921,2,FALSE)</f>
        <v>CMQ_TTE - QUILMES TTE</v>
      </c>
    </row>
    <row r="37" spans="1:19" x14ac:dyDescent="0.3">
      <c r="A37" s="4">
        <v>27316</v>
      </c>
      <c r="B37" s="4" t="s">
        <v>28</v>
      </c>
      <c r="C37" s="4" t="s">
        <v>15</v>
      </c>
      <c r="D37" s="4" t="s">
        <v>16</v>
      </c>
      <c r="E37" s="4" t="s">
        <v>111</v>
      </c>
      <c r="F37" s="4" t="str">
        <f t="shared" si="0"/>
        <v>6MC</v>
      </c>
      <c r="G37" s="5">
        <v>46029</v>
      </c>
      <c r="H37" s="6">
        <v>0.83750000000000002</v>
      </c>
      <c r="I37" s="5">
        <v>46029</v>
      </c>
      <c r="J37" s="5">
        <v>46029</v>
      </c>
      <c r="K37" s="5">
        <v>46041</v>
      </c>
      <c r="L37" s="4" t="s">
        <v>99</v>
      </c>
      <c r="M37" s="4" t="s">
        <v>88</v>
      </c>
      <c r="N37" s="4" t="s">
        <v>21</v>
      </c>
      <c r="O37" s="4" t="s">
        <v>18</v>
      </c>
      <c r="P37" s="4">
        <v>23928</v>
      </c>
      <c r="Q37" s="4" t="s">
        <v>19</v>
      </c>
      <c r="R37" s="4">
        <v>34519</v>
      </c>
      <c r="S37" s="4" t="str">
        <f>VLOOKUP(L37&amp;TEXT(I37,"mmmm")&amp;YEAR(I37),'[1]Detalle C-Fecha'!$D$2:$E$15921,2,FALSE)</f>
        <v>CMQ_TTE - QUILMES TTE</v>
      </c>
    </row>
    <row r="38" spans="1:19" x14ac:dyDescent="0.3">
      <c r="A38" s="4">
        <v>27321</v>
      </c>
      <c r="B38" s="4" t="s">
        <v>28</v>
      </c>
      <c r="C38" s="4" t="s">
        <v>15</v>
      </c>
      <c r="D38" s="4" t="s">
        <v>16</v>
      </c>
      <c r="E38" s="4" t="s">
        <v>115</v>
      </c>
      <c r="F38" s="4" t="str">
        <f t="shared" si="0"/>
        <v>2ML</v>
      </c>
      <c r="G38" s="5">
        <v>46030</v>
      </c>
      <c r="H38" s="6">
        <v>0.31666666666666665</v>
      </c>
      <c r="I38" s="5">
        <v>46030</v>
      </c>
      <c r="J38" s="5">
        <v>46030</v>
      </c>
      <c r="K38" s="5">
        <v>46041</v>
      </c>
      <c r="L38" s="4" t="s">
        <v>104</v>
      </c>
      <c r="M38" s="4" t="s">
        <v>37</v>
      </c>
      <c r="N38" s="4" t="s">
        <v>21</v>
      </c>
      <c r="O38" s="4" t="s">
        <v>24</v>
      </c>
      <c r="P38" s="4">
        <v>23933</v>
      </c>
      <c r="Q38" s="4" t="s">
        <v>19</v>
      </c>
      <c r="R38" s="4">
        <v>34522</v>
      </c>
      <c r="S38" s="4" t="str">
        <f>VLOOKUP(L38&amp;TEXT(I38,"mmmm")&amp;YEAR(I38),'[1]Detalle C-Fecha'!$D$2:$E$15921,2,FALSE)</f>
        <v>ADA_CH - Danone Arg. S.A. - Chascomus</v>
      </c>
    </row>
    <row r="39" spans="1:19" x14ac:dyDescent="0.3">
      <c r="A39" s="4">
        <v>27322</v>
      </c>
      <c r="B39" s="4" t="s">
        <v>28</v>
      </c>
      <c r="C39" s="4" t="s">
        <v>15</v>
      </c>
      <c r="D39" s="4" t="s">
        <v>16</v>
      </c>
      <c r="E39" s="4" t="s">
        <v>116</v>
      </c>
      <c r="F39" s="4" t="str">
        <f t="shared" si="0"/>
        <v>3ML</v>
      </c>
      <c r="G39" s="5">
        <v>46030</v>
      </c>
      <c r="H39" s="6">
        <v>0.31666666666666665</v>
      </c>
      <c r="I39" s="5">
        <v>46030</v>
      </c>
      <c r="J39" s="5">
        <v>46030</v>
      </c>
      <c r="K39" s="5">
        <v>46041</v>
      </c>
      <c r="L39" s="4" t="s">
        <v>104</v>
      </c>
      <c r="M39" s="4" t="s">
        <v>37</v>
      </c>
      <c r="N39" s="4" t="s">
        <v>21</v>
      </c>
      <c r="O39" s="4" t="s">
        <v>24</v>
      </c>
      <c r="P39" s="4">
        <v>23934</v>
      </c>
      <c r="Q39" s="4" t="s">
        <v>19</v>
      </c>
      <c r="R39" s="4">
        <v>34523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27323</v>
      </c>
      <c r="B40" s="4" t="s">
        <v>28</v>
      </c>
      <c r="C40" s="4" t="s">
        <v>15</v>
      </c>
      <c r="D40" s="4" t="s">
        <v>16</v>
      </c>
      <c r="E40" s="4" t="s">
        <v>117</v>
      </c>
      <c r="F40" s="4" t="str">
        <f t="shared" si="0"/>
        <v>6ML</v>
      </c>
      <c r="G40" s="5">
        <v>46030</v>
      </c>
      <c r="H40" s="6">
        <v>0.31666666666666665</v>
      </c>
      <c r="I40" s="5">
        <v>46030</v>
      </c>
      <c r="J40" s="5">
        <v>46030</v>
      </c>
      <c r="K40" s="5">
        <v>46041</v>
      </c>
      <c r="L40" s="4" t="s">
        <v>104</v>
      </c>
      <c r="M40" s="4" t="s">
        <v>37</v>
      </c>
      <c r="N40" s="4" t="s">
        <v>21</v>
      </c>
      <c r="O40" s="4" t="s">
        <v>24</v>
      </c>
      <c r="P40" s="4">
        <v>23935</v>
      </c>
      <c r="Q40" s="4" t="s">
        <v>19</v>
      </c>
      <c r="R40" s="4">
        <v>34524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27499</v>
      </c>
      <c r="B41" s="4" t="s">
        <v>28</v>
      </c>
      <c r="C41" s="4" t="s">
        <v>15</v>
      </c>
      <c r="D41" s="4" t="s">
        <v>16</v>
      </c>
      <c r="E41" s="4" t="s">
        <v>115</v>
      </c>
      <c r="F41" s="4" t="str">
        <f t="shared" si="0"/>
        <v>2ML</v>
      </c>
      <c r="G41" s="5">
        <v>46031</v>
      </c>
      <c r="H41" s="6">
        <v>0.51180555555555551</v>
      </c>
      <c r="I41" s="5">
        <v>46031</v>
      </c>
      <c r="J41" s="5">
        <v>46031</v>
      </c>
      <c r="K41" s="5">
        <v>46041</v>
      </c>
      <c r="L41" s="4" t="s">
        <v>96</v>
      </c>
      <c r="M41" s="4" t="s">
        <v>37</v>
      </c>
      <c r="N41" s="4" t="s">
        <v>21</v>
      </c>
      <c r="O41" s="4" t="s">
        <v>24</v>
      </c>
      <c r="P41" s="4">
        <v>24043</v>
      </c>
      <c r="Q41" s="4" t="s">
        <v>19</v>
      </c>
      <c r="R41" s="4">
        <v>34533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27500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46031</v>
      </c>
      <c r="H42" s="6">
        <v>0.51180555555555551</v>
      </c>
      <c r="I42" s="5">
        <v>46031</v>
      </c>
      <c r="J42" s="5">
        <v>46031</v>
      </c>
      <c r="K42" s="5">
        <v>46041</v>
      </c>
      <c r="L42" s="4" t="s">
        <v>96</v>
      </c>
      <c r="M42" s="4" t="s">
        <v>37</v>
      </c>
      <c r="N42" s="4" t="s">
        <v>21</v>
      </c>
      <c r="O42" s="4" t="s">
        <v>24</v>
      </c>
      <c r="P42" s="4">
        <v>24044</v>
      </c>
      <c r="Q42" s="4" t="s">
        <v>19</v>
      </c>
      <c r="R42" s="4">
        <v>34534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27501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46031</v>
      </c>
      <c r="H43" s="6">
        <v>0.51180555555555551</v>
      </c>
      <c r="I43" s="5">
        <v>46031</v>
      </c>
      <c r="J43" s="5">
        <v>46031</v>
      </c>
      <c r="K43" s="5">
        <v>46041</v>
      </c>
      <c r="L43" s="4" t="s">
        <v>96</v>
      </c>
      <c r="M43" s="4" t="s">
        <v>37</v>
      </c>
      <c r="N43" s="4" t="s">
        <v>21</v>
      </c>
      <c r="O43" s="4" t="s">
        <v>24</v>
      </c>
      <c r="P43" s="4">
        <v>24045</v>
      </c>
      <c r="Q43" s="4" t="s">
        <v>19</v>
      </c>
      <c r="R43" s="4">
        <v>34535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27510</v>
      </c>
      <c r="B44" s="4" t="s">
        <v>28</v>
      </c>
      <c r="C44" s="4" t="s">
        <v>15</v>
      </c>
      <c r="D44" s="4" t="s">
        <v>16</v>
      </c>
      <c r="E44" s="4" t="s">
        <v>108</v>
      </c>
      <c r="F44" s="4" t="str">
        <f t="shared" si="0"/>
        <v>2MU</v>
      </c>
      <c r="G44" s="5">
        <v>46031</v>
      </c>
      <c r="H44" s="6">
        <v>0.63750000000000007</v>
      </c>
      <c r="I44" s="5">
        <v>46031</v>
      </c>
      <c r="J44" s="5">
        <v>46031</v>
      </c>
      <c r="K44" s="5">
        <v>46031</v>
      </c>
      <c r="L44" s="4" t="s">
        <v>32</v>
      </c>
      <c r="M44" s="4" t="s">
        <v>33</v>
      </c>
      <c r="N44" s="4" t="s">
        <v>17</v>
      </c>
      <c r="S44" s="4" t="str">
        <f>VLOOKUP(L44&amp;TEXT(I44,"mmmm")&amp;YEAR(I44),'[1]Detalle C-Fecha'!$D$2:$E$15921,2,FALSE)</f>
        <v>CIMSA_MZA</v>
      </c>
    </row>
    <row r="45" spans="1:19" x14ac:dyDescent="0.3">
      <c r="A45" s="4">
        <v>27512</v>
      </c>
      <c r="B45" s="4" t="s">
        <v>28</v>
      </c>
      <c r="C45" s="4" t="s">
        <v>15</v>
      </c>
      <c r="D45" s="4" t="s">
        <v>16</v>
      </c>
      <c r="E45" s="4" t="s">
        <v>109</v>
      </c>
      <c r="F45" s="4" t="str">
        <f t="shared" si="0"/>
        <v>3MU</v>
      </c>
      <c r="G45" s="5">
        <v>46031</v>
      </c>
      <c r="H45" s="6">
        <v>0.64027777777777783</v>
      </c>
      <c r="I45" s="5">
        <v>46031</v>
      </c>
      <c r="J45" s="5">
        <v>46031</v>
      </c>
      <c r="K45" s="5">
        <v>46031</v>
      </c>
      <c r="L45" s="4" t="s">
        <v>32</v>
      </c>
      <c r="M45" s="4" t="s">
        <v>33</v>
      </c>
      <c r="N45" s="4" t="s">
        <v>17</v>
      </c>
      <c r="S45" s="4" t="str">
        <f>VLOOKUP(L45&amp;TEXT(I45,"mmmm")&amp;YEAR(I45),'[1]Detalle C-Fecha'!$D$2:$E$15921,2,FALSE)</f>
        <v>CIMSA_MZA</v>
      </c>
    </row>
    <row r="46" spans="1:19" x14ac:dyDescent="0.3">
      <c r="A46" s="4">
        <v>27513</v>
      </c>
      <c r="B46" s="4" t="s">
        <v>28</v>
      </c>
      <c r="C46" s="4" t="s">
        <v>15</v>
      </c>
      <c r="D46" s="4" t="s">
        <v>16</v>
      </c>
      <c r="E46" s="4" t="s">
        <v>107</v>
      </c>
      <c r="F46" s="4" t="str">
        <f t="shared" si="0"/>
        <v>4MU</v>
      </c>
      <c r="G46" s="5">
        <v>46031</v>
      </c>
      <c r="H46" s="6">
        <v>0.6430555555555556</v>
      </c>
      <c r="I46" s="5">
        <v>46031</v>
      </c>
      <c r="J46" s="5">
        <v>46031</v>
      </c>
      <c r="K46" s="5">
        <v>46031</v>
      </c>
      <c r="L46" s="4" t="s">
        <v>32</v>
      </c>
      <c r="M46" s="4" t="s">
        <v>33</v>
      </c>
      <c r="N46" s="4" t="s">
        <v>17</v>
      </c>
      <c r="S46" s="4" t="str">
        <f>VLOOKUP(L46&amp;TEXT(I46,"mmmm")&amp;YEAR(I46),'[1]Detalle C-Fecha'!$D$2:$E$15921,2,FALSE)</f>
        <v>CIMSA_MZA</v>
      </c>
    </row>
    <row r="47" spans="1:19" x14ac:dyDescent="0.3">
      <c r="A47" s="4">
        <v>27514</v>
      </c>
      <c r="B47" s="4" t="s">
        <v>28</v>
      </c>
      <c r="C47" s="4" t="s">
        <v>15</v>
      </c>
      <c r="D47" s="4" t="s">
        <v>16</v>
      </c>
      <c r="E47" s="4" t="s">
        <v>110</v>
      </c>
      <c r="F47" s="4" t="str">
        <f t="shared" si="0"/>
        <v>5MU</v>
      </c>
      <c r="G47" s="5">
        <v>46031</v>
      </c>
      <c r="H47" s="6">
        <v>0.64513888888888882</v>
      </c>
      <c r="I47" s="5">
        <v>46031</v>
      </c>
      <c r="J47" s="5">
        <v>46031</v>
      </c>
      <c r="K47" s="5">
        <v>46031</v>
      </c>
      <c r="L47" s="4" t="s">
        <v>32</v>
      </c>
      <c r="M47" s="4" t="s">
        <v>33</v>
      </c>
      <c r="N47" s="4" t="s">
        <v>17</v>
      </c>
      <c r="S47" s="4" t="str">
        <f>VLOOKUP(L47&amp;TEXT(I47,"mmmm")&amp;YEAR(I47),'[1]Detalle C-Fecha'!$D$2:$E$15921,2,FALSE)</f>
        <v>CIMSA_MZA</v>
      </c>
    </row>
    <row r="48" spans="1:19" x14ac:dyDescent="0.3">
      <c r="A48" s="4">
        <v>27519</v>
      </c>
      <c r="B48" s="4" t="s">
        <v>28</v>
      </c>
      <c r="C48" s="4" t="s">
        <v>15</v>
      </c>
      <c r="D48" s="4" t="s">
        <v>16</v>
      </c>
      <c r="E48" s="4" t="s">
        <v>51</v>
      </c>
      <c r="F48" s="4" t="str">
        <f t="shared" si="0"/>
        <v>2MC</v>
      </c>
      <c r="G48" s="5">
        <v>46031</v>
      </c>
      <c r="H48" s="6">
        <v>0.68263888888888891</v>
      </c>
      <c r="I48" s="5">
        <v>46031</v>
      </c>
      <c r="J48" s="5">
        <v>46031</v>
      </c>
      <c r="K48" s="5">
        <v>46041</v>
      </c>
      <c r="L48" s="4" t="s">
        <v>77</v>
      </c>
      <c r="M48" s="4" t="s">
        <v>78</v>
      </c>
      <c r="N48" s="4" t="s">
        <v>21</v>
      </c>
      <c r="O48" s="4" t="s">
        <v>18</v>
      </c>
      <c r="P48" s="4">
        <v>24057</v>
      </c>
      <c r="Q48" s="4" t="s">
        <v>19</v>
      </c>
      <c r="R48" s="4">
        <v>34539</v>
      </c>
      <c r="S48" s="4" t="str">
        <f>VLOOKUP(L48&amp;TEXT(I48,"mmmm")&amp;YEAR(I48),'[1]Detalle C-Fecha'!$D$2:$E$15921,2,FALSE)</f>
        <v>CMQ_TTE - QUILMES TTE</v>
      </c>
    </row>
    <row r="49" spans="1:19" x14ac:dyDescent="0.3">
      <c r="A49" s="4">
        <v>27520</v>
      </c>
      <c r="B49" s="4" t="s">
        <v>28</v>
      </c>
      <c r="C49" s="4" t="s">
        <v>15</v>
      </c>
      <c r="D49" s="4" t="s">
        <v>16</v>
      </c>
      <c r="E49" s="4" t="s">
        <v>53</v>
      </c>
      <c r="F49" s="4" t="str">
        <f t="shared" si="0"/>
        <v>3MC</v>
      </c>
      <c r="G49" s="5">
        <v>46031</v>
      </c>
      <c r="H49" s="6">
        <v>0.68263888888888891</v>
      </c>
      <c r="I49" s="5">
        <v>46031</v>
      </c>
      <c r="J49" s="5">
        <v>46031</v>
      </c>
      <c r="K49" s="5">
        <v>46041</v>
      </c>
      <c r="L49" s="4" t="s">
        <v>77</v>
      </c>
      <c r="M49" s="4" t="s">
        <v>78</v>
      </c>
      <c r="N49" s="4" t="s">
        <v>21</v>
      </c>
      <c r="O49" s="4" t="s">
        <v>18</v>
      </c>
      <c r="P49" s="4">
        <v>24058</v>
      </c>
      <c r="Q49" s="4" t="s">
        <v>19</v>
      </c>
      <c r="R49" s="4">
        <v>34540</v>
      </c>
      <c r="S49" s="4" t="str">
        <f>VLOOKUP(L49&amp;TEXT(I49,"mmmm")&amp;YEAR(I49),'[1]Detalle C-Fecha'!$D$2:$E$15921,2,FALSE)</f>
        <v>CMQ_TTE - QUILMES TTE</v>
      </c>
    </row>
    <row r="50" spans="1:19" x14ac:dyDescent="0.3">
      <c r="A50" s="4">
        <v>27521</v>
      </c>
      <c r="B50" s="4" t="s">
        <v>28</v>
      </c>
      <c r="C50" s="4" t="s">
        <v>15</v>
      </c>
      <c r="D50" s="4" t="s">
        <v>16</v>
      </c>
      <c r="E50" s="4" t="s">
        <v>112</v>
      </c>
      <c r="F50" s="4" t="str">
        <f t="shared" si="0"/>
        <v>6MC</v>
      </c>
      <c r="G50" s="5">
        <v>46031</v>
      </c>
      <c r="H50" s="6">
        <v>0.68263888888888891</v>
      </c>
      <c r="I50" s="5">
        <v>46031</v>
      </c>
      <c r="J50" s="5">
        <v>46031</v>
      </c>
      <c r="K50" s="5">
        <v>46041</v>
      </c>
      <c r="L50" s="4" t="s">
        <v>77</v>
      </c>
      <c r="M50" s="4" t="s">
        <v>78</v>
      </c>
      <c r="N50" s="4" t="s">
        <v>21</v>
      </c>
      <c r="O50" s="4" t="s">
        <v>18</v>
      </c>
      <c r="P50" s="4">
        <v>24059</v>
      </c>
      <c r="Q50" s="4" t="s">
        <v>19</v>
      </c>
      <c r="R50" s="4">
        <v>34541</v>
      </c>
      <c r="S50" s="4" t="str">
        <f>VLOOKUP(L50&amp;TEXT(I50,"mmmm")&amp;YEAR(I50),'[1]Detalle C-Fecha'!$D$2:$E$15921,2,FALSE)</f>
        <v>CMQ_TTE - QUILMES TTE</v>
      </c>
    </row>
    <row r="51" spans="1:19" x14ac:dyDescent="0.3">
      <c r="A51" s="4">
        <v>27527</v>
      </c>
      <c r="B51" s="4" t="s">
        <v>28</v>
      </c>
      <c r="C51" s="4" t="s">
        <v>15</v>
      </c>
      <c r="D51" s="4" t="s">
        <v>16</v>
      </c>
      <c r="E51" s="4" t="s">
        <v>115</v>
      </c>
      <c r="F51" s="4" t="str">
        <f t="shared" si="0"/>
        <v>2ML</v>
      </c>
      <c r="G51" s="5">
        <v>46032</v>
      </c>
      <c r="H51" s="6">
        <v>0.32430555555555557</v>
      </c>
      <c r="I51" s="5">
        <v>46032</v>
      </c>
      <c r="J51" s="5">
        <v>46032</v>
      </c>
      <c r="K51" s="5">
        <v>46041</v>
      </c>
      <c r="L51" s="4" t="s">
        <v>75</v>
      </c>
      <c r="M51" s="4" t="s">
        <v>37</v>
      </c>
      <c r="N51" s="4" t="s">
        <v>21</v>
      </c>
      <c r="O51" s="4" t="s">
        <v>24</v>
      </c>
      <c r="P51" s="4">
        <v>24063</v>
      </c>
      <c r="Q51" s="4" t="s">
        <v>19</v>
      </c>
      <c r="R51" s="4">
        <v>34544</v>
      </c>
      <c r="S51" s="4" t="str">
        <f>VLOOKUP(L51&amp;TEXT(I51,"mmmm")&amp;YEAR(I51),'[1]Detalle C-Fecha'!$D$2:$E$15921,2,FALSE)</f>
        <v>ADA_CH - Danone Arg. S.A. - Chascomus</v>
      </c>
    </row>
    <row r="52" spans="1:19" x14ac:dyDescent="0.3">
      <c r="A52" s="4">
        <v>27528</v>
      </c>
      <c r="B52" s="4" t="s">
        <v>28</v>
      </c>
      <c r="C52" s="4" t="s">
        <v>15</v>
      </c>
      <c r="D52" s="4" t="s">
        <v>16</v>
      </c>
      <c r="E52" s="4" t="s">
        <v>116</v>
      </c>
      <c r="F52" s="4" t="str">
        <f t="shared" si="0"/>
        <v>3ML</v>
      </c>
      <c r="G52" s="5">
        <v>46032</v>
      </c>
      <c r="H52" s="6">
        <v>0.32430555555555557</v>
      </c>
      <c r="I52" s="5">
        <v>46032</v>
      </c>
      <c r="J52" s="5">
        <v>46032</v>
      </c>
      <c r="K52" s="5">
        <v>46041</v>
      </c>
      <c r="L52" s="4" t="s">
        <v>75</v>
      </c>
      <c r="M52" s="4" t="s">
        <v>37</v>
      </c>
      <c r="N52" s="4" t="s">
        <v>21</v>
      </c>
      <c r="O52" s="4" t="s">
        <v>24</v>
      </c>
      <c r="P52" s="4">
        <v>24064</v>
      </c>
      <c r="Q52" s="4" t="s">
        <v>19</v>
      </c>
      <c r="R52" s="4">
        <v>34545</v>
      </c>
      <c r="S52" s="4" t="str">
        <f>VLOOKUP(L52&amp;TEXT(I52,"mmmm")&amp;YEAR(I52),'[1]Detalle C-Fecha'!$D$2:$E$15921,2,FALSE)</f>
        <v>ADA_CH - Danone Arg. S.A. - Chascomus</v>
      </c>
    </row>
    <row r="53" spans="1:19" x14ac:dyDescent="0.3">
      <c r="A53" s="4">
        <v>27529</v>
      </c>
      <c r="B53" s="4" t="s">
        <v>28</v>
      </c>
      <c r="C53" s="4" t="s">
        <v>15</v>
      </c>
      <c r="D53" s="4" t="s">
        <v>16</v>
      </c>
      <c r="E53" s="4" t="s">
        <v>117</v>
      </c>
      <c r="F53" s="4" t="str">
        <f t="shared" si="0"/>
        <v>6ML</v>
      </c>
      <c r="G53" s="5">
        <v>46032</v>
      </c>
      <c r="H53" s="6">
        <v>0.32430555555555557</v>
      </c>
      <c r="I53" s="5">
        <v>46032</v>
      </c>
      <c r="J53" s="5">
        <v>46032</v>
      </c>
      <c r="K53" s="5">
        <v>46041</v>
      </c>
      <c r="L53" s="4" t="s">
        <v>75</v>
      </c>
      <c r="M53" s="4" t="s">
        <v>37</v>
      </c>
      <c r="N53" s="4" t="s">
        <v>21</v>
      </c>
      <c r="O53" s="4" t="s">
        <v>24</v>
      </c>
      <c r="P53" s="4">
        <v>24065</v>
      </c>
      <c r="Q53" s="4" t="s">
        <v>19</v>
      </c>
      <c r="R53" s="4">
        <v>34546</v>
      </c>
      <c r="S53" s="4" t="str">
        <f>VLOOKUP(L53&amp;TEXT(I53,"mmmm")&amp;YEAR(I53),'[1]Detalle C-Fecha'!$D$2:$E$15921,2,FALSE)</f>
        <v>ADA_CH - Danone Arg. S.A. - Chascomus</v>
      </c>
    </row>
    <row r="54" spans="1:19" x14ac:dyDescent="0.3">
      <c r="A54" s="4">
        <v>27560</v>
      </c>
      <c r="B54" s="4" t="s">
        <v>28</v>
      </c>
      <c r="C54" s="4" t="s">
        <v>15</v>
      </c>
      <c r="D54" s="4" t="s">
        <v>16</v>
      </c>
      <c r="E54" s="4" t="s">
        <v>113</v>
      </c>
      <c r="F54" s="4" t="str">
        <f t="shared" si="0"/>
        <v>2MC</v>
      </c>
      <c r="G54" s="5">
        <v>46034</v>
      </c>
      <c r="H54" s="6">
        <v>0.63402777777777775</v>
      </c>
      <c r="I54" s="5">
        <v>46034</v>
      </c>
      <c r="J54" s="5">
        <v>46034</v>
      </c>
      <c r="K54" s="5">
        <v>46034</v>
      </c>
      <c r="L54" s="4" t="s">
        <v>98</v>
      </c>
      <c r="M54" s="4" t="s">
        <v>86</v>
      </c>
      <c r="N54" s="4" t="s">
        <v>17</v>
      </c>
      <c r="O54" s="4" t="s">
        <v>24</v>
      </c>
      <c r="P54" s="4">
        <v>24089</v>
      </c>
      <c r="Q54" s="4" t="s">
        <v>19</v>
      </c>
      <c r="R54" s="4">
        <v>34432</v>
      </c>
      <c r="S54" s="4" t="str">
        <f>VLOOKUP(L54&amp;TEXT(I54,"mmmm")&amp;YEAR(I54),'[1]Detalle C-Fecha'!$D$2:$E$15921,2,FALSE)</f>
        <v>CENCO_MZ - Cencosud SA - Mendoza</v>
      </c>
    </row>
    <row r="55" spans="1:19" x14ac:dyDescent="0.3">
      <c r="A55" s="4">
        <v>27561</v>
      </c>
      <c r="B55" s="4" t="s">
        <v>28</v>
      </c>
      <c r="C55" s="4" t="s">
        <v>15</v>
      </c>
      <c r="D55" s="4" t="s">
        <v>16</v>
      </c>
      <c r="E55" s="4" t="s">
        <v>122</v>
      </c>
      <c r="F55" s="4" t="str">
        <f t="shared" si="0"/>
        <v>3MC</v>
      </c>
      <c r="G55" s="5">
        <v>46034</v>
      </c>
      <c r="H55" s="6">
        <v>0.63402777777777775</v>
      </c>
      <c r="I55" s="5">
        <v>46034</v>
      </c>
      <c r="J55" s="5">
        <v>46034</v>
      </c>
      <c r="K55" s="5">
        <v>46034</v>
      </c>
      <c r="L55" s="4" t="s">
        <v>98</v>
      </c>
      <c r="M55" s="4" t="s">
        <v>86</v>
      </c>
      <c r="N55" s="4" t="s">
        <v>17</v>
      </c>
      <c r="O55" s="4" t="s">
        <v>24</v>
      </c>
      <c r="P55" s="4">
        <v>24090</v>
      </c>
      <c r="Q55" s="4" t="s">
        <v>19</v>
      </c>
      <c r="R55" s="4">
        <v>34434</v>
      </c>
      <c r="S55" s="4" t="str">
        <f>VLOOKUP(L55&amp;TEXT(I55,"mmmm")&amp;YEAR(I55),'[1]Detalle C-Fecha'!$D$2:$E$15921,2,FALSE)</f>
        <v>CENCO_MZ - Cencosud SA - Mendoza</v>
      </c>
    </row>
    <row r="56" spans="1:19" x14ac:dyDescent="0.3">
      <c r="A56" s="4">
        <v>27562</v>
      </c>
      <c r="B56" s="4" t="s">
        <v>28</v>
      </c>
      <c r="C56" s="4" t="s">
        <v>15</v>
      </c>
      <c r="D56" s="4" t="s">
        <v>16</v>
      </c>
      <c r="E56" s="4" t="s">
        <v>114</v>
      </c>
      <c r="F56" s="4" t="str">
        <f t="shared" si="0"/>
        <v>6MC</v>
      </c>
      <c r="G56" s="5">
        <v>46034</v>
      </c>
      <c r="H56" s="6">
        <v>0.63402777777777775</v>
      </c>
      <c r="I56" s="5">
        <v>46034</v>
      </c>
      <c r="J56" s="5">
        <v>46034</v>
      </c>
      <c r="K56" s="5">
        <v>46034</v>
      </c>
      <c r="L56" s="4" t="s">
        <v>98</v>
      </c>
      <c r="M56" s="4" t="s">
        <v>86</v>
      </c>
      <c r="N56" s="4" t="s">
        <v>17</v>
      </c>
      <c r="O56" s="4" t="s">
        <v>24</v>
      </c>
      <c r="P56" s="4">
        <v>24091</v>
      </c>
      <c r="Q56" s="4" t="s">
        <v>19</v>
      </c>
      <c r="R56" s="4">
        <v>34436</v>
      </c>
      <c r="S56" s="4" t="str">
        <f>VLOOKUP(L56&amp;TEXT(I56,"mmmm")&amp;YEAR(I56),'[1]Detalle C-Fecha'!$D$2:$E$15921,2,FALSE)</f>
        <v>CENCO_MZ - Cencosud SA - Mendoza</v>
      </c>
    </row>
    <row r="57" spans="1:19" x14ac:dyDescent="0.3">
      <c r="A57" s="4">
        <v>27566</v>
      </c>
      <c r="B57" s="4" t="s">
        <v>28</v>
      </c>
      <c r="C57" s="4" t="s">
        <v>15</v>
      </c>
      <c r="D57" s="4" t="s">
        <v>16</v>
      </c>
      <c r="E57" s="4" t="s">
        <v>121</v>
      </c>
      <c r="F57" s="4" t="str">
        <f t="shared" si="0"/>
        <v>2MC</v>
      </c>
      <c r="G57" s="5">
        <v>46034</v>
      </c>
      <c r="H57" s="6">
        <v>0.65486111111111112</v>
      </c>
      <c r="I57" s="5">
        <v>46034</v>
      </c>
      <c r="J57" s="5">
        <v>46034</v>
      </c>
      <c r="K57" s="5">
        <v>46041</v>
      </c>
      <c r="L57" s="4" t="s">
        <v>87</v>
      </c>
      <c r="M57" s="4" t="s">
        <v>88</v>
      </c>
      <c r="N57" s="4" t="s">
        <v>21</v>
      </c>
      <c r="O57" s="4" t="s">
        <v>18</v>
      </c>
      <c r="P57" s="4">
        <v>24095</v>
      </c>
      <c r="Q57" s="4" t="s">
        <v>19</v>
      </c>
      <c r="R57" s="4">
        <v>34550</v>
      </c>
      <c r="S57" s="4" t="str">
        <f>VLOOKUP(L57&amp;TEXT(I57,"mmmm")&amp;YEAR(I57),'[1]Detalle C-Fecha'!$D$2:$E$15921,2,FALSE)</f>
        <v>CMQ_TTE - QUILMES TTE</v>
      </c>
    </row>
    <row r="58" spans="1:19" x14ac:dyDescent="0.3">
      <c r="A58" s="4">
        <v>27567</v>
      </c>
      <c r="B58" s="4" t="s">
        <v>28</v>
      </c>
      <c r="C58" s="4" t="s">
        <v>15</v>
      </c>
      <c r="D58" s="4" t="s">
        <v>16</v>
      </c>
      <c r="E58" s="4" t="s">
        <v>53</v>
      </c>
      <c r="F58" s="4" t="str">
        <f t="shared" si="0"/>
        <v>3MC</v>
      </c>
      <c r="G58" s="5">
        <v>46034</v>
      </c>
      <c r="H58" s="6">
        <v>0.65486111111111112</v>
      </c>
      <c r="I58" s="5">
        <v>46034</v>
      </c>
      <c r="J58" s="5">
        <v>46034</v>
      </c>
      <c r="K58" s="5">
        <v>46041</v>
      </c>
      <c r="L58" s="4" t="s">
        <v>87</v>
      </c>
      <c r="M58" s="4" t="s">
        <v>88</v>
      </c>
      <c r="N58" s="4" t="s">
        <v>21</v>
      </c>
      <c r="O58" s="4" t="s">
        <v>18</v>
      </c>
      <c r="P58" s="4">
        <v>24096</v>
      </c>
      <c r="Q58" s="4" t="s">
        <v>19</v>
      </c>
      <c r="R58" s="4">
        <v>34551</v>
      </c>
      <c r="S58" s="4" t="str">
        <f>VLOOKUP(L58&amp;TEXT(I58,"mmmm")&amp;YEAR(I58),'[1]Detalle C-Fecha'!$D$2:$E$15921,2,FALSE)</f>
        <v>CMQ_TTE - QUILMES TTE</v>
      </c>
    </row>
    <row r="59" spans="1:19" x14ac:dyDescent="0.3">
      <c r="A59" s="4">
        <v>27568</v>
      </c>
      <c r="B59" s="4" t="s">
        <v>28</v>
      </c>
      <c r="C59" s="4" t="s">
        <v>15</v>
      </c>
      <c r="D59" s="4" t="s">
        <v>16</v>
      </c>
      <c r="E59" s="4" t="s">
        <v>111</v>
      </c>
      <c r="F59" s="4" t="str">
        <f t="shared" si="0"/>
        <v>6MC</v>
      </c>
      <c r="G59" s="5">
        <v>46034</v>
      </c>
      <c r="H59" s="6">
        <v>0.65486111111111112</v>
      </c>
      <c r="I59" s="5">
        <v>46034</v>
      </c>
      <c r="J59" s="5">
        <v>46034</v>
      </c>
      <c r="K59" s="5">
        <v>46041</v>
      </c>
      <c r="L59" s="4" t="s">
        <v>87</v>
      </c>
      <c r="M59" s="4" t="s">
        <v>88</v>
      </c>
      <c r="N59" s="4" t="s">
        <v>21</v>
      </c>
      <c r="O59" s="4" t="s">
        <v>18</v>
      </c>
      <c r="P59" s="4">
        <v>24097</v>
      </c>
      <c r="Q59" s="4" t="s">
        <v>19</v>
      </c>
      <c r="R59" s="4">
        <v>34552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27575</v>
      </c>
      <c r="B60" s="4" t="s">
        <v>28</v>
      </c>
      <c r="C60" s="4" t="s">
        <v>15</v>
      </c>
      <c r="D60" s="4" t="s">
        <v>16</v>
      </c>
      <c r="E60" s="4" t="s">
        <v>51</v>
      </c>
      <c r="F60" s="4" t="str">
        <f t="shared" si="0"/>
        <v>2MC</v>
      </c>
      <c r="G60" s="5">
        <v>46034</v>
      </c>
      <c r="H60" s="6">
        <v>0.70763888888888893</v>
      </c>
      <c r="I60" s="5">
        <v>46034</v>
      </c>
      <c r="J60" s="5">
        <v>46034</v>
      </c>
      <c r="K60" s="5">
        <v>46034</v>
      </c>
      <c r="L60" s="4" t="s">
        <v>72</v>
      </c>
      <c r="M60" s="4" t="s">
        <v>50</v>
      </c>
      <c r="N60" s="4" t="s">
        <v>21</v>
      </c>
      <c r="O60" s="4" t="s">
        <v>27</v>
      </c>
      <c r="P60" s="4">
        <v>24102</v>
      </c>
      <c r="Q60" s="4" t="s">
        <v>19</v>
      </c>
      <c r="R60" s="4">
        <v>35100</v>
      </c>
      <c r="S60" s="4" t="str">
        <f>VLOOKUP(L60&amp;TEXT(I60,"mmmm")&amp;YEAR(I60),'[1]Detalle C-Fecha'!$D$2:$E$15921,2,FALSE)</f>
        <v>CCUCoAZA</v>
      </c>
    </row>
    <row r="61" spans="1:19" x14ac:dyDescent="0.3">
      <c r="A61" s="4">
        <v>27576</v>
      </c>
      <c r="B61" s="4" t="s">
        <v>28</v>
      </c>
      <c r="C61" s="4" t="s">
        <v>15</v>
      </c>
      <c r="D61" s="4" t="s">
        <v>16</v>
      </c>
      <c r="E61" s="4" t="s">
        <v>53</v>
      </c>
      <c r="F61" s="4" t="str">
        <f t="shared" si="0"/>
        <v>3MC</v>
      </c>
      <c r="G61" s="5">
        <v>46034</v>
      </c>
      <c r="H61" s="6">
        <v>0.70763888888888893</v>
      </c>
      <c r="I61" s="5">
        <v>46034</v>
      </c>
      <c r="J61" s="5">
        <v>46034</v>
      </c>
      <c r="K61" s="5">
        <v>46034</v>
      </c>
      <c r="L61" s="4" t="s">
        <v>72</v>
      </c>
      <c r="M61" s="4" t="s">
        <v>50</v>
      </c>
      <c r="N61" s="4" t="s">
        <v>21</v>
      </c>
      <c r="O61" s="4" t="s">
        <v>27</v>
      </c>
      <c r="P61" s="4">
        <v>24103</v>
      </c>
      <c r="Q61" s="4" t="s">
        <v>19</v>
      </c>
      <c r="R61" s="4">
        <v>35101</v>
      </c>
      <c r="S61" s="4" t="str">
        <f>VLOOKUP(L61&amp;TEXT(I61,"mmmm")&amp;YEAR(I61),'[1]Detalle C-Fecha'!$D$2:$E$15921,2,FALSE)</f>
        <v>CCUCoAZA</v>
      </c>
    </row>
    <row r="62" spans="1:19" x14ac:dyDescent="0.3">
      <c r="A62" s="4">
        <v>27611</v>
      </c>
      <c r="B62" s="4" t="s">
        <v>28</v>
      </c>
      <c r="C62" s="4" t="s">
        <v>15</v>
      </c>
      <c r="D62" s="4" t="s">
        <v>16</v>
      </c>
      <c r="E62" s="4" t="s">
        <v>51</v>
      </c>
      <c r="F62" s="4" t="str">
        <f t="shared" si="0"/>
        <v>2MC</v>
      </c>
      <c r="G62" s="5">
        <v>46035</v>
      </c>
      <c r="H62" s="6">
        <v>0.65902777777777777</v>
      </c>
      <c r="I62" s="5">
        <v>46035</v>
      </c>
      <c r="J62" s="5">
        <v>46035</v>
      </c>
      <c r="K62" s="5">
        <v>46041</v>
      </c>
      <c r="L62" s="4" t="s">
        <v>85</v>
      </c>
      <c r="M62" s="4" t="s">
        <v>20</v>
      </c>
      <c r="N62" s="4" t="s">
        <v>21</v>
      </c>
      <c r="O62" s="4" t="s">
        <v>27</v>
      </c>
      <c r="P62" s="4">
        <v>24133</v>
      </c>
      <c r="Q62" s="4" t="s">
        <v>19</v>
      </c>
      <c r="R62" s="4">
        <v>34560</v>
      </c>
      <c r="S62" s="4" t="str">
        <f>VLOOKUP(L62&amp;TEXT(I62,"mmmm")&amp;YEAR(I62),'[1]Detalle C-Fecha'!$D$2:$E$15921,2,FALSE)</f>
        <v>CCUCoAZA</v>
      </c>
    </row>
    <row r="63" spans="1:19" x14ac:dyDescent="0.3">
      <c r="A63" s="4">
        <v>27612</v>
      </c>
      <c r="B63" s="4" t="s">
        <v>28</v>
      </c>
      <c r="C63" s="4" t="s">
        <v>15</v>
      </c>
      <c r="D63" s="4" t="s">
        <v>16</v>
      </c>
      <c r="E63" s="4" t="s">
        <v>53</v>
      </c>
      <c r="F63" s="4" t="str">
        <f t="shared" si="0"/>
        <v>3MC</v>
      </c>
      <c r="G63" s="5">
        <v>46035</v>
      </c>
      <c r="H63" s="6">
        <v>0.65972222222222221</v>
      </c>
      <c r="I63" s="5">
        <v>46035</v>
      </c>
      <c r="J63" s="5">
        <v>46035</v>
      </c>
      <c r="K63" s="5">
        <v>46041</v>
      </c>
      <c r="L63" s="4" t="s">
        <v>85</v>
      </c>
      <c r="M63" s="4" t="s">
        <v>20</v>
      </c>
      <c r="N63" s="4" t="s">
        <v>21</v>
      </c>
      <c r="O63" s="4" t="s">
        <v>27</v>
      </c>
      <c r="P63" s="4">
        <v>24134</v>
      </c>
      <c r="Q63" s="4" t="s">
        <v>19</v>
      </c>
      <c r="R63" s="4">
        <v>34561</v>
      </c>
      <c r="S63" s="4" t="str">
        <f>VLOOKUP(L63&amp;TEXT(I63,"mmmm")&amp;YEAR(I63),'[1]Detalle C-Fecha'!$D$2:$E$15921,2,FALSE)</f>
        <v>CCUCoAZA</v>
      </c>
    </row>
    <row r="64" spans="1:19" x14ac:dyDescent="0.3">
      <c r="A64" s="4">
        <v>27613</v>
      </c>
      <c r="B64" s="4" t="s">
        <v>28</v>
      </c>
      <c r="C64" s="4" t="s">
        <v>15</v>
      </c>
      <c r="D64" s="4" t="s">
        <v>16</v>
      </c>
      <c r="E64" s="4" t="s">
        <v>52</v>
      </c>
      <c r="F64" s="4" t="str">
        <f t="shared" si="0"/>
        <v>6MC</v>
      </c>
      <c r="G64" s="5">
        <v>46035</v>
      </c>
      <c r="H64" s="6">
        <v>0.65972222222222221</v>
      </c>
      <c r="I64" s="5">
        <v>46035</v>
      </c>
      <c r="J64" s="5">
        <v>46035</v>
      </c>
      <c r="K64" s="5">
        <v>46041</v>
      </c>
      <c r="L64" s="4" t="s">
        <v>85</v>
      </c>
      <c r="M64" s="4" t="s">
        <v>20</v>
      </c>
      <c r="N64" s="4" t="s">
        <v>21</v>
      </c>
      <c r="O64" s="4" t="s">
        <v>27</v>
      </c>
      <c r="P64" s="4">
        <v>24135</v>
      </c>
      <c r="Q64" s="4" t="s">
        <v>19</v>
      </c>
      <c r="R64" s="4">
        <v>34562</v>
      </c>
      <c r="S64" s="4" t="str">
        <f>VLOOKUP(L64&amp;TEXT(I64,"mmmm")&amp;YEAR(I64),'[1]Detalle C-Fecha'!$D$2:$E$15921,2,FALSE)</f>
        <v>CCUCoAZA</v>
      </c>
    </row>
    <row r="65" spans="1:19" x14ac:dyDescent="0.3">
      <c r="A65" s="4">
        <v>27623</v>
      </c>
      <c r="B65" s="4" t="s">
        <v>28</v>
      </c>
      <c r="C65" s="4" t="s">
        <v>15</v>
      </c>
      <c r="D65" s="4" t="s">
        <v>16</v>
      </c>
      <c r="E65" s="4" t="s">
        <v>46</v>
      </c>
      <c r="F65" s="4" t="str">
        <f t="shared" si="0"/>
        <v>6ML</v>
      </c>
      <c r="G65" s="5">
        <v>46036</v>
      </c>
      <c r="H65" s="6">
        <v>0.4145833333333333</v>
      </c>
      <c r="I65" s="5">
        <v>46036</v>
      </c>
      <c r="J65" s="5">
        <v>46036</v>
      </c>
      <c r="K65" s="5">
        <v>46036</v>
      </c>
      <c r="L65" s="4" t="s">
        <v>36</v>
      </c>
      <c r="M65" s="4" t="s">
        <v>37</v>
      </c>
      <c r="N65" s="4" t="s">
        <v>21</v>
      </c>
      <c r="O65" s="4" t="s">
        <v>24</v>
      </c>
      <c r="P65" s="4">
        <v>24148</v>
      </c>
      <c r="Q65" s="4" t="s">
        <v>19</v>
      </c>
      <c r="R65" s="4">
        <v>35107</v>
      </c>
      <c r="S65" s="4" t="str">
        <f>VLOOKUP(L65&amp;TEXT(I65,"mmmm")&amp;YEAR(I65),'[1]Detalle C-Fecha'!$D$2:$E$15921,2,FALSE)</f>
        <v>ADA_CH - Danone Arg. S.A. - Chascomus</v>
      </c>
    </row>
    <row r="66" spans="1:19" x14ac:dyDescent="0.3">
      <c r="A66" s="4">
        <v>27624</v>
      </c>
      <c r="B66" s="4" t="s">
        <v>28</v>
      </c>
      <c r="C66" s="4" t="s">
        <v>15</v>
      </c>
      <c r="D66" s="4" t="s">
        <v>16</v>
      </c>
      <c r="E66" s="4" t="s">
        <v>125</v>
      </c>
      <c r="F66" s="4" t="str">
        <f t="shared" ref="F66:F129" si="1">MID(E66,1,3)</f>
        <v>3ML</v>
      </c>
      <c r="G66" s="5">
        <v>46036</v>
      </c>
      <c r="H66" s="6">
        <v>0.4145833333333333</v>
      </c>
      <c r="I66" s="5">
        <v>46036</v>
      </c>
      <c r="J66" s="5">
        <v>46036</v>
      </c>
      <c r="K66" s="5">
        <v>46036</v>
      </c>
      <c r="L66" s="4" t="s">
        <v>36</v>
      </c>
      <c r="M66" s="4" t="s">
        <v>37</v>
      </c>
      <c r="N66" s="4" t="s">
        <v>21</v>
      </c>
      <c r="O66" s="4" t="s">
        <v>24</v>
      </c>
      <c r="P66" s="4">
        <v>24147</v>
      </c>
      <c r="Q66" s="4" t="s">
        <v>19</v>
      </c>
      <c r="R66" s="4">
        <v>35108</v>
      </c>
      <c r="S66" s="4" t="str">
        <f>VLOOKUP(L66&amp;TEXT(I66,"mmmm")&amp;YEAR(I66),'[1]Detalle C-Fecha'!$D$2:$E$15921,2,FALSE)</f>
        <v>ADA_CH - Danone Arg. S.A. - Chascomus</v>
      </c>
    </row>
    <row r="67" spans="1:19" x14ac:dyDescent="0.3">
      <c r="A67" s="4">
        <v>27625</v>
      </c>
      <c r="B67" s="4" t="s">
        <v>28</v>
      </c>
      <c r="C67" s="4" t="s">
        <v>15</v>
      </c>
      <c r="D67" s="4" t="s">
        <v>16</v>
      </c>
      <c r="E67" s="4" t="s">
        <v>51</v>
      </c>
      <c r="F67" s="4" t="str">
        <f t="shared" si="1"/>
        <v>2MC</v>
      </c>
      <c r="G67" s="5">
        <v>46036</v>
      </c>
      <c r="H67" s="6">
        <v>0.4145833333333333</v>
      </c>
      <c r="I67" s="5">
        <v>46036</v>
      </c>
      <c r="J67" s="5">
        <v>46036</v>
      </c>
      <c r="K67" s="5">
        <v>46036</v>
      </c>
      <c r="L67" s="4" t="s">
        <v>36</v>
      </c>
      <c r="M67" s="4" t="s">
        <v>37</v>
      </c>
      <c r="N67" s="4" t="s">
        <v>21</v>
      </c>
      <c r="O67" s="4" t="s">
        <v>24</v>
      </c>
      <c r="P67" s="4">
        <v>24146</v>
      </c>
      <c r="Q67" s="4" t="s">
        <v>19</v>
      </c>
      <c r="R67" s="4">
        <v>35109</v>
      </c>
      <c r="S67" s="4" t="str">
        <f>VLOOKUP(L67&amp;TEXT(I67,"mmmm")&amp;YEAR(I67),'[1]Detalle C-Fecha'!$D$2:$E$15921,2,FALSE)</f>
        <v>ADA_CH - Danone Arg. S.A. - Chascomus</v>
      </c>
    </row>
    <row r="68" spans="1:19" x14ac:dyDescent="0.3">
      <c r="A68" s="4">
        <v>27652</v>
      </c>
      <c r="B68" s="4" t="s">
        <v>28</v>
      </c>
      <c r="C68" s="4" t="s">
        <v>15</v>
      </c>
      <c r="D68" s="4" t="s">
        <v>16</v>
      </c>
      <c r="E68" s="4" t="s">
        <v>115</v>
      </c>
      <c r="F68" s="4" t="str">
        <f t="shared" si="1"/>
        <v>2ML</v>
      </c>
      <c r="G68" s="5">
        <v>46036</v>
      </c>
      <c r="H68" s="6">
        <v>0.85069444444444453</v>
      </c>
      <c r="I68" s="5">
        <v>46036</v>
      </c>
      <c r="J68" s="5">
        <v>46036</v>
      </c>
      <c r="K68" s="5">
        <v>46036</v>
      </c>
      <c r="L68" s="4" t="s">
        <v>43</v>
      </c>
      <c r="M68" s="4" t="s">
        <v>44</v>
      </c>
      <c r="N68" s="4" t="s">
        <v>21</v>
      </c>
      <c r="O68" s="4" t="s">
        <v>25</v>
      </c>
      <c r="P68" s="4">
        <v>24176</v>
      </c>
      <c r="Q68" s="4" t="s">
        <v>19</v>
      </c>
      <c r="R68" s="4">
        <v>35114</v>
      </c>
      <c r="S68" s="4" t="str">
        <f>VLOOKUP(L68&amp;TEXT(I68,"mmmm")&amp;YEAR(I68),'[1]Detalle C-Fecha'!$D$2:$E$15921,2,FALSE)</f>
        <v>Expreso - Servicios Troncales</v>
      </c>
    </row>
    <row r="69" spans="1:19" x14ac:dyDescent="0.3">
      <c r="A69" s="4">
        <v>27653</v>
      </c>
      <c r="B69" s="4" t="s">
        <v>28</v>
      </c>
      <c r="C69" s="4" t="s">
        <v>15</v>
      </c>
      <c r="D69" s="4" t="s">
        <v>16</v>
      </c>
      <c r="E69" s="4" t="s">
        <v>116</v>
      </c>
      <c r="F69" s="4" t="str">
        <f t="shared" si="1"/>
        <v>3ML</v>
      </c>
      <c r="G69" s="5">
        <v>46036</v>
      </c>
      <c r="H69" s="6">
        <v>0.85069444444444453</v>
      </c>
      <c r="I69" s="5">
        <v>46036</v>
      </c>
      <c r="J69" s="5">
        <v>46036</v>
      </c>
      <c r="K69" s="5">
        <v>46036</v>
      </c>
      <c r="L69" s="4" t="s">
        <v>43</v>
      </c>
      <c r="M69" s="4" t="s">
        <v>44</v>
      </c>
      <c r="N69" s="4" t="s">
        <v>21</v>
      </c>
      <c r="O69" s="4" t="s">
        <v>25</v>
      </c>
      <c r="P69" s="4">
        <v>24177</v>
      </c>
      <c r="Q69" s="4" t="s">
        <v>19</v>
      </c>
      <c r="R69" s="4">
        <v>35115</v>
      </c>
      <c r="S69" s="4" t="str">
        <f>VLOOKUP(L69&amp;TEXT(I69,"mmmm")&amp;YEAR(I69),'[1]Detalle C-Fecha'!$D$2:$E$15921,2,FALSE)</f>
        <v>Expreso - Servicios Troncales</v>
      </c>
    </row>
    <row r="70" spans="1:19" x14ac:dyDescent="0.3">
      <c r="A70" s="4">
        <v>27672</v>
      </c>
      <c r="B70" s="4" t="s">
        <v>28</v>
      </c>
      <c r="C70" s="4" t="s">
        <v>15</v>
      </c>
      <c r="D70" s="4" t="s">
        <v>16</v>
      </c>
      <c r="E70" s="4" t="s">
        <v>113</v>
      </c>
      <c r="F70" s="4" t="str">
        <f t="shared" si="1"/>
        <v>2MC</v>
      </c>
      <c r="G70" s="5">
        <v>46037</v>
      </c>
      <c r="H70" s="6">
        <v>0.61111111111111105</v>
      </c>
      <c r="I70" s="5">
        <v>46037</v>
      </c>
      <c r="J70" s="5">
        <v>46037</v>
      </c>
      <c r="K70" s="5">
        <v>46037</v>
      </c>
      <c r="L70" s="4" t="s">
        <v>81</v>
      </c>
      <c r="M70" s="4" t="s">
        <v>82</v>
      </c>
      <c r="N70" s="4" t="s">
        <v>21</v>
      </c>
      <c r="O70" s="4" t="s">
        <v>18</v>
      </c>
      <c r="P70" s="4">
        <v>24201</v>
      </c>
      <c r="Q70" s="4" t="s">
        <v>19</v>
      </c>
      <c r="R70" s="4">
        <v>35120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27673</v>
      </c>
      <c r="B71" s="4" t="s">
        <v>28</v>
      </c>
      <c r="C71" s="4" t="s">
        <v>15</v>
      </c>
      <c r="D71" s="4" t="s">
        <v>16</v>
      </c>
      <c r="E71" s="4" t="s">
        <v>122</v>
      </c>
      <c r="F71" s="4" t="str">
        <f t="shared" si="1"/>
        <v>3MC</v>
      </c>
      <c r="G71" s="5">
        <v>46037</v>
      </c>
      <c r="H71" s="6">
        <v>0.61111111111111105</v>
      </c>
      <c r="I71" s="5">
        <v>46037</v>
      </c>
      <c r="J71" s="5">
        <v>46037</v>
      </c>
      <c r="K71" s="5">
        <v>46037</v>
      </c>
      <c r="L71" s="4" t="s">
        <v>81</v>
      </c>
      <c r="M71" s="4" t="s">
        <v>82</v>
      </c>
      <c r="N71" s="4" t="s">
        <v>21</v>
      </c>
      <c r="O71" s="4" t="s">
        <v>18</v>
      </c>
      <c r="P71" s="4">
        <v>24202</v>
      </c>
      <c r="Q71" s="4" t="s">
        <v>19</v>
      </c>
      <c r="R71" s="4">
        <v>35121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27674</v>
      </c>
      <c r="B72" s="4" t="s">
        <v>28</v>
      </c>
      <c r="C72" s="4" t="s">
        <v>15</v>
      </c>
      <c r="D72" s="4" t="s">
        <v>16</v>
      </c>
      <c r="E72" s="4" t="s">
        <v>114</v>
      </c>
      <c r="F72" s="4" t="str">
        <f t="shared" si="1"/>
        <v>6MC</v>
      </c>
      <c r="G72" s="5">
        <v>46037</v>
      </c>
      <c r="H72" s="6">
        <v>0.61111111111111105</v>
      </c>
      <c r="I72" s="5">
        <v>46037</v>
      </c>
      <c r="J72" s="5">
        <v>46037</v>
      </c>
      <c r="K72" s="5">
        <v>46037</v>
      </c>
      <c r="L72" s="4" t="s">
        <v>81</v>
      </c>
      <c r="M72" s="4" t="s">
        <v>82</v>
      </c>
      <c r="N72" s="4" t="s">
        <v>21</v>
      </c>
      <c r="O72" s="4" t="s">
        <v>18</v>
      </c>
      <c r="P72" s="4">
        <v>24203</v>
      </c>
      <c r="Q72" s="4" t="s">
        <v>19</v>
      </c>
      <c r="R72" s="4">
        <v>35122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27678</v>
      </c>
      <c r="B73" s="4" t="s">
        <v>28</v>
      </c>
      <c r="C73" s="4" t="s">
        <v>15</v>
      </c>
      <c r="D73" s="4" t="s">
        <v>16</v>
      </c>
      <c r="E73" s="4" t="s">
        <v>51</v>
      </c>
      <c r="F73" s="4" t="str">
        <f t="shared" si="1"/>
        <v>2MC</v>
      </c>
      <c r="G73" s="5">
        <v>46037</v>
      </c>
      <c r="H73" s="6">
        <v>0.75763888888888886</v>
      </c>
      <c r="I73" s="5">
        <v>46037</v>
      </c>
      <c r="J73" s="5">
        <v>46037</v>
      </c>
      <c r="K73" s="5">
        <v>46037</v>
      </c>
      <c r="L73" s="4" t="s">
        <v>100</v>
      </c>
      <c r="M73" s="4" t="s">
        <v>39</v>
      </c>
      <c r="N73" s="4" t="s">
        <v>21</v>
      </c>
      <c r="O73" s="4" t="s">
        <v>24</v>
      </c>
      <c r="P73" s="4">
        <v>24216</v>
      </c>
      <c r="Q73" s="4" t="s">
        <v>19</v>
      </c>
      <c r="R73" s="4">
        <v>35124</v>
      </c>
      <c r="S73" s="4" t="str">
        <f>VLOOKUP(L73&amp;TEXT(I73,"mmmm")&amp;YEAR(I73),'[1]Detalle C-Fecha'!$D$2:$E$15921,2,FALSE)</f>
        <v>CCUDyAZA</v>
      </c>
    </row>
    <row r="74" spans="1:19" x14ac:dyDescent="0.3">
      <c r="A74" s="4">
        <v>27679</v>
      </c>
      <c r="B74" s="4" t="s">
        <v>28</v>
      </c>
      <c r="C74" s="4" t="s">
        <v>15</v>
      </c>
      <c r="D74" s="4" t="s">
        <v>16</v>
      </c>
      <c r="E74" s="4" t="s">
        <v>53</v>
      </c>
      <c r="F74" s="4" t="str">
        <f t="shared" si="1"/>
        <v>3MC</v>
      </c>
      <c r="G74" s="5">
        <v>46037</v>
      </c>
      <c r="H74" s="6">
        <v>0.75763888888888886</v>
      </c>
      <c r="I74" s="5">
        <v>46037</v>
      </c>
      <c r="J74" s="5">
        <v>46037</v>
      </c>
      <c r="K74" s="5">
        <v>46037</v>
      </c>
      <c r="L74" s="4" t="s">
        <v>100</v>
      </c>
      <c r="M74" s="4" t="s">
        <v>39</v>
      </c>
      <c r="N74" s="4" t="s">
        <v>21</v>
      </c>
      <c r="O74" s="4" t="s">
        <v>24</v>
      </c>
      <c r="P74" s="4">
        <v>24217</v>
      </c>
      <c r="Q74" s="4" t="s">
        <v>19</v>
      </c>
      <c r="R74" s="4">
        <v>35125</v>
      </c>
      <c r="S74" s="4" t="str">
        <f>VLOOKUP(L74&amp;TEXT(I74,"mmmm")&amp;YEAR(I74),'[1]Detalle C-Fecha'!$D$2:$E$15921,2,FALSE)</f>
        <v>CCUDyAZA</v>
      </c>
    </row>
    <row r="75" spans="1:19" x14ac:dyDescent="0.3">
      <c r="A75" s="4">
        <v>27680</v>
      </c>
      <c r="B75" s="4" t="s">
        <v>28</v>
      </c>
      <c r="C75" s="4" t="s">
        <v>15</v>
      </c>
      <c r="D75" s="4" t="s">
        <v>16</v>
      </c>
      <c r="E75" s="4" t="s">
        <v>52</v>
      </c>
      <c r="F75" s="4" t="str">
        <f t="shared" si="1"/>
        <v>6MC</v>
      </c>
      <c r="G75" s="5">
        <v>46037</v>
      </c>
      <c r="H75" s="6">
        <v>0.75763888888888886</v>
      </c>
      <c r="I75" s="5">
        <v>46037</v>
      </c>
      <c r="J75" s="5">
        <v>46037</v>
      </c>
      <c r="K75" s="5">
        <v>46037</v>
      </c>
      <c r="L75" s="4" t="s">
        <v>100</v>
      </c>
      <c r="M75" s="4" t="s">
        <v>39</v>
      </c>
      <c r="N75" s="4" t="s">
        <v>21</v>
      </c>
      <c r="O75" s="4" t="s">
        <v>24</v>
      </c>
      <c r="P75" s="4">
        <v>24218</v>
      </c>
      <c r="Q75" s="4" t="s">
        <v>19</v>
      </c>
      <c r="R75" s="4">
        <v>35126</v>
      </c>
      <c r="S75" s="4" t="str">
        <f>VLOOKUP(L75&amp;TEXT(I75,"mmmm")&amp;YEAR(I75),'[1]Detalle C-Fecha'!$D$2:$E$15921,2,FALSE)</f>
        <v>CCUDyAZA</v>
      </c>
    </row>
    <row r="76" spans="1:19" x14ac:dyDescent="0.3">
      <c r="A76" s="4">
        <v>27700</v>
      </c>
      <c r="B76" s="4" t="s">
        <v>28</v>
      </c>
      <c r="C76" s="4" t="s">
        <v>15</v>
      </c>
      <c r="D76" s="4" t="s">
        <v>16</v>
      </c>
      <c r="E76" s="4" t="s">
        <v>51</v>
      </c>
      <c r="F76" s="4" t="str">
        <f t="shared" si="1"/>
        <v>2MC</v>
      </c>
      <c r="G76" s="5">
        <v>46038</v>
      </c>
      <c r="H76" s="6">
        <v>0.65416666666666667</v>
      </c>
      <c r="I76" s="5">
        <v>46038</v>
      </c>
      <c r="J76" s="5">
        <v>46038</v>
      </c>
      <c r="K76" s="5">
        <v>46055</v>
      </c>
      <c r="L76" s="4" t="s">
        <v>74</v>
      </c>
      <c r="M76" s="4" t="s">
        <v>20</v>
      </c>
      <c r="N76" s="4" t="s">
        <v>21</v>
      </c>
      <c r="O76" s="4" t="s">
        <v>18</v>
      </c>
      <c r="P76" s="4">
        <v>24293</v>
      </c>
      <c r="Q76" s="4" t="s">
        <v>19</v>
      </c>
      <c r="R76" s="4">
        <v>34872</v>
      </c>
      <c r="S76" s="4" t="str">
        <f>VLOOKUP(L76&amp;TEXT(I76,"mmmm")&amp;YEAR(I76),'[1]Detalle C-Fecha'!$D$2:$E$15921,2,FALSE)</f>
        <v>CMQ_TTE - QUILMES TTE</v>
      </c>
    </row>
    <row r="77" spans="1:19" x14ac:dyDescent="0.3">
      <c r="A77" s="4">
        <v>27701</v>
      </c>
      <c r="B77" s="4" t="s">
        <v>28</v>
      </c>
      <c r="C77" s="4" t="s">
        <v>15</v>
      </c>
      <c r="D77" s="4" t="s">
        <v>16</v>
      </c>
      <c r="E77" s="4" t="s">
        <v>53</v>
      </c>
      <c r="F77" s="4" t="str">
        <f t="shared" si="1"/>
        <v>3MC</v>
      </c>
      <c r="G77" s="5">
        <v>46038</v>
      </c>
      <c r="H77" s="6">
        <v>0.65416666666666667</v>
      </c>
      <c r="I77" s="5">
        <v>46038</v>
      </c>
      <c r="J77" s="5">
        <v>46038</v>
      </c>
      <c r="K77" s="5">
        <v>46046</v>
      </c>
      <c r="L77" s="4" t="s">
        <v>74</v>
      </c>
      <c r="M77" s="4" t="s">
        <v>20</v>
      </c>
      <c r="N77" s="4" t="s">
        <v>21</v>
      </c>
      <c r="O77" s="4" t="s">
        <v>18</v>
      </c>
      <c r="P77" s="4">
        <v>24294</v>
      </c>
      <c r="Q77" s="4" t="s">
        <v>19</v>
      </c>
      <c r="R77" s="4">
        <v>35134</v>
      </c>
      <c r="S77" s="4" t="str">
        <f>VLOOKUP(L77&amp;TEXT(I77,"mmmm")&amp;YEAR(I77),'[1]Detalle C-Fecha'!$D$2:$E$15921,2,FALSE)</f>
        <v>CMQ_TTE - QUILMES TTE</v>
      </c>
    </row>
    <row r="78" spans="1:19" x14ac:dyDescent="0.3">
      <c r="A78" s="4">
        <v>27702</v>
      </c>
      <c r="B78" s="4" t="s">
        <v>28</v>
      </c>
      <c r="C78" s="4" t="s">
        <v>15</v>
      </c>
      <c r="D78" s="4" t="s">
        <v>16</v>
      </c>
      <c r="E78" s="4" t="s">
        <v>52</v>
      </c>
      <c r="F78" s="4" t="str">
        <f t="shared" si="1"/>
        <v>6MC</v>
      </c>
      <c r="G78" s="5">
        <v>46038</v>
      </c>
      <c r="H78" s="6">
        <v>0.65416666666666667</v>
      </c>
      <c r="I78" s="5">
        <v>46038</v>
      </c>
      <c r="J78" s="5">
        <v>46038</v>
      </c>
      <c r="K78" s="5">
        <v>46046</v>
      </c>
      <c r="L78" s="4" t="s">
        <v>74</v>
      </c>
      <c r="M78" s="4" t="s">
        <v>20</v>
      </c>
      <c r="N78" s="4" t="s">
        <v>21</v>
      </c>
      <c r="O78" s="4" t="s">
        <v>18</v>
      </c>
      <c r="P78" s="4">
        <v>24295</v>
      </c>
      <c r="Q78" s="4" t="s">
        <v>19</v>
      </c>
      <c r="R78" s="4">
        <v>35135</v>
      </c>
      <c r="S78" s="4" t="str">
        <f>VLOOKUP(L78&amp;TEXT(I78,"mmmm")&amp;YEAR(I78),'[1]Detalle C-Fecha'!$D$2:$E$15921,2,FALSE)</f>
        <v>CMQ_TTE - QUILMES TTE</v>
      </c>
    </row>
    <row r="79" spans="1:19" x14ac:dyDescent="0.3">
      <c r="A79" s="4">
        <v>27848</v>
      </c>
      <c r="B79" s="4" t="s">
        <v>28</v>
      </c>
      <c r="C79" s="4" t="s">
        <v>15</v>
      </c>
      <c r="D79" s="4" t="s">
        <v>16</v>
      </c>
      <c r="E79" s="4" t="s">
        <v>35</v>
      </c>
      <c r="F79" s="4" t="str">
        <f t="shared" si="1"/>
        <v>2ML</v>
      </c>
      <c r="G79" s="5">
        <v>46041</v>
      </c>
      <c r="H79" s="6">
        <v>0.4513888888888889</v>
      </c>
      <c r="I79" s="5">
        <v>46041</v>
      </c>
      <c r="J79" s="5">
        <v>46041</v>
      </c>
      <c r="K79" s="5">
        <v>46055</v>
      </c>
      <c r="L79" s="4" t="s">
        <v>92</v>
      </c>
      <c r="M79" s="4" t="s">
        <v>37</v>
      </c>
      <c r="N79" s="4" t="s">
        <v>21</v>
      </c>
      <c r="O79" s="4" t="s">
        <v>24</v>
      </c>
      <c r="P79" s="4">
        <v>24316</v>
      </c>
      <c r="Q79" s="4" t="s">
        <v>19</v>
      </c>
      <c r="R79" s="4">
        <v>34875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27849</v>
      </c>
      <c r="B80" s="4" t="s">
        <v>28</v>
      </c>
      <c r="C80" s="4" t="s">
        <v>15</v>
      </c>
      <c r="D80" s="4" t="s">
        <v>16</v>
      </c>
      <c r="E80" s="4" t="s">
        <v>47</v>
      </c>
      <c r="F80" s="4" t="str">
        <f t="shared" si="1"/>
        <v>3ML</v>
      </c>
      <c r="G80" s="5">
        <v>46041</v>
      </c>
      <c r="H80" s="6">
        <v>0.4513888888888889</v>
      </c>
      <c r="I80" s="5">
        <v>46041</v>
      </c>
      <c r="J80" s="5">
        <v>46041</v>
      </c>
      <c r="K80" s="5">
        <v>46055</v>
      </c>
      <c r="L80" s="4" t="s">
        <v>92</v>
      </c>
      <c r="M80" s="4" t="s">
        <v>37</v>
      </c>
      <c r="N80" s="4" t="s">
        <v>21</v>
      </c>
      <c r="O80" s="4" t="s">
        <v>24</v>
      </c>
      <c r="P80" s="4">
        <v>24317</v>
      </c>
      <c r="Q80" s="4" t="s">
        <v>19</v>
      </c>
      <c r="R80" s="4">
        <v>34876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27888</v>
      </c>
      <c r="B81" s="4" t="s">
        <v>28</v>
      </c>
      <c r="C81" s="4" t="s">
        <v>15</v>
      </c>
      <c r="D81" s="4" t="s">
        <v>16</v>
      </c>
      <c r="E81" s="4" t="s">
        <v>35</v>
      </c>
      <c r="F81" s="4" t="str">
        <f t="shared" si="1"/>
        <v>2ML</v>
      </c>
      <c r="G81" s="5">
        <v>46042</v>
      </c>
      <c r="H81" s="6">
        <v>0.65347222222222223</v>
      </c>
      <c r="I81" s="5">
        <v>46042</v>
      </c>
      <c r="J81" s="5">
        <v>46042</v>
      </c>
      <c r="K81" s="5">
        <v>46055</v>
      </c>
      <c r="L81" s="4" t="s">
        <v>91</v>
      </c>
      <c r="M81" s="4" t="s">
        <v>68</v>
      </c>
      <c r="N81" s="4" t="s">
        <v>21</v>
      </c>
      <c r="O81" s="4" t="s">
        <v>24</v>
      </c>
      <c r="P81" s="4">
        <v>24354</v>
      </c>
      <c r="Q81" s="4" t="s">
        <v>19</v>
      </c>
      <c r="R81" s="4">
        <v>34882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27889</v>
      </c>
      <c r="B82" s="4" t="s">
        <v>28</v>
      </c>
      <c r="C82" s="4" t="s">
        <v>15</v>
      </c>
      <c r="D82" s="4" t="s">
        <v>16</v>
      </c>
      <c r="E82" s="4" t="s">
        <v>47</v>
      </c>
      <c r="F82" s="4" t="str">
        <f t="shared" si="1"/>
        <v>3ML</v>
      </c>
      <c r="G82" s="5">
        <v>46042</v>
      </c>
      <c r="H82" s="6">
        <v>0.65347222222222223</v>
      </c>
      <c r="I82" s="5">
        <v>46042</v>
      </c>
      <c r="J82" s="5">
        <v>46042</v>
      </c>
      <c r="K82" s="5">
        <v>46057</v>
      </c>
      <c r="L82" s="4" t="s">
        <v>91</v>
      </c>
      <c r="M82" s="4" t="s">
        <v>68</v>
      </c>
      <c r="N82" s="4" t="s">
        <v>21</v>
      </c>
      <c r="O82" s="4" t="s">
        <v>24</v>
      </c>
      <c r="P82" s="4">
        <v>24355</v>
      </c>
      <c r="Q82" s="4" t="s">
        <v>19</v>
      </c>
      <c r="R82" s="4">
        <v>35463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27909</v>
      </c>
      <c r="B83" s="4" t="s">
        <v>28</v>
      </c>
      <c r="C83" s="4" t="s">
        <v>15</v>
      </c>
      <c r="D83" s="4" t="s">
        <v>16</v>
      </c>
      <c r="E83" s="4" t="s">
        <v>118</v>
      </c>
      <c r="F83" s="4" t="str">
        <f t="shared" si="1"/>
        <v>2ML</v>
      </c>
      <c r="G83" s="5">
        <v>46043</v>
      </c>
      <c r="H83" s="6">
        <v>0.62777777777777777</v>
      </c>
      <c r="I83" s="5">
        <v>46043</v>
      </c>
      <c r="J83" s="5">
        <v>46043</v>
      </c>
      <c r="K83" s="5">
        <v>46043</v>
      </c>
      <c r="L83" s="4" t="s">
        <v>65</v>
      </c>
      <c r="M83" s="4" t="s">
        <v>30</v>
      </c>
      <c r="N83" s="4" t="s">
        <v>17</v>
      </c>
      <c r="O83" s="4" t="s">
        <v>25</v>
      </c>
      <c r="P83" s="4">
        <v>24374</v>
      </c>
      <c r="Q83" s="4" t="s">
        <v>19</v>
      </c>
      <c r="R83" s="4">
        <v>34644</v>
      </c>
      <c r="S83" s="4" t="str">
        <f>VLOOKUP(L83&amp;TEXT(I83,"mmmm")&amp;YEAR(I83),'[1]Detalle C-Fecha'!$D$2:$E$15921,2,FALSE)</f>
        <v>Expreso - Servicios Troncales</v>
      </c>
    </row>
    <row r="84" spans="1:19" x14ac:dyDescent="0.3">
      <c r="A84" s="4">
        <v>27910</v>
      </c>
      <c r="B84" s="4" t="s">
        <v>28</v>
      </c>
      <c r="C84" s="4" t="s">
        <v>15</v>
      </c>
      <c r="D84" s="4" t="s">
        <v>16</v>
      </c>
      <c r="E84" s="4" t="s">
        <v>119</v>
      </c>
      <c r="F84" s="4" t="str">
        <f t="shared" si="1"/>
        <v>3ML</v>
      </c>
      <c r="G84" s="5">
        <v>46043</v>
      </c>
      <c r="H84" s="6">
        <v>0.62777777777777777</v>
      </c>
      <c r="I84" s="5">
        <v>46043</v>
      </c>
      <c r="J84" s="5">
        <v>46043</v>
      </c>
      <c r="K84" s="5">
        <v>46043</v>
      </c>
      <c r="L84" s="4" t="s">
        <v>65</v>
      </c>
      <c r="M84" s="4" t="s">
        <v>30</v>
      </c>
      <c r="N84" s="4" t="s">
        <v>17</v>
      </c>
      <c r="O84" s="4" t="s">
        <v>25</v>
      </c>
      <c r="P84" s="4">
        <v>24375</v>
      </c>
      <c r="Q84" s="4" t="s">
        <v>19</v>
      </c>
      <c r="R84" s="4">
        <v>34646</v>
      </c>
      <c r="S84" s="4" t="str">
        <f>VLOOKUP(L84&amp;TEXT(I84,"mmmm")&amp;YEAR(I84),'[1]Detalle C-Fecha'!$D$2:$E$15921,2,FALSE)</f>
        <v>Expreso - Servicios Troncales</v>
      </c>
    </row>
    <row r="85" spans="1:19" x14ac:dyDescent="0.3">
      <c r="A85" s="4">
        <v>27911</v>
      </c>
      <c r="B85" s="4" t="s">
        <v>28</v>
      </c>
      <c r="C85" s="4" t="s">
        <v>15</v>
      </c>
      <c r="D85" s="4" t="s">
        <v>16</v>
      </c>
      <c r="E85" s="4" t="s">
        <v>120</v>
      </c>
      <c r="F85" s="4" t="str">
        <f t="shared" si="1"/>
        <v>6ML</v>
      </c>
      <c r="G85" s="5">
        <v>46043</v>
      </c>
      <c r="H85" s="6">
        <v>0.62777777777777777</v>
      </c>
      <c r="I85" s="5">
        <v>46043</v>
      </c>
      <c r="J85" s="5">
        <v>46043</v>
      </c>
      <c r="K85" s="5">
        <v>46043</v>
      </c>
      <c r="L85" s="4" t="s">
        <v>65</v>
      </c>
      <c r="M85" s="4" t="s">
        <v>30</v>
      </c>
      <c r="N85" s="4" t="s">
        <v>17</v>
      </c>
      <c r="O85" s="4" t="s">
        <v>25</v>
      </c>
      <c r="P85" s="4">
        <v>24376</v>
      </c>
      <c r="Q85" s="4" t="s">
        <v>19</v>
      </c>
      <c r="R85" s="4">
        <v>34650</v>
      </c>
      <c r="S85" s="4" t="str">
        <f>VLOOKUP(L85&amp;TEXT(I85,"mmmm")&amp;YEAR(I85),'[1]Detalle C-Fecha'!$D$2:$E$15921,2,FALSE)</f>
        <v>Expreso - Servicios Troncales</v>
      </c>
    </row>
    <row r="86" spans="1:19" x14ac:dyDescent="0.3">
      <c r="A86" s="4">
        <v>27912</v>
      </c>
      <c r="B86" s="4" t="s">
        <v>28</v>
      </c>
      <c r="C86" s="4" t="s">
        <v>15</v>
      </c>
      <c r="D86" s="4" t="s">
        <v>16</v>
      </c>
      <c r="E86" s="4" t="s">
        <v>110</v>
      </c>
      <c r="F86" s="4" t="str">
        <f t="shared" si="1"/>
        <v>5MU</v>
      </c>
      <c r="G86" s="5">
        <v>46043</v>
      </c>
      <c r="H86" s="6">
        <v>0.62777777777777777</v>
      </c>
      <c r="I86" s="5">
        <v>46043</v>
      </c>
      <c r="J86" s="5">
        <v>46043</v>
      </c>
      <c r="K86" s="5">
        <v>46043</v>
      </c>
      <c r="L86" s="4" t="s">
        <v>65</v>
      </c>
      <c r="M86" s="4" t="s">
        <v>30</v>
      </c>
      <c r="N86" s="4" t="s">
        <v>17</v>
      </c>
      <c r="O86" s="4" t="s">
        <v>25</v>
      </c>
      <c r="P86" s="4">
        <v>24377</v>
      </c>
      <c r="Q86" s="4" t="s">
        <v>19</v>
      </c>
      <c r="R86" s="4">
        <v>34652</v>
      </c>
      <c r="S86" s="4" t="str">
        <f>VLOOKUP(L86&amp;TEXT(I86,"mmmm")&amp;YEAR(I86),'[1]Detalle C-Fecha'!$D$2:$E$15921,2,FALSE)</f>
        <v>Expreso - Servicios Troncales</v>
      </c>
    </row>
    <row r="87" spans="1:19" x14ac:dyDescent="0.3">
      <c r="A87" s="4">
        <v>27913</v>
      </c>
      <c r="B87" s="4" t="s">
        <v>28</v>
      </c>
      <c r="C87" s="4" t="s">
        <v>15</v>
      </c>
      <c r="D87" s="4" t="s">
        <v>16</v>
      </c>
      <c r="E87" s="4" t="s">
        <v>140</v>
      </c>
      <c r="F87" s="4" t="str">
        <f t="shared" si="1"/>
        <v>4ML</v>
      </c>
      <c r="G87" s="5">
        <v>46043</v>
      </c>
      <c r="H87" s="6">
        <v>0.62777777777777777</v>
      </c>
      <c r="I87" s="5">
        <v>46043</v>
      </c>
      <c r="J87" s="5">
        <v>46043</v>
      </c>
      <c r="K87" s="5">
        <v>46043</v>
      </c>
      <c r="L87" s="4" t="s">
        <v>65</v>
      </c>
      <c r="M87" s="4" t="s">
        <v>30</v>
      </c>
      <c r="N87" s="4" t="s">
        <v>17</v>
      </c>
      <c r="O87" s="4" t="s">
        <v>25</v>
      </c>
      <c r="P87" s="4">
        <v>24378</v>
      </c>
      <c r="Q87" s="4" t="s">
        <v>19</v>
      </c>
      <c r="R87" s="4">
        <v>34656</v>
      </c>
      <c r="S87" s="4" t="str">
        <f>VLOOKUP(L87&amp;TEXT(I87,"mmmm")&amp;YEAR(I87),'[1]Detalle C-Fecha'!$D$2:$E$15921,2,FALSE)</f>
        <v>Expreso - Servicios Troncales</v>
      </c>
    </row>
    <row r="88" spans="1:19" x14ac:dyDescent="0.3">
      <c r="A88" s="4">
        <v>27914</v>
      </c>
      <c r="B88" s="4" t="s">
        <v>28</v>
      </c>
      <c r="C88" s="4" t="s">
        <v>15</v>
      </c>
      <c r="D88" s="4" t="s">
        <v>16</v>
      </c>
      <c r="E88" s="4" t="s">
        <v>141</v>
      </c>
      <c r="F88" s="4" t="str">
        <f t="shared" si="1"/>
        <v>5ML</v>
      </c>
      <c r="G88" s="5">
        <v>46043</v>
      </c>
      <c r="H88" s="6">
        <v>0.62777777777777777</v>
      </c>
      <c r="I88" s="5">
        <v>46043</v>
      </c>
      <c r="J88" s="5">
        <v>46043</v>
      </c>
      <c r="K88" s="5">
        <v>46043</v>
      </c>
      <c r="L88" s="4" t="s">
        <v>65</v>
      </c>
      <c r="M88" s="4" t="s">
        <v>30</v>
      </c>
      <c r="N88" s="4" t="s">
        <v>17</v>
      </c>
      <c r="O88" s="4" t="s">
        <v>25</v>
      </c>
      <c r="P88" s="4">
        <v>24379</v>
      </c>
      <c r="Q88" s="4" t="s">
        <v>19</v>
      </c>
      <c r="R88" s="4">
        <v>34658</v>
      </c>
      <c r="S88" s="4" t="str">
        <f>VLOOKUP(L88&amp;TEXT(I88,"mmmm")&amp;YEAR(I88),'[1]Detalle C-Fecha'!$D$2:$E$15921,2,FALSE)</f>
        <v>Expreso - Servicios Troncales</v>
      </c>
    </row>
    <row r="89" spans="1:19" x14ac:dyDescent="0.3">
      <c r="A89" s="4">
        <v>27945</v>
      </c>
      <c r="B89" s="4" t="s">
        <v>28</v>
      </c>
      <c r="C89" s="4" t="s">
        <v>15</v>
      </c>
      <c r="D89" s="4" t="s">
        <v>16</v>
      </c>
      <c r="E89" s="4" t="s">
        <v>115</v>
      </c>
      <c r="F89" s="4" t="str">
        <f t="shared" si="1"/>
        <v>2ML</v>
      </c>
      <c r="G89" s="5">
        <v>46045</v>
      </c>
      <c r="H89" s="6">
        <v>0.55555555555555558</v>
      </c>
      <c r="I89" s="5">
        <v>46044</v>
      </c>
      <c r="J89" s="5">
        <v>46044</v>
      </c>
      <c r="K89" s="5">
        <v>46044</v>
      </c>
      <c r="L89" s="4" t="s">
        <v>73</v>
      </c>
      <c r="M89" s="4" t="s">
        <v>62</v>
      </c>
      <c r="N89" s="4" t="s">
        <v>17</v>
      </c>
      <c r="O89" s="4" t="s">
        <v>25</v>
      </c>
      <c r="P89" s="4">
        <v>24406</v>
      </c>
      <c r="Q89" s="4" t="s">
        <v>19</v>
      </c>
      <c r="R89" s="4">
        <v>34666</v>
      </c>
      <c r="S89" s="4" t="str">
        <f>VLOOKUP(L89&amp;TEXT(I89,"mmmm")&amp;YEAR(I89),'[1]Detalle C-Fecha'!$D$2:$E$15921,2,FALSE)</f>
        <v>Expreso - Servicios Troncales</v>
      </c>
    </row>
    <row r="90" spans="1:19" x14ac:dyDescent="0.3">
      <c r="A90" s="4">
        <v>27946</v>
      </c>
      <c r="B90" s="4" t="s">
        <v>28</v>
      </c>
      <c r="C90" s="4" t="s">
        <v>15</v>
      </c>
      <c r="D90" s="4" t="s">
        <v>16</v>
      </c>
      <c r="E90" s="4" t="s">
        <v>116</v>
      </c>
      <c r="F90" s="4" t="str">
        <f t="shared" si="1"/>
        <v>3ML</v>
      </c>
      <c r="G90" s="5">
        <v>46045</v>
      </c>
      <c r="H90" s="6">
        <v>0.55555555555555558</v>
      </c>
      <c r="I90" s="5">
        <v>46044</v>
      </c>
      <c r="J90" s="5">
        <v>46044</v>
      </c>
      <c r="K90" s="5">
        <v>46044</v>
      </c>
      <c r="L90" s="4" t="s">
        <v>73</v>
      </c>
      <c r="M90" s="4" t="s">
        <v>62</v>
      </c>
      <c r="N90" s="4" t="s">
        <v>17</v>
      </c>
      <c r="O90" s="4" t="s">
        <v>25</v>
      </c>
      <c r="P90" s="4">
        <v>24407</v>
      </c>
      <c r="Q90" s="4" t="s">
        <v>19</v>
      </c>
      <c r="R90" s="4">
        <v>34668</v>
      </c>
      <c r="S90" s="4" t="str">
        <f>VLOOKUP(L90&amp;TEXT(I90,"mmmm")&amp;YEAR(I90),'[1]Detalle C-Fecha'!$D$2:$E$15921,2,FALSE)</f>
        <v>Expreso - Servicios Troncales</v>
      </c>
    </row>
    <row r="91" spans="1:19" x14ac:dyDescent="0.3">
      <c r="A91" s="4">
        <v>27947</v>
      </c>
      <c r="B91" s="4" t="s">
        <v>28</v>
      </c>
      <c r="C91" s="4" t="s">
        <v>15</v>
      </c>
      <c r="D91" s="4" t="s">
        <v>16</v>
      </c>
      <c r="E91" s="4" t="s">
        <v>117</v>
      </c>
      <c r="F91" s="4" t="str">
        <f t="shared" si="1"/>
        <v>6ML</v>
      </c>
      <c r="G91" s="5">
        <v>46045</v>
      </c>
      <c r="H91" s="6">
        <v>0.55555555555555558</v>
      </c>
      <c r="I91" s="5">
        <v>46044</v>
      </c>
      <c r="J91" s="5">
        <v>46044</v>
      </c>
      <c r="K91" s="5">
        <v>46044</v>
      </c>
      <c r="L91" s="4" t="s">
        <v>73</v>
      </c>
      <c r="M91" s="4" t="s">
        <v>62</v>
      </c>
      <c r="N91" s="4" t="s">
        <v>17</v>
      </c>
      <c r="O91" s="4" t="s">
        <v>25</v>
      </c>
      <c r="P91" s="4">
        <v>24408</v>
      </c>
      <c r="Q91" s="4" t="s">
        <v>19</v>
      </c>
      <c r="R91" s="4">
        <v>34670</v>
      </c>
      <c r="S91" s="4" t="str">
        <f>VLOOKUP(L91&amp;TEXT(I91,"mmmm")&amp;YEAR(I91),'[1]Detalle C-Fecha'!$D$2:$E$15921,2,FALSE)</f>
        <v>Expreso - Servicios Troncales</v>
      </c>
    </row>
    <row r="92" spans="1:19" x14ac:dyDescent="0.3">
      <c r="A92" s="4">
        <v>27949</v>
      </c>
      <c r="B92" s="4" t="s">
        <v>28</v>
      </c>
      <c r="C92" s="4" t="s">
        <v>15</v>
      </c>
      <c r="D92" s="4" t="s">
        <v>16</v>
      </c>
      <c r="E92" s="4" t="s">
        <v>51</v>
      </c>
      <c r="F92" s="4" t="str">
        <f t="shared" si="1"/>
        <v>2MC</v>
      </c>
      <c r="G92" s="5">
        <v>46045</v>
      </c>
      <c r="H92" s="6">
        <v>0.55625000000000002</v>
      </c>
      <c r="I92" s="5">
        <v>46044</v>
      </c>
      <c r="J92" s="5">
        <v>46044</v>
      </c>
      <c r="K92" s="5">
        <v>46044</v>
      </c>
      <c r="L92" s="4" t="s">
        <v>80</v>
      </c>
      <c r="M92" s="4">
        <v>1624</v>
      </c>
      <c r="N92" s="4" t="s">
        <v>17</v>
      </c>
      <c r="O92" s="4" t="s">
        <v>24</v>
      </c>
      <c r="P92" s="4">
        <v>24410</v>
      </c>
      <c r="Q92" s="4" t="s">
        <v>19</v>
      </c>
      <c r="R92" s="4">
        <v>34674</v>
      </c>
      <c r="S92" s="4" t="str">
        <f>VLOOKUP(L92&amp;TEXT(I92,"mmmm")&amp;YEAR(I92),'[1]Detalle C-Fecha'!$D$2:$E$15921,2,FALSE)</f>
        <v>CENCO_MZ - Cencosud SA - Mendoza</v>
      </c>
    </row>
    <row r="93" spans="1:19" x14ac:dyDescent="0.3">
      <c r="A93" s="4">
        <v>27950</v>
      </c>
      <c r="B93" s="4" t="s">
        <v>28</v>
      </c>
      <c r="C93" s="4" t="s">
        <v>15</v>
      </c>
      <c r="D93" s="4" t="s">
        <v>16</v>
      </c>
      <c r="E93" s="4" t="s">
        <v>53</v>
      </c>
      <c r="F93" s="4" t="str">
        <f t="shared" si="1"/>
        <v>3MC</v>
      </c>
      <c r="G93" s="5">
        <v>46045</v>
      </c>
      <c r="H93" s="6">
        <v>0.55625000000000002</v>
      </c>
      <c r="I93" s="5">
        <v>46044</v>
      </c>
      <c r="J93" s="5">
        <v>46044</v>
      </c>
      <c r="K93" s="5">
        <v>46044</v>
      </c>
      <c r="L93" s="4" t="s">
        <v>80</v>
      </c>
      <c r="M93" s="4">
        <v>1624</v>
      </c>
      <c r="N93" s="4" t="s">
        <v>17</v>
      </c>
      <c r="O93" s="4" t="s">
        <v>24</v>
      </c>
      <c r="P93" s="4">
        <v>24411</v>
      </c>
      <c r="Q93" s="4" t="s">
        <v>19</v>
      </c>
      <c r="R93" s="4">
        <v>34676</v>
      </c>
      <c r="S93" s="4" t="str">
        <f>VLOOKUP(L93&amp;TEXT(I93,"mmmm")&amp;YEAR(I93),'[1]Detalle C-Fecha'!$D$2:$E$15921,2,FALSE)</f>
        <v>CENCO_MZ - Cencosud SA - Mendoza</v>
      </c>
    </row>
    <row r="94" spans="1:19" x14ac:dyDescent="0.3">
      <c r="A94" s="4">
        <v>27951</v>
      </c>
      <c r="B94" s="4" t="s">
        <v>28</v>
      </c>
      <c r="C94" s="4" t="s">
        <v>15</v>
      </c>
      <c r="D94" s="4" t="s">
        <v>16</v>
      </c>
      <c r="E94" s="4" t="s">
        <v>52</v>
      </c>
      <c r="F94" s="4" t="str">
        <f t="shared" si="1"/>
        <v>6MC</v>
      </c>
      <c r="G94" s="5">
        <v>46045</v>
      </c>
      <c r="H94" s="6">
        <v>0.55625000000000002</v>
      </c>
      <c r="I94" s="5">
        <v>46044</v>
      </c>
      <c r="J94" s="5">
        <v>46044</v>
      </c>
      <c r="K94" s="5">
        <v>46044</v>
      </c>
      <c r="L94" s="4" t="s">
        <v>80</v>
      </c>
      <c r="M94" s="4">
        <v>1624</v>
      </c>
      <c r="N94" s="4" t="s">
        <v>17</v>
      </c>
      <c r="O94" s="4" t="s">
        <v>24</v>
      </c>
      <c r="P94" s="4">
        <v>24412</v>
      </c>
      <c r="Q94" s="4" t="s">
        <v>19</v>
      </c>
      <c r="R94" s="4">
        <v>34678</v>
      </c>
      <c r="S94" s="4" t="str">
        <f>VLOOKUP(L94&amp;TEXT(I94,"mmmm")&amp;YEAR(I94),'[1]Detalle C-Fecha'!$D$2:$E$15921,2,FALSE)</f>
        <v>CENCO_MZ - Cencosud SA - Mendoza</v>
      </c>
    </row>
    <row r="95" spans="1:19" x14ac:dyDescent="0.3">
      <c r="A95" s="4">
        <v>27971</v>
      </c>
      <c r="B95" s="4" t="s">
        <v>28</v>
      </c>
      <c r="C95" s="4" t="s">
        <v>15</v>
      </c>
      <c r="D95" s="4" t="s">
        <v>16</v>
      </c>
      <c r="E95" s="4" t="s">
        <v>35</v>
      </c>
      <c r="F95" s="4" t="str">
        <f t="shared" si="1"/>
        <v>2ML</v>
      </c>
      <c r="G95" s="5">
        <v>46046</v>
      </c>
      <c r="H95" s="6">
        <v>0.36249999999999999</v>
      </c>
      <c r="I95" s="5">
        <v>46046</v>
      </c>
      <c r="J95" s="5">
        <v>46046</v>
      </c>
      <c r="K95" s="5">
        <v>46055</v>
      </c>
      <c r="L95" s="4" t="s">
        <v>67</v>
      </c>
      <c r="M95" s="4" t="s">
        <v>68</v>
      </c>
      <c r="N95" s="4" t="s">
        <v>21</v>
      </c>
      <c r="O95" s="4" t="s">
        <v>24</v>
      </c>
      <c r="P95" s="4">
        <v>24431</v>
      </c>
      <c r="Q95" s="4" t="s">
        <v>19</v>
      </c>
      <c r="R95" s="4">
        <v>34914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27972</v>
      </c>
      <c r="B96" s="4" t="s">
        <v>28</v>
      </c>
      <c r="C96" s="4" t="s">
        <v>15</v>
      </c>
      <c r="D96" s="4" t="s">
        <v>16</v>
      </c>
      <c r="E96" s="4" t="s">
        <v>47</v>
      </c>
      <c r="F96" s="4" t="str">
        <f t="shared" si="1"/>
        <v>3ML</v>
      </c>
      <c r="G96" s="5">
        <v>46046</v>
      </c>
      <c r="H96" s="6">
        <v>0.36249999999999999</v>
      </c>
      <c r="I96" s="5">
        <v>46046</v>
      </c>
      <c r="J96" s="5">
        <v>46046</v>
      </c>
      <c r="K96" s="5">
        <v>46055</v>
      </c>
      <c r="L96" s="4" t="s">
        <v>67</v>
      </c>
      <c r="M96" s="4" t="s">
        <v>68</v>
      </c>
      <c r="N96" s="4" t="s">
        <v>21</v>
      </c>
      <c r="O96" s="4" t="s">
        <v>24</v>
      </c>
      <c r="P96" s="4">
        <v>24432</v>
      </c>
      <c r="Q96" s="4" t="s">
        <v>19</v>
      </c>
      <c r="R96" s="4">
        <v>34915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27975</v>
      </c>
      <c r="B97" s="4" t="s">
        <v>28</v>
      </c>
      <c r="C97" s="4" t="s">
        <v>15</v>
      </c>
      <c r="D97" s="4" t="s">
        <v>16</v>
      </c>
      <c r="E97" s="4" t="s">
        <v>137</v>
      </c>
      <c r="F97" s="4" t="str">
        <f t="shared" si="1"/>
        <v>7ML</v>
      </c>
      <c r="G97" s="5">
        <v>46046</v>
      </c>
      <c r="H97" s="6">
        <v>0.39166666666666666</v>
      </c>
      <c r="I97" s="5">
        <v>46046</v>
      </c>
      <c r="J97" s="5">
        <v>46046</v>
      </c>
      <c r="K97" s="5">
        <v>46055</v>
      </c>
      <c r="L97" s="4" t="s">
        <v>67</v>
      </c>
      <c r="M97" s="4" t="s">
        <v>68</v>
      </c>
      <c r="N97" s="4" t="s">
        <v>21</v>
      </c>
      <c r="O97" s="4" t="s">
        <v>24</v>
      </c>
      <c r="P97" s="4">
        <v>24435</v>
      </c>
      <c r="Q97" s="4" t="s">
        <v>19</v>
      </c>
      <c r="R97" s="4">
        <v>34918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27983</v>
      </c>
      <c r="B98" s="4" t="s">
        <v>28</v>
      </c>
      <c r="C98" s="4" t="s">
        <v>15</v>
      </c>
      <c r="D98" s="4" t="s">
        <v>16</v>
      </c>
      <c r="E98" s="4" t="s">
        <v>51</v>
      </c>
      <c r="F98" s="4" t="str">
        <f t="shared" si="1"/>
        <v>2MC</v>
      </c>
      <c r="G98" s="5">
        <v>46048</v>
      </c>
      <c r="H98" s="6">
        <v>0.30277777777777776</v>
      </c>
      <c r="I98" s="5">
        <v>46048</v>
      </c>
      <c r="K98" s="5">
        <v>46055</v>
      </c>
      <c r="L98" s="4" t="s">
        <v>60</v>
      </c>
      <c r="M98" s="4">
        <v>1620</v>
      </c>
      <c r="N98" s="4" t="s">
        <v>21</v>
      </c>
      <c r="O98" s="4" t="s">
        <v>27</v>
      </c>
      <c r="P98" s="4">
        <v>24442</v>
      </c>
      <c r="Q98" s="4" t="s">
        <v>19</v>
      </c>
      <c r="R98" s="4">
        <v>34921</v>
      </c>
      <c r="S98" s="4" t="str">
        <f>VLOOKUP(L98&amp;TEXT(I98,"mmmm")&amp;YEAR(I98),'[1]Detalle C-Fecha'!$D$2:$E$15921,2,FALSE)</f>
        <v>Arcor S.A.I.C.</v>
      </c>
    </row>
    <row r="99" spans="1:19" x14ac:dyDescent="0.3">
      <c r="A99" s="4">
        <v>27984</v>
      </c>
      <c r="B99" s="4" t="s">
        <v>28</v>
      </c>
      <c r="C99" s="4" t="s">
        <v>15</v>
      </c>
      <c r="D99" s="4" t="s">
        <v>16</v>
      </c>
      <c r="E99" s="4" t="s">
        <v>53</v>
      </c>
      <c r="F99" s="4" t="str">
        <f t="shared" si="1"/>
        <v>3MC</v>
      </c>
      <c r="G99" s="5">
        <v>46048</v>
      </c>
      <c r="H99" s="6">
        <v>0.30277777777777776</v>
      </c>
      <c r="I99" s="5">
        <v>46048</v>
      </c>
      <c r="K99" s="5">
        <v>46055</v>
      </c>
      <c r="L99" s="4" t="s">
        <v>60</v>
      </c>
      <c r="M99" s="4">
        <v>1620</v>
      </c>
      <c r="N99" s="4" t="s">
        <v>21</v>
      </c>
      <c r="O99" s="4" t="s">
        <v>27</v>
      </c>
      <c r="P99" s="4">
        <v>24443</v>
      </c>
      <c r="Q99" s="4" t="s">
        <v>19</v>
      </c>
      <c r="R99" s="4">
        <v>34922</v>
      </c>
      <c r="S99" s="4" t="str">
        <f>VLOOKUP(L99&amp;TEXT(I99,"mmmm")&amp;YEAR(I99),'[1]Detalle C-Fecha'!$D$2:$E$15921,2,FALSE)</f>
        <v>Arcor S.A.I.C.</v>
      </c>
    </row>
    <row r="100" spans="1:19" x14ac:dyDescent="0.3">
      <c r="A100" s="4">
        <v>27985</v>
      </c>
      <c r="B100" s="4" t="s">
        <v>28</v>
      </c>
      <c r="C100" s="4" t="s">
        <v>15</v>
      </c>
      <c r="D100" s="4" t="s">
        <v>16</v>
      </c>
      <c r="E100" s="4" t="s">
        <v>111</v>
      </c>
      <c r="F100" s="4" t="str">
        <f t="shared" si="1"/>
        <v>6MC</v>
      </c>
      <c r="G100" s="5">
        <v>46048</v>
      </c>
      <c r="H100" s="6">
        <v>0.30277777777777776</v>
      </c>
      <c r="I100" s="5">
        <v>46048</v>
      </c>
      <c r="K100" s="5">
        <v>46055</v>
      </c>
      <c r="L100" s="4" t="s">
        <v>60</v>
      </c>
      <c r="M100" s="4">
        <v>1620</v>
      </c>
      <c r="N100" s="4" t="s">
        <v>21</v>
      </c>
      <c r="O100" s="4" t="s">
        <v>27</v>
      </c>
      <c r="P100" s="4">
        <v>24444</v>
      </c>
      <c r="Q100" s="4" t="s">
        <v>19</v>
      </c>
      <c r="R100" s="4">
        <v>34923</v>
      </c>
      <c r="S100" s="4" t="str">
        <f>VLOOKUP(L100&amp;TEXT(I100,"mmmm")&amp;YEAR(I100),'[1]Detalle C-Fecha'!$D$2:$E$15921,2,FALSE)</f>
        <v>Arcor S.A.I.C.</v>
      </c>
    </row>
    <row r="101" spans="1:19" x14ac:dyDescent="0.3">
      <c r="A101" s="4">
        <v>28040</v>
      </c>
      <c r="B101" s="4" t="s">
        <v>28</v>
      </c>
      <c r="C101" s="4" t="s">
        <v>15</v>
      </c>
      <c r="D101" s="4" t="s">
        <v>16</v>
      </c>
      <c r="E101" s="4" t="s">
        <v>35</v>
      </c>
      <c r="F101" s="4" t="str">
        <f t="shared" si="1"/>
        <v>2ML</v>
      </c>
      <c r="G101" s="5">
        <v>46049</v>
      </c>
      <c r="H101" s="6">
        <v>0.60138888888888886</v>
      </c>
      <c r="I101" s="5">
        <v>46049</v>
      </c>
      <c r="J101" s="5">
        <v>46049</v>
      </c>
      <c r="K101" s="5">
        <v>46049</v>
      </c>
      <c r="L101" s="4" t="s">
        <v>56</v>
      </c>
      <c r="M101" s="4" t="s">
        <v>30</v>
      </c>
      <c r="N101" s="4" t="s">
        <v>31</v>
      </c>
      <c r="O101" s="4" t="s">
        <v>25</v>
      </c>
      <c r="P101" s="4">
        <v>24505</v>
      </c>
      <c r="Q101" s="4" t="s">
        <v>19</v>
      </c>
      <c r="R101" s="4">
        <v>37120</v>
      </c>
      <c r="S101" s="4" t="str">
        <f>VLOOKUP(L101&amp;TEXT(I101,"mmmm")&amp;YEAR(I101),'[1]Detalle C-Fecha'!$D$2:$E$15921,2,FALSE)</f>
        <v>Expreso - Servicios Troncales</v>
      </c>
    </row>
    <row r="102" spans="1:19" x14ac:dyDescent="0.3">
      <c r="A102" s="4">
        <v>28041</v>
      </c>
      <c r="B102" s="4" t="s">
        <v>28</v>
      </c>
      <c r="C102" s="4" t="s">
        <v>15</v>
      </c>
      <c r="D102" s="4" t="s">
        <v>16</v>
      </c>
      <c r="E102" s="4" t="s">
        <v>47</v>
      </c>
      <c r="F102" s="4" t="str">
        <f t="shared" si="1"/>
        <v>3ML</v>
      </c>
      <c r="G102" s="5">
        <v>46049</v>
      </c>
      <c r="H102" s="6">
        <v>0.60138888888888886</v>
      </c>
      <c r="I102" s="5">
        <v>46049</v>
      </c>
      <c r="J102" s="5">
        <v>46049</v>
      </c>
      <c r="K102" s="5">
        <v>46049</v>
      </c>
      <c r="L102" s="4" t="s">
        <v>56</v>
      </c>
      <c r="M102" s="4" t="s">
        <v>30</v>
      </c>
      <c r="N102" s="4" t="s">
        <v>31</v>
      </c>
      <c r="O102" s="4" t="s">
        <v>25</v>
      </c>
      <c r="P102" s="4">
        <v>24506</v>
      </c>
      <c r="Q102" s="4" t="s">
        <v>19</v>
      </c>
      <c r="R102" s="4">
        <v>37122</v>
      </c>
      <c r="S102" s="4" t="str">
        <f>VLOOKUP(L102&amp;TEXT(I102,"mmmm")&amp;YEAR(I102),'[1]Detalle C-Fecha'!$D$2:$E$15921,2,FALSE)</f>
        <v>Expreso - Servicios Troncales</v>
      </c>
    </row>
    <row r="103" spans="1:19" x14ac:dyDescent="0.3">
      <c r="A103" s="4">
        <v>28053</v>
      </c>
      <c r="B103" s="4" t="s">
        <v>28</v>
      </c>
      <c r="C103" s="4" t="s">
        <v>15</v>
      </c>
      <c r="D103" s="4" t="s">
        <v>16</v>
      </c>
      <c r="E103" s="4" t="s">
        <v>51</v>
      </c>
      <c r="F103" s="4" t="str">
        <f t="shared" si="1"/>
        <v>2MC</v>
      </c>
      <c r="G103" s="5">
        <v>46050</v>
      </c>
      <c r="H103" s="6">
        <v>0.31875000000000003</v>
      </c>
      <c r="I103" s="5">
        <v>46050</v>
      </c>
      <c r="K103" s="5">
        <v>46055</v>
      </c>
      <c r="L103" s="4" t="s">
        <v>58</v>
      </c>
      <c r="M103" s="4" t="s">
        <v>20</v>
      </c>
      <c r="N103" s="4" t="s">
        <v>21</v>
      </c>
      <c r="O103" s="4" t="s">
        <v>24</v>
      </c>
      <c r="P103" s="4">
        <v>24518</v>
      </c>
      <c r="Q103" s="4" t="s">
        <v>19</v>
      </c>
      <c r="R103" s="4">
        <v>34947</v>
      </c>
      <c r="S103" s="4" t="str">
        <f>VLOOKUP(L103&amp;TEXT(I103,"mmmm")&amp;YEAR(I103),'[1]Detalle C-Fecha'!$D$2:$E$15921,2,FALSE)</f>
        <v>CCUDyAZA</v>
      </c>
    </row>
    <row r="104" spans="1:19" x14ac:dyDescent="0.3">
      <c r="A104" s="4">
        <v>28054</v>
      </c>
      <c r="B104" s="4" t="s">
        <v>28</v>
      </c>
      <c r="C104" s="4" t="s">
        <v>15</v>
      </c>
      <c r="D104" s="4" t="s">
        <v>16</v>
      </c>
      <c r="E104" s="4" t="s">
        <v>53</v>
      </c>
      <c r="F104" s="4" t="str">
        <f t="shared" si="1"/>
        <v>3MC</v>
      </c>
      <c r="G104" s="5">
        <v>46050</v>
      </c>
      <c r="H104" s="6">
        <v>0.31875000000000003</v>
      </c>
      <c r="I104" s="5">
        <v>46050</v>
      </c>
      <c r="K104" s="5">
        <v>46055</v>
      </c>
      <c r="L104" s="4" t="s">
        <v>58</v>
      </c>
      <c r="M104" s="4" t="s">
        <v>20</v>
      </c>
      <c r="N104" s="4" t="s">
        <v>21</v>
      </c>
      <c r="O104" s="4" t="s">
        <v>24</v>
      </c>
      <c r="P104" s="4">
        <v>24519</v>
      </c>
      <c r="Q104" s="4" t="s">
        <v>19</v>
      </c>
      <c r="R104" s="4">
        <v>34948</v>
      </c>
      <c r="S104" s="4" t="str">
        <f>VLOOKUP(L104&amp;TEXT(I104,"mmmm")&amp;YEAR(I104),'[1]Detalle C-Fecha'!$D$2:$E$15921,2,FALSE)</f>
        <v>CCUDyAZA</v>
      </c>
    </row>
    <row r="105" spans="1:19" x14ac:dyDescent="0.3">
      <c r="A105" s="4">
        <v>28055</v>
      </c>
      <c r="B105" s="4" t="s">
        <v>28</v>
      </c>
      <c r="C105" s="4" t="s">
        <v>15</v>
      </c>
      <c r="D105" s="4" t="s">
        <v>16</v>
      </c>
      <c r="E105" s="4" t="s">
        <v>52</v>
      </c>
      <c r="F105" s="4" t="str">
        <f t="shared" si="1"/>
        <v>6MC</v>
      </c>
      <c r="G105" s="5">
        <v>46050</v>
      </c>
      <c r="H105" s="6">
        <v>0.31875000000000003</v>
      </c>
      <c r="I105" s="5">
        <v>46050</v>
      </c>
      <c r="K105" s="5">
        <v>46055</v>
      </c>
      <c r="L105" s="4" t="s">
        <v>58</v>
      </c>
      <c r="M105" s="4" t="s">
        <v>20</v>
      </c>
      <c r="N105" s="4" t="s">
        <v>21</v>
      </c>
      <c r="O105" s="4" t="s">
        <v>24</v>
      </c>
      <c r="P105" s="4">
        <v>24520</v>
      </c>
      <c r="Q105" s="4" t="s">
        <v>19</v>
      </c>
      <c r="R105" s="4">
        <v>34949</v>
      </c>
      <c r="S105" s="4" t="str">
        <f>VLOOKUP(L105&amp;TEXT(I105,"mmmm")&amp;YEAR(I105),'[1]Detalle C-Fecha'!$D$2:$E$15921,2,FALSE)</f>
        <v>CCUDyAZA</v>
      </c>
    </row>
    <row r="106" spans="1:19" x14ac:dyDescent="0.3">
      <c r="A106" s="4">
        <v>28070</v>
      </c>
      <c r="B106" s="4" t="s">
        <v>28</v>
      </c>
      <c r="C106" s="4" t="s">
        <v>15</v>
      </c>
      <c r="D106" s="4" t="s">
        <v>16</v>
      </c>
      <c r="E106" s="4" t="s">
        <v>35</v>
      </c>
      <c r="F106" s="4" t="str">
        <f t="shared" si="1"/>
        <v>2ML</v>
      </c>
      <c r="G106" s="5">
        <v>46050</v>
      </c>
      <c r="H106" s="6">
        <v>0.50416666666666665</v>
      </c>
      <c r="I106" s="5">
        <v>46050</v>
      </c>
      <c r="J106" s="5">
        <v>46050</v>
      </c>
      <c r="K106" s="5">
        <v>46050</v>
      </c>
      <c r="L106" s="4" t="s">
        <v>63</v>
      </c>
      <c r="M106" s="4">
        <v>1634</v>
      </c>
      <c r="N106" s="4" t="s">
        <v>31</v>
      </c>
      <c r="O106" s="4" t="s">
        <v>25</v>
      </c>
      <c r="P106" s="4">
        <v>24551</v>
      </c>
      <c r="Q106" s="4" t="s">
        <v>19</v>
      </c>
      <c r="R106" s="4">
        <v>37128</v>
      </c>
      <c r="S106" s="4" t="str">
        <f>VLOOKUP(L106&amp;TEXT(I106,"mmmm")&amp;YEAR(I106),'[1]Detalle C-Fecha'!$D$2:$E$15921,2,FALSE)</f>
        <v>Expreso - Servicios Troncales</v>
      </c>
    </row>
    <row r="107" spans="1:19" x14ac:dyDescent="0.3">
      <c r="A107" s="4">
        <v>28071</v>
      </c>
      <c r="B107" s="4" t="s">
        <v>28</v>
      </c>
      <c r="C107" s="4" t="s">
        <v>15</v>
      </c>
      <c r="D107" s="4" t="s">
        <v>16</v>
      </c>
      <c r="E107" s="4" t="s">
        <v>47</v>
      </c>
      <c r="F107" s="4" t="str">
        <f t="shared" si="1"/>
        <v>3ML</v>
      </c>
      <c r="G107" s="5">
        <v>46050</v>
      </c>
      <c r="H107" s="6">
        <v>0.50416666666666665</v>
      </c>
      <c r="I107" s="5">
        <v>46050</v>
      </c>
      <c r="J107" s="5">
        <v>46050</v>
      </c>
      <c r="K107" s="5">
        <v>46050</v>
      </c>
      <c r="L107" s="4" t="s">
        <v>63</v>
      </c>
      <c r="M107" s="4">
        <v>1634</v>
      </c>
      <c r="N107" s="4" t="s">
        <v>31</v>
      </c>
      <c r="O107" s="4" t="s">
        <v>25</v>
      </c>
      <c r="P107" s="4">
        <v>24552</v>
      </c>
      <c r="Q107" s="4" t="s">
        <v>19</v>
      </c>
      <c r="R107" s="4">
        <v>37134</v>
      </c>
      <c r="S107" s="4" t="str">
        <f>VLOOKUP(L107&amp;TEXT(I107,"mmmm")&amp;YEAR(I107),'[1]Detalle C-Fecha'!$D$2:$E$15921,2,FALSE)</f>
        <v>Expreso - Servicios Troncales</v>
      </c>
    </row>
    <row r="108" spans="1:19" x14ac:dyDescent="0.3">
      <c r="A108" s="4">
        <v>28072</v>
      </c>
      <c r="B108" s="4" t="s">
        <v>28</v>
      </c>
      <c r="C108" s="4" t="s">
        <v>15</v>
      </c>
      <c r="D108" s="4" t="s">
        <v>16</v>
      </c>
      <c r="E108" s="4" t="s">
        <v>137</v>
      </c>
      <c r="F108" s="4" t="str">
        <f t="shared" si="1"/>
        <v>7ML</v>
      </c>
      <c r="G108" s="5">
        <v>46050</v>
      </c>
      <c r="H108" s="6">
        <v>0.50416666666666665</v>
      </c>
      <c r="I108" s="5">
        <v>46050</v>
      </c>
      <c r="J108" s="5">
        <v>46050</v>
      </c>
      <c r="K108" s="5">
        <v>46050</v>
      </c>
      <c r="L108" s="4" t="s">
        <v>63</v>
      </c>
      <c r="M108" s="4">
        <v>1634</v>
      </c>
      <c r="N108" s="4" t="s">
        <v>31</v>
      </c>
      <c r="O108" s="4" t="s">
        <v>25</v>
      </c>
      <c r="P108" s="4">
        <v>24553</v>
      </c>
      <c r="Q108" s="4" t="s">
        <v>19</v>
      </c>
      <c r="R108" s="4">
        <v>37136</v>
      </c>
      <c r="S108" s="4" t="str">
        <f>VLOOKUP(L108&amp;TEXT(I108,"mmmm")&amp;YEAR(I108),'[1]Detalle C-Fecha'!$D$2:$E$15921,2,FALSE)</f>
        <v>Expreso - Servicios Troncales</v>
      </c>
    </row>
    <row r="109" spans="1:19" x14ac:dyDescent="0.3">
      <c r="A109" s="4">
        <v>28091</v>
      </c>
      <c r="B109" s="4" t="s">
        <v>28</v>
      </c>
      <c r="C109" s="4" t="s">
        <v>15</v>
      </c>
      <c r="D109" s="4" t="s">
        <v>16</v>
      </c>
      <c r="E109" s="4" t="s">
        <v>51</v>
      </c>
      <c r="F109" s="4" t="str">
        <f t="shared" si="1"/>
        <v>2MC</v>
      </c>
      <c r="G109" s="5">
        <v>46050</v>
      </c>
      <c r="H109" s="6">
        <v>0.65277777777777779</v>
      </c>
      <c r="I109" s="5">
        <v>46050</v>
      </c>
      <c r="J109" s="5">
        <v>46050</v>
      </c>
      <c r="K109" s="5">
        <v>46055</v>
      </c>
      <c r="L109" s="4" t="s">
        <v>93</v>
      </c>
      <c r="M109" s="4">
        <v>1318</v>
      </c>
      <c r="N109" s="4" t="s">
        <v>21</v>
      </c>
      <c r="O109" s="4" t="s">
        <v>27</v>
      </c>
      <c r="P109" s="4">
        <v>24578</v>
      </c>
      <c r="Q109" s="4" t="s">
        <v>19</v>
      </c>
      <c r="R109" s="4">
        <v>34951</v>
      </c>
      <c r="S109" s="4" t="str">
        <f>VLOOKUP(L109&amp;TEXT(I109,"mmmm")&amp;YEAR(I109),'[1]Detalle C-Fecha'!$D$2:$E$15921,2,FALSE)</f>
        <v>CCUCoAZA</v>
      </c>
    </row>
    <row r="110" spans="1:19" x14ac:dyDescent="0.3">
      <c r="A110" s="4">
        <v>28092</v>
      </c>
      <c r="B110" s="4" t="s">
        <v>28</v>
      </c>
      <c r="C110" s="4" t="s">
        <v>15</v>
      </c>
      <c r="D110" s="4" t="s">
        <v>16</v>
      </c>
      <c r="E110" s="4" t="s">
        <v>53</v>
      </c>
      <c r="F110" s="4" t="str">
        <f t="shared" si="1"/>
        <v>3MC</v>
      </c>
      <c r="G110" s="5">
        <v>46050</v>
      </c>
      <c r="H110" s="6">
        <v>0.65277777777777779</v>
      </c>
      <c r="I110" s="5">
        <v>46050</v>
      </c>
      <c r="J110" s="5">
        <v>46050</v>
      </c>
      <c r="K110" s="5">
        <v>46055</v>
      </c>
      <c r="L110" s="4" t="s">
        <v>93</v>
      </c>
      <c r="M110" s="4">
        <v>1318</v>
      </c>
      <c r="N110" s="4" t="s">
        <v>21</v>
      </c>
      <c r="O110" s="4" t="s">
        <v>27</v>
      </c>
      <c r="P110" s="4">
        <v>24579</v>
      </c>
      <c r="Q110" s="4" t="s">
        <v>19</v>
      </c>
      <c r="R110" s="4">
        <v>34952</v>
      </c>
      <c r="S110" s="4" t="str">
        <f>VLOOKUP(L110&amp;TEXT(I110,"mmmm")&amp;YEAR(I110),'[1]Detalle C-Fecha'!$D$2:$E$15921,2,FALSE)</f>
        <v>CCUCoAZA</v>
      </c>
    </row>
    <row r="111" spans="1:19" x14ac:dyDescent="0.3">
      <c r="A111" s="4">
        <v>28093</v>
      </c>
      <c r="B111" s="4" t="s">
        <v>28</v>
      </c>
      <c r="C111" s="4" t="s">
        <v>15</v>
      </c>
      <c r="D111" s="4" t="s">
        <v>16</v>
      </c>
      <c r="E111" s="4" t="s">
        <v>52</v>
      </c>
      <c r="F111" s="4" t="str">
        <f t="shared" si="1"/>
        <v>6MC</v>
      </c>
      <c r="G111" s="5">
        <v>46050</v>
      </c>
      <c r="H111" s="6">
        <v>0.65277777777777779</v>
      </c>
      <c r="I111" s="5">
        <v>46050</v>
      </c>
      <c r="J111" s="5">
        <v>46050</v>
      </c>
      <c r="K111" s="5">
        <v>46055</v>
      </c>
      <c r="L111" s="4" t="s">
        <v>93</v>
      </c>
      <c r="M111" s="4">
        <v>1318</v>
      </c>
      <c r="N111" s="4" t="s">
        <v>21</v>
      </c>
      <c r="O111" s="4" t="s">
        <v>27</v>
      </c>
      <c r="P111" s="4">
        <v>24580</v>
      </c>
      <c r="Q111" s="4" t="s">
        <v>19</v>
      </c>
      <c r="R111" s="4">
        <v>34953</v>
      </c>
      <c r="S111" s="4" t="str">
        <f>VLOOKUP(L111&amp;TEXT(I111,"mmmm")&amp;YEAR(I111),'[1]Detalle C-Fecha'!$D$2:$E$15921,2,FALSE)</f>
        <v>CCUCoAZA</v>
      </c>
    </row>
    <row r="112" spans="1:19" x14ac:dyDescent="0.3">
      <c r="A112" s="4">
        <v>28098</v>
      </c>
      <c r="B112" s="4" t="s">
        <v>28</v>
      </c>
      <c r="C112" s="4" t="s">
        <v>15</v>
      </c>
      <c r="D112" s="4" t="s">
        <v>16</v>
      </c>
      <c r="E112" s="4" t="s">
        <v>35</v>
      </c>
      <c r="F112" s="4" t="str">
        <f t="shared" si="1"/>
        <v>2ML</v>
      </c>
      <c r="G112" s="5">
        <v>46050</v>
      </c>
      <c r="H112" s="6">
        <v>0.67638888888888893</v>
      </c>
      <c r="I112" s="5">
        <v>46050</v>
      </c>
      <c r="J112" s="5">
        <v>46050</v>
      </c>
      <c r="K112" s="5">
        <v>46050</v>
      </c>
      <c r="L112" s="4" t="s">
        <v>76</v>
      </c>
      <c r="M112" s="4" t="s">
        <v>127</v>
      </c>
      <c r="N112" s="4" t="s">
        <v>17</v>
      </c>
      <c r="O112" s="4" t="s">
        <v>24</v>
      </c>
      <c r="P112" s="4">
        <v>24585</v>
      </c>
      <c r="Q112" s="4" t="s">
        <v>19</v>
      </c>
      <c r="R112" s="4">
        <v>34770</v>
      </c>
      <c r="S112" s="4" t="str">
        <f>VLOOKUP(L112&amp;TEXT(I112,"mmmm")&amp;YEAR(I112),'[1]Detalle C-Fecha'!$D$2:$E$15921,2,FALSE)</f>
        <v>CENCOMLD - Cencosud SA - Mendoza</v>
      </c>
    </row>
    <row r="113" spans="1:19" x14ac:dyDescent="0.3">
      <c r="A113" s="4">
        <v>28099</v>
      </c>
      <c r="B113" s="4" t="s">
        <v>28</v>
      </c>
      <c r="C113" s="4" t="s">
        <v>15</v>
      </c>
      <c r="D113" s="4" t="s">
        <v>16</v>
      </c>
      <c r="E113" s="4" t="s">
        <v>47</v>
      </c>
      <c r="F113" s="4" t="str">
        <f t="shared" si="1"/>
        <v>3ML</v>
      </c>
      <c r="G113" s="5">
        <v>46050</v>
      </c>
      <c r="H113" s="6">
        <v>0.67638888888888893</v>
      </c>
      <c r="I113" s="5">
        <v>46050</v>
      </c>
      <c r="J113" s="5">
        <v>46050</v>
      </c>
      <c r="K113" s="5">
        <v>46050</v>
      </c>
      <c r="L113" s="4" t="s">
        <v>76</v>
      </c>
      <c r="M113" s="4" t="s">
        <v>127</v>
      </c>
      <c r="N113" s="4" t="s">
        <v>17</v>
      </c>
      <c r="O113" s="4" t="s">
        <v>24</v>
      </c>
      <c r="P113" s="4">
        <v>24586</v>
      </c>
      <c r="Q113" s="4" t="s">
        <v>19</v>
      </c>
      <c r="R113" s="4">
        <v>34772</v>
      </c>
      <c r="S113" s="4" t="str">
        <f>VLOOKUP(L113&amp;TEXT(I113,"mmmm")&amp;YEAR(I113),'[1]Detalle C-Fecha'!$D$2:$E$15921,2,FALSE)</f>
        <v>CENCOMLD - Cencosud SA - Mendoza</v>
      </c>
    </row>
    <row r="114" spans="1:19" x14ac:dyDescent="0.3">
      <c r="A114" s="4">
        <v>28100</v>
      </c>
      <c r="B114" s="4" t="s">
        <v>28</v>
      </c>
      <c r="C114" s="4" t="s">
        <v>15</v>
      </c>
      <c r="D114" s="4" t="s">
        <v>16</v>
      </c>
      <c r="E114" s="4" t="s">
        <v>52</v>
      </c>
      <c r="F114" s="4" t="str">
        <f t="shared" si="1"/>
        <v>6MC</v>
      </c>
      <c r="G114" s="5">
        <v>46050</v>
      </c>
      <c r="H114" s="6">
        <v>0.67638888888888893</v>
      </c>
      <c r="I114" s="5">
        <v>46050</v>
      </c>
      <c r="J114" s="5">
        <v>46050</v>
      </c>
      <c r="K114" s="5">
        <v>46050</v>
      </c>
      <c r="L114" s="4" t="s">
        <v>76</v>
      </c>
      <c r="M114" s="4" t="s">
        <v>127</v>
      </c>
      <c r="N114" s="4" t="s">
        <v>17</v>
      </c>
      <c r="O114" s="4" t="s">
        <v>24</v>
      </c>
      <c r="P114" s="4">
        <v>24587</v>
      </c>
      <c r="Q114" s="4" t="s">
        <v>19</v>
      </c>
      <c r="R114" s="4">
        <v>34774</v>
      </c>
      <c r="S114" s="4" t="str">
        <f>VLOOKUP(L114&amp;TEXT(I114,"mmmm")&amp;YEAR(I114),'[1]Detalle C-Fecha'!$D$2:$E$15921,2,FALSE)</f>
        <v>CENCOMLD - Cencosud SA - Mendoza</v>
      </c>
    </row>
    <row r="115" spans="1:19" x14ac:dyDescent="0.3">
      <c r="A115" s="4">
        <v>28182</v>
      </c>
      <c r="B115" s="4" t="s">
        <v>28</v>
      </c>
      <c r="C115" s="4" t="s">
        <v>15</v>
      </c>
      <c r="D115" s="4" t="s">
        <v>16</v>
      </c>
      <c r="E115" s="4" t="s">
        <v>115</v>
      </c>
      <c r="F115" s="4" t="str">
        <f t="shared" si="1"/>
        <v>2ML</v>
      </c>
      <c r="G115" s="5">
        <v>46051</v>
      </c>
      <c r="H115" s="6">
        <v>0.31041666666666667</v>
      </c>
      <c r="I115" s="5">
        <v>46051</v>
      </c>
      <c r="K115" s="5">
        <v>46055</v>
      </c>
      <c r="L115" s="4" t="s">
        <v>69</v>
      </c>
      <c r="M115" s="4" t="s">
        <v>129</v>
      </c>
      <c r="N115" s="4" t="s">
        <v>21</v>
      </c>
      <c r="O115" s="4" t="s">
        <v>24</v>
      </c>
      <c r="P115" s="4">
        <v>24613</v>
      </c>
      <c r="Q115" s="4" t="s">
        <v>19</v>
      </c>
      <c r="R115" s="4">
        <v>34958</v>
      </c>
      <c r="S115" s="4" t="str">
        <f>VLOOKUP(L115&amp;TEXT(I115,"mmmm")&amp;YEAR(I115),'[1]Detalle C-Fecha'!$D$2:$E$15921,2,FALSE)</f>
        <v>ADA_CH - Danone Arg. S.A. - Chascomus</v>
      </c>
    </row>
    <row r="116" spans="1:19" x14ac:dyDescent="0.3">
      <c r="A116" s="4">
        <v>28183</v>
      </c>
      <c r="B116" s="4" t="s">
        <v>28</v>
      </c>
      <c r="C116" s="4" t="s">
        <v>15</v>
      </c>
      <c r="D116" s="4" t="s">
        <v>16</v>
      </c>
      <c r="E116" s="4" t="s">
        <v>116</v>
      </c>
      <c r="F116" s="4" t="str">
        <f t="shared" si="1"/>
        <v>3ML</v>
      </c>
      <c r="G116" s="5">
        <v>46051</v>
      </c>
      <c r="H116" s="6">
        <v>0.31041666666666667</v>
      </c>
      <c r="I116" s="5">
        <v>46051</v>
      </c>
      <c r="K116" s="5">
        <v>46057</v>
      </c>
      <c r="L116" s="4" t="s">
        <v>69</v>
      </c>
      <c r="M116" s="4" t="s">
        <v>129</v>
      </c>
      <c r="N116" s="4" t="s">
        <v>21</v>
      </c>
      <c r="O116" s="4" t="s">
        <v>24</v>
      </c>
      <c r="P116" s="4">
        <v>24614</v>
      </c>
      <c r="Q116" s="4" t="s">
        <v>19</v>
      </c>
      <c r="R116" s="4">
        <v>35476</v>
      </c>
      <c r="S116" s="4" t="str">
        <f>VLOOKUP(L116&amp;TEXT(I116,"mmmm")&amp;YEAR(I116),'[1]Detalle C-Fecha'!$D$2:$E$15921,2,FALSE)</f>
        <v>ADA_CH - Danone Arg. S.A. - Chascomus</v>
      </c>
    </row>
    <row r="117" spans="1:19" x14ac:dyDescent="0.3">
      <c r="A117" s="4">
        <v>28184</v>
      </c>
      <c r="B117" s="4" t="s">
        <v>28</v>
      </c>
      <c r="C117" s="4" t="s">
        <v>15</v>
      </c>
      <c r="D117" s="4" t="s">
        <v>16</v>
      </c>
      <c r="E117" s="4" t="s">
        <v>117</v>
      </c>
      <c r="F117" s="4" t="str">
        <f t="shared" si="1"/>
        <v>6ML</v>
      </c>
      <c r="G117" s="5">
        <v>46051</v>
      </c>
      <c r="H117" s="6">
        <v>0.31041666666666667</v>
      </c>
      <c r="I117" s="5">
        <v>46051</v>
      </c>
      <c r="K117" s="5">
        <v>46055</v>
      </c>
      <c r="L117" s="4" t="s">
        <v>69</v>
      </c>
      <c r="M117" s="4" t="s">
        <v>129</v>
      </c>
      <c r="N117" s="4" t="s">
        <v>21</v>
      </c>
      <c r="O117" s="4" t="s">
        <v>24</v>
      </c>
      <c r="P117" s="4">
        <v>24615</v>
      </c>
      <c r="Q117" s="4" t="s">
        <v>19</v>
      </c>
      <c r="R117" s="4">
        <v>34959</v>
      </c>
      <c r="S117" s="4" t="str">
        <f>VLOOKUP(L117&amp;TEXT(I117,"mmmm")&amp;YEAR(I117),'[1]Detalle C-Fecha'!$D$2:$E$15921,2,FALSE)</f>
        <v>ADA_CH - Danone Arg. S.A. - Chascomus</v>
      </c>
    </row>
    <row r="118" spans="1:19" x14ac:dyDescent="0.3">
      <c r="A118" s="4">
        <v>28209</v>
      </c>
      <c r="B118" s="4" t="s">
        <v>28</v>
      </c>
      <c r="C118" s="4" t="s">
        <v>15</v>
      </c>
      <c r="D118" s="4" t="s">
        <v>16</v>
      </c>
      <c r="E118" s="4" t="s">
        <v>51</v>
      </c>
      <c r="F118" s="4" t="str">
        <f t="shared" si="1"/>
        <v>2MC</v>
      </c>
      <c r="G118" s="5">
        <v>46051</v>
      </c>
      <c r="H118" s="6">
        <v>0.84861111111111109</v>
      </c>
      <c r="I118" s="5">
        <v>46051</v>
      </c>
      <c r="J118" s="5">
        <v>46051</v>
      </c>
      <c r="K118" s="5">
        <v>46055</v>
      </c>
      <c r="L118" s="4" t="s">
        <v>42</v>
      </c>
      <c r="M118" s="4" t="s">
        <v>130</v>
      </c>
      <c r="N118" s="4" t="s">
        <v>21</v>
      </c>
      <c r="O118" s="4" t="s">
        <v>27</v>
      </c>
      <c r="P118" s="4">
        <v>24645</v>
      </c>
      <c r="Q118" s="4" t="s">
        <v>19</v>
      </c>
      <c r="R118" s="4">
        <v>34965</v>
      </c>
      <c r="S118" s="4" t="str">
        <f>VLOOKUP(L118&amp;TEXT(I118,"mmmm")&amp;YEAR(I118),'[1]Detalle C-Fecha'!$D$2:$E$15921,2,FALSE)</f>
        <v>CMQ_TTE - QUILMES TTE</v>
      </c>
    </row>
    <row r="119" spans="1:19" x14ac:dyDescent="0.3">
      <c r="A119" s="4">
        <v>28210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46051</v>
      </c>
      <c r="H119" s="6">
        <v>0.84861111111111109</v>
      </c>
      <c r="I119" s="5">
        <v>46051</v>
      </c>
      <c r="J119" s="5">
        <v>46051</v>
      </c>
      <c r="K119" s="5">
        <v>46055</v>
      </c>
      <c r="L119" s="4" t="s">
        <v>42</v>
      </c>
      <c r="M119" s="4" t="s">
        <v>130</v>
      </c>
      <c r="N119" s="4" t="s">
        <v>21</v>
      </c>
      <c r="O119" s="4" t="s">
        <v>18</v>
      </c>
      <c r="P119" s="4">
        <v>24646</v>
      </c>
      <c r="Q119" s="4" t="s">
        <v>19</v>
      </c>
      <c r="R119" s="4">
        <v>34966</v>
      </c>
      <c r="S119" s="4" t="str">
        <f>VLOOKUP(L119&amp;TEXT(I119,"mmmm")&amp;YEAR(I119),'[1]Detalle C-Fecha'!$D$2:$E$15921,2,FALSE)</f>
        <v>CMQ_TTE - QUILMES TTE</v>
      </c>
    </row>
    <row r="120" spans="1:19" x14ac:dyDescent="0.3">
      <c r="A120" s="4">
        <v>28211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46051</v>
      </c>
      <c r="H120" s="6">
        <v>0.84861111111111109</v>
      </c>
      <c r="I120" s="5">
        <v>46051</v>
      </c>
      <c r="J120" s="5">
        <v>46051</v>
      </c>
      <c r="K120" s="5">
        <v>46055</v>
      </c>
      <c r="L120" s="4" t="s">
        <v>42</v>
      </c>
      <c r="M120" s="4" t="s">
        <v>130</v>
      </c>
      <c r="N120" s="4" t="s">
        <v>21</v>
      </c>
      <c r="O120" s="4" t="s">
        <v>18</v>
      </c>
      <c r="P120" s="4">
        <v>24647</v>
      </c>
      <c r="Q120" s="4" t="s">
        <v>19</v>
      </c>
      <c r="R120" s="4">
        <v>34967</v>
      </c>
      <c r="S120" s="4" t="str">
        <f>VLOOKUP(L120&amp;TEXT(I120,"mmmm")&amp;YEAR(I120),'[1]Detalle C-Fecha'!$D$2:$E$15921,2,FALSE)</f>
        <v>CMQ_TTE - QUILMES TTE</v>
      </c>
    </row>
    <row r="121" spans="1:19" x14ac:dyDescent="0.3">
      <c r="A121" s="4">
        <v>28216</v>
      </c>
      <c r="B121" s="4" t="s">
        <v>28</v>
      </c>
      <c r="C121" s="4" t="s">
        <v>15</v>
      </c>
      <c r="D121" s="4" t="s">
        <v>16</v>
      </c>
      <c r="E121" s="4" t="s">
        <v>115</v>
      </c>
      <c r="F121" s="4" t="str">
        <f t="shared" si="1"/>
        <v>2ML</v>
      </c>
      <c r="G121" s="5">
        <v>46052</v>
      </c>
      <c r="H121" s="6">
        <v>0.31666666666666665</v>
      </c>
      <c r="I121" s="5">
        <v>46052</v>
      </c>
      <c r="K121" s="5">
        <v>46055</v>
      </c>
      <c r="L121" s="4" t="s">
        <v>48</v>
      </c>
      <c r="M121" s="4" t="s">
        <v>129</v>
      </c>
      <c r="N121" s="4" t="s">
        <v>21</v>
      </c>
      <c r="O121" s="4" t="s">
        <v>24</v>
      </c>
      <c r="P121" s="4">
        <v>24652</v>
      </c>
      <c r="Q121" s="4" t="s">
        <v>19</v>
      </c>
      <c r="R121" s="4">
        <v>34970</v>
      </c>
      <c r="S121" s="4" t="str">
        <f>VLOOKUP(L121&amp;TEXT(I121,"mmmm")&amp;YEAR(I121),'[1]Detalle C-Fecha'!$D$2:$E$15921,2,FALSE)</f>
        <v>ADA_CH - Danone Arg. S.A. - Chascomus</v>
      </c>
    </row>
    <row r="122" spans="1:19" x14ac:dyDescent="0.3">
      <c r="A122" s="4">
        <v>28217</v>
      </c>
      <c r="B122" s="4" t="s">
        <v>28</v>
      </c>
      <c r="C122" s="4" t="s">
        <v>15</v>
      </c>
      <c r="D122" s="4" t="s">
        <v>16</v>
      </c>
      <c r="E122" s="4" t="s">
        <v>116</v>
      </c>
      <c r="F122" s="4" t="str">
        <f t="shared" si="1"/>
        <v>3ML</v>
      </c>
      <c r="G122" s="5">
        <v>46052</v>
      </c>
      <c r="H122" s="6">
        <v>0.31666666666666665</v>
      </c>
      <c r="I122" s="5">
        <v>46052</v>
      </c>
      <c r="K122" s="5">
        <v>46057</v>
      </c>
      <c r="L122" s="4" t="s">
        <v>48</v>
      </c>
      <c r="M122" s="4" t="s">
        <v>129</v>
      </c>
      <c r="N122" s="4" t="s">
        <v>21</v>
      </c>
      <c r="O122" s="4" t="s">
        <v>24</v>
      </c>
      <c r="P122" s="4">
        <v>24653</v>
      </c>
      <c r="Q122" s="4" t="s">
        <v>19</v>
      </c>
      <c r="R122" s="4">
        <v>35481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28218</v>
      </c>
      <c r="B123" s="4" t="s">
        <v>28</v>
      </c>
      <c r="C123" s="4" t="s">
        <v>15</v>
      </c>
      <c r="D123" s="4" t="s">
        <v>16</v>
      </c>
      <c r="E123" s="4" t="s">
        <v>117</v>
      </c>
      <c r="F123" s="4" t="str">
        <f t="shared" si="1"/>
        <v>6ML</v>
      </c>
      <c r="G123" s="5">
        <v>46052</v>
      </c>
      <c r="H123" s="6">
        <v>0.31666666666666665</v>
      </c>
      <c r="I123" s="5">
        <v>46052</v>
      </c>
      <c r="K123" s="5">
        <v>46055</v>
      </c>
      <c r="L123" s="4" t="s">
        <v>48</v>
      </c>
      <c r="M123" s="4" t="s">
        <v>129</v>
      </c>
      <c r="N123" s="4" t="s">
        <v>21</v>
      </c>
      <c r="O123" s="4" t="s">
        <v>24</v>
      </c>
      <c r="P123" s="4">
        <v>24654</v>
      </c>
      <c r="Q123" s="4" t="s">
        <v>19</v>
      </c>
      <c r="R123" s="4">
        <v>34971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28244</v>
      </c>
      <c r="B124" s="4" t="s">
        <v>28</v>
      </c>
      <c r="C124" s="4" t="s">
        <v>15</v>
      </c>
      <c r="D124" s="4" t="s">
        <v>16</v>
      </c>
      <c r="E124" s="4" t="s">
        <v>113</v>
      </c>
      <c r="F124" s="4" t="str">
        <f t="shared" si="1"/>
        <v>2MC</v>
      </c>
      <c r="G124" s="5">
        <v>46052</v>
      </c>
      <c r="H124" s="6">
        <v>0.63472222222222219</v>
      </c>
      <c r="I124" s="5">
        <v>46052</v>
      </c>
      <c r="J124" s="5">
        <v>46052</v>
      </c>
      <c r="K124" s="5">
        <v>46055</v>
      </c>
      <c r="L124" s="4" t="s">
        <v>59</v>
      </c>
      <c r="M124" s="4" t="s">
        <v>128</v>
      </c>
      <c r="N124" s="4" t="s">
        <v>21</v>
      </c>
      <c r="O124" s="4" t="s">
        <v>18</v>
      </c>
      <c r="P124" s="4">
        <v>24702</v>
      </c>
      <c r="Q124" s="4" t="s">
        <v>19</v>
      </c>
      <c r="R124" s="4">
        <v>34976</v>
      </c>
      <c r="S124" s="4" t="str">
        <f>VLOOKUP(L124&amp;TEXT(I124,"mmmm")&amp;YEAR(I124),'[1]Detalle C-Fecha'!$D$2:$E$15921,2,FALSE)</f>
        <v>CMQ_TTE - QUILMES TTE</v>
      </c>
    </row>
    <row r="125" spans="1:19" x14ac:dyDescent="0.3">
      <c r="A125" s="4">
        <v>28245</v>
      </c>
      <c r="B125" s="4" t="s">
        <v>28</v>
      </c>
      <c r="C125" s="4" t="s">
        <v>15</v>
      </c>
      <c r="D125" s="4" t="s">
        <v>16</v>
      </c>
      <c r="E125" s="4" t="s">
        <v>122</v>
      </c>
      <c r="F125" s="4" t="str">
        <f t="shared" si="1"/>
        <v>3MC</v>
      </c>
      <c r="G125" s="5">
        <v>46052</v>
      </c>
      <c r="H125" s="6">
        <v>0.63541666666666663</v>
      </c>
      <c r="I125" s="5">
        <v>46052</v>
      </c>
      <c r="J125" s="5">
        <v>46052</v>
      </c>
      <c r="K125" s="5">
        <v>46055</v>
      </c>
      <c r="L125" s="4" t="s">
        <v>59</v>
      </c>
      <c r="M125" s="4" t="s">
        <v>128</v>
      </c>
      <c r="N125" s="4" t="s">
        <v>21</v>
      </c>
      <c r="O125" s="4" t="s">
        <v>18</v>
      </c>
      <c r="P125" s="4">
        <v>24703</v>
      </c>
      <c r="Q125" s="4" t="s">
        <v>19</v>
      </c>
      <c r="R125" s="4">
        <v>34977</v>
      </c>
      <c r="S125" s="4" t="str">
        <f>VLOOKUP(L125&amp;TEXT(I125,"mmmm")&amp;YEAR(I125),'[1]Detalle C-Fecha'!$D$2:$E$15921,2,FALSE)</f>
        <v>CMQ_TTE - QUILMES TTE</v>
      </c>
    </row>
    <row r="126" spans="1:19" x14ac:dyDescent="0.3">
      <c r="A126" s="4">
        <v>28246</v>
      </c>
      <c r="B126" s="4" t="s">
        <v>28</v>
      </c>
      <c r="C126" s="4" t="s">
        <v>15</v>
      </c>
      <c r="D126" s="4" t="s">
        <v>16</v>
      </c>
      <c r="E126" s="4" t="s">
        <v>114</v>
      </c>
      <c r="F126" s="4" t="str">
        <f t="shared" si="1"/>
        <v>6MC</v>
      </c>
      <c r="G126" s="5">
        <v>46052</v>
      </c>
      <c r="H126" s="6">
        <v>0.63541666666666663</v>
      </c>
      <c r="I126" s="5">
        <v>46052</v>
      </c>
      <c r="J126" s="5">
        <v>46052</v>
      </c>
      <c r="K126" s="5">
        <v>46055</v>
      </c>
      <c r="L126" s="4" t="s">
        <v>59</v>
      </c>
      <c r="M126" s="4" t="s">
        <v>128</v>
      </c>
      <c r="N126" s="4" t="s">
        <v>21</v>
      </c>
      <c r="O126" s="4" t="s">
        <v>18</v>
      </c>
      <c r="P126" s="4">
        <v>24704</v>
      </c>
      <c r="Q126" s="4" t="s">
        <v>19</v>
      </c>
      <c r="R126" s="4">
        <v>34978</v>
      </c>
      <c r="S126" s="4" t="str">
        <f>VLOOKUP(L126&amp;TEXT(I126,"mmmm")&amp;YEAR(I126),'[1]Detalle C-Fecha'!$D$2:$E$15921,2,FALSE)</f>
        <v>CMQ_TTE - QUILMES TTE</v>
      </c>
    </row>
    <row r="127" spans="1:19" x14ac:dyDescent="0.3">
      <c r="A127" s="4">
        <v>28261</v>
      </c>
      <c r="B127" s="4" t="s">
        <v>28</v>
      </c>
      <c r="C127" s="4" t="s">
        <v>15</v>
      </c>
      <c r="D127" s="4" t="s">
        <v>16</v>
      </c>
      <c r="E127" s="4" t="s">
        <v>113</v>
      </c>
      <c r="F127" s="4" t="str">
        <f t="shared" si="1"/>
        <v>2MC</v>
      </c>
      <c r="G127" s="5">
        <v>46052</v>
      </c>
      <c r="H127" s="6">
        <v>0.67361111111111116</v>
      </c>
      <c r="I127" s="5">
        <v>46052</v>
      </c>
      <c r="J127" s="5">
        <v>46052</v>
      </c>
      <c r="K127" s="5">
        <v>46055</v>
      </c>
      <c r="L127" s="4" t="s">
        <v>105</v>
      </c>
      <c r="M127" s="4" t="s">
        <v>128</v>
      </c>
      <c r="N127" s="4" t="s">
        <v>21</v>
      </c>
      <c r="O127" s="4" t="s">
        <v>18</v>
      </c>
      <c r="P127" s="4">
        <v>24708</v>
      </c>
      <c r="Q127" s="4" t="s">
        <v>19</v>
      </c>
      <c r="R127" s="4">
        <v>34981</v>
      </c>
      <c r="S127" s="4" t="str">
        <f>VLOOKUP(L127&amp;TEXT(I127,"mmmm")&amp;YEAR(I127),'[1]Detalle C-Fecha'!$D$2:$E$15921,2,FALSE)</f>
        <v>CMQ_TTE - QUILMES TTE</v>
      </c>
    </row>
    <row r="128" spans="1:19" x14ac:dyDescent="0.3">
      <c r="A128" s="4">
        <v>28262</v>
      </c>
      <c r="B128" s="4" t="s">
        <v>28</v>
      </c>
      <c r="C128" s="4" t="s">
        <v>15</v>
      </c>
      <c r="D128" s="4" t="s">
        <v>16</v>
      </c>
      <c r="E128" s="4" t="s">
        <v>122</v>
      </c>
      <c r="F128" s="4" t="str">
        <f t="shared" si="1"/>
        <v>3MC</v>
      </c>
      <c r="G128" s="5">
        <v>46052</v>
      </c>
      <c r="H128" s="6">
        <v>0.67361111111111116</v>
      </c>
      <c r="I128" s="5">
        <v>46052</v>
      </c>
      <c r="J128" s="5">
        <v>46052</v>
      </c>
      <c r="K128" s="5">
        <v>46055</v>
      </c>
      <c r="L128" s="4" t="s">
        <v>105</v>
      </c>
      <c r="M128" s="4" t="s">
        <v>128</v>
      </c>
      <c r="N128" s="4" t="s">
        <v>21</v>
      </c>
      <c r="O128" s="4" t="s">
        <v>18</v>
      </c>
      <c r="P128" s="4">
        <v>24709</v>
      </c>
      <c r="Q128" s="4" t="s">
        <v>19</v>
      </c>
      <c r="R128" s="4">
        <v>34982</v>
      </c>
      <c r="S128" s="4" t="str">
        <f>VLOOKUP(L128&amp;TEXT(I128,"mmmm")&amp;YEAR(I128),'[1]Detalle C-Fecha'!$D$2:$E$15921,2,FALSE)</f>
        <v>CMQ_TTE - QUILMES TTE</v>
      </c>
    </row>
    <row r="129" spans="1:19" x14ac:dyDescent="0.3">
      <c r="A129" s="4">
        <v>28263</v>
      </c>
      <c r="B129" s="4" t="s">
        <v>28</v>
      </c>
      <c r="C129" s="4" t="s">
        <v>15</v>
      </c>
      <c r="D129" s="4" t="s">
        <v>16</v>
      </c>
      <c r="E129" s="4" t="s">
        <v>114</v>
      </c>
      <c r="F129" s="4" t="str">
        <f t="shared" si="1"/>
        <v>6MC</v>
      </c>
      <c r="G129" s="5">
        <v>46052</v>
      </c>
      <c r="H129" s="6">
        <v>0.67361111111111116</v>
      </c>
      <c r="I129" s="5">
        <v>46052</v>
      </c>
      <c r="J129" s="5">
        <v>46052</v>
      </c>
      <c r="K129" s="5">
        <v>46055</v>
      </c>
      <c r="L129" s="4" t="s">
        <v>105</v>
      </c>
      <c r="M129" s="4" t="s">
        <v>128</v>
      </c>
      <c r="N129" s="4" t="s">
        <v>21</v>
      </c>
      <c r="O129" s="4" t="s">
        <v>18</v>
      </c>
      <c r="P129" s="4">
        <v>24710</v>
      </c>
      <c r="Q129" s="4" t="s">
        <v>19</v>
      </c>
      <c r="R129" s="4">
        <v>34983</v>
      </c>
      <c r="S129" s="4" t="str">
        <f>VLOOKUP(L129&amp;TEXT(I129,"mmmm")&amp;YEAR(I129),'[1]Detalle C-Fecha'!$D$2:$E$15921,2,FALSE)</f>
        <v>CMQ_TTE - QUILMES TTE</v>
      </c>
    </row>
    <row r="130" spans="1:19" x14ac:dyDescent="0.3">
      <c r="A130" s="4">
        <v>28268</v>
      </c>
      <c r="B130" s="4" t="s">
        <v>28</v>
      </c>
      <c r="C130" s="4" t="s">
        <v>15</v>
      </c>
      <c r="D130" s="4" t="s">
        <v>16</v>
      </c>
      <c r="E130" s="4" t="s">
        <v>51</v>
      </c>
      <c r="F130" s="4" t="str">
        <f t="shared" ref="F130:F193" si="2">MID(E130,1,3)</f>
        <v>2MC</v>
      </c>
      <c r="G130" s="5">
        <v>46052</v>
      </c>
      <c r="H130" s="6">
        <v>0.84375</v>
      </c>
      <c r="I130" s="5">
        <v>46052</v>
      </c>
      <c r="J130" s="5">
        <v>46052</v>
      </c>
      <c r="K130" s="5">
        <v>46057</v>
      </c>
      <c r="L130" s="4" t="s">
        <v>66</v>
      </c>
      <c r="M130" s="4" t="s">
        <v>130</v>
      </c>
      <c r="N130" s="4" t="s">
        <v>21</v>
      </c>
      <c r="O130" s="4" t="s">
        <v>18</v>
      </c>
      <c r="P130" s="4">
        <v>24736</v>
      </c>
      <c r="Q130" s="4" t="s">
        <v>19</v>
      </c>
      <c r="R130" s="4">
        <v>35484</v>
      </c>
      <c r="S130" s="4" t="str">
        <f>VLOOKUP(L130&amp;TEXT(I130,"mmmm")&amp;YEAR(I130),'[1]Detalle C-Fecha'!$D$2:$E$15921,2,FALSE)</f>
        <v>CMQ_TTE - QUILMES TTE</v>
      </c>
    </row>
    <row r="131" spans="1:19" x14ac:dyDescent="0.3">
      <c r="A131" s="4">
        <v>28269</v>
      </c>
      <c r="B131" s="4" t="s">
        <v>28</v>
      </c>
      <c r="C131" s="4" t="s">
        <v>15</v>
      </c>
      <c r="D131" s="4" t="s">
        <v>16</v>
      </c>
      <c r="E131" s="4" t="s">
        <v>53</v>
      </c>
      <c r="F131" s="4" t="str">
        <f t="shared" si="2"/>
        <v>3MC</v>
      </c>
      <c r="G131" s="5">
        <v>46052</v>
      </c>
      <c r="H131" s="6">
        <v>0.84375</v>
      </c>
      <c r="I131" s="5">
        <v>46052</v>
      </c>
      <c r="J131" s="5">
        <v>46052</v>
      </c>
      <c r="K131" s="5">
        <v>46055</v>
      </c>
      <c r="L131" s="4" t="s">
        <v>66</v>
      </c>
      <c r="M131" s="4" t="s">
        <v>130</v>
      </c>
      <c r="N131" s="4" t="s">
        <v>21</v>
      </c>
      <c r="O131" s="4" t="s">
        <v>18</v>
      </c>
      <c r="P131" s="4">
        <v>24737</v>
      </c>
      <c r="Q131" s="4" t="s">
        <v>19</v>
      </c>
      <c r="R131" s="4">
        <v>34985</v>
      </c>
      <c r="S131" s="4" t="str">
        <f>VLOOKUP(L131&amp;TEXT(I131,"mmmm")&amp;YEAR(I131),'[1]Detalle C-Fecha'!$D$2:$E$15921,2,FALSE)</f>
        <v>CMQ_TTE - QUILMES TTE</v>
      </c>
    </row>
    <row r="132" spans="1:19" x14ac:dyDescent="0.3">
      <c r="A132" s="4">
        <v>28270</v>
      </c>
      <c r="B132" s="4" t="s">
        <v>28</v>
      </c>
      <c r="C132" s="4" t="s">
        <v>15</v>
      </c>
      <c r="D132" s="4" t="s">
        <v>16</v>
      </c>
      <c r="E132" s="4" t="s">
        <v>52</v>
      </c>
      <c r="F132" s="4" t="str">
        <f t="shared" si="2"/>
        <v>6MC</v>
      </c>
      <c r="G132" s="5">
        <v>46052</v>
      </c>
      <c r="H132" s="6">
        <v>0.84375</v>
      </c>
      <c r="I132" s="5">
        <v>46052</v>
      </c>
      <c r="J132" s="5">
        <v>46052</v>
      </c>
      <c r="K132" s="5">
        <v>46055</v>
      </c>
      <c r="L132" s="4" t="s">
        <v>66</v>
      </c>
      <c r="M132" s="4" t="s">
        <v>130</v>
      </c>
      <c r="N132" s="4" t="s">
        <v>21</v>
      </c>
      <c r="O132" s="4" t="s">
        <v>18</v>
      </c>
      <c r="P132" s="4">
        <v>24738</v>
      </c>
      <c r="Q132" s="4" t="s">
        <v>19</v>
      </c>
      <c r="R132" s="4">
        <v>34986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28380</v>
      </c>
      <c r="B133" s="4" t="s">
        <v>28</v>
      </c>
      <c r="C133" s="4" t="s">
        <v>15</v>
      </c>
      <c r="D133" s="4" t="s">
        <v>16</v>
      </c>
      <c r="E133" s="4" t="s">
        <v>115</v>
      </c>
      <c r="F133" s="4" t="str">
        <f t="shared" si="2"/>
        <v>2ML</v>
      </c>
      <c r="G133" s="5">
        <v>46053</v>
      </c>
      <c r="H133" s="6">
        <v>0.40972222222222227</v>
      </c>
      <c r="I133" s="5">
        <v>46053</v>
      </c>
      <c r="J133" s="5">
        <v>46053</v>
      </c>
      <c r="K133" s="5">
        <v>46053</v>
      </c>
      <c r="L133" s="4" t="s">
        <v>55</v>
      </c>
      <c r="M133" s="4" t="s">
        <v>131</v>
      </c>
      <c r="N133" s="4" t="s">
        <v>17</v>
      </c>
      <c r="O133" s="4" t="s">
        <v>25</v>
      </c>
      <c r="P133" s="4">
        <v>24773</v>
      </c>
      <c r="Q133" s="4" t="s">
        <v>19</v>
      </c>
      <c r="R133" s="4">
        <v>34840</v>
      </c>
      <c r="S133" s="4" t="str">
        <f>VLOOKUP(L133&amp;TEXT(I133,"mmmm")&amp;YEAR(I133),'[1]Detalle C-Fecha'!$D$2:$E$15921,2,FALSE)</f>
        <v>Expreso - Servicios Troncales</v>
      </c>
    </row>
    <row r="134" spans="1:19" x14ac:dyDescent="0.3">
      <c r="A134" s="4">
        <v>28381</v>
      </c>
      <c r="B134" s="4" t="s">
        <v>28</v>
      </c>
      <c r="C134" s="4" t="s">
        <v>15</v>
      </c>
      <c r="D134" s="4" t="s">
        <v>16</v>
      </c>
      <c r="E134" s="4" t="s">
        <v>116</v>
      </c>
      <c r="F134" s="4" t="str">
        <f t="shared" si="2"/>
        <v>3ML</v>
      </c>
      <c r="G134" s="5">
        <v>46053</v>
      </c>
      <c r="H134" s="6">
        <v>0.40972222222222227</v>
      </c>
      <c r="I134" s="5">
        <v>46053</v>
      </c>
      <c r="J134" s="5">
        <v>46053</v>
      </c>
      <c r="K134" s="5">
        <v>46053</v>
      </c>
      <c r="L134" s="4" t="s">
        <v>55</v>
      </c>
      <c r="M134" s="4" t="s">
        <v>131</v>
      </c>
      <c r="N134" s="4" t="s">
        <v>17</v>
      </c>
      <c r="O134" s="4" t="s">
        <v>25</v>
      </c>
      <c r="P134" s="4">
        <v>24774</v>
      </c>
      <c r="Q134" s="4" t="s">
        <v>19</v>
      </c>
      <c r="R134" s="4">
        <v>34842</v>
      </c>
      <c r="S134" s="4" t="str">
        <f>VLOOKUP(L134&amp;TEXT(I134,"mmmm")&amp;YEAR(I134),'[1]Detalle C-Fecha'!$D$2:$E$15921,2,FALSE)</f>
        <v>Expreso - Servicios Troncales</v>
      </c>
    </row>
    <row r="135" spans="1:19" x14ac:dyDescent="0.3">
      <c r="A135" s="4">
        <v>28392</v>
      </c>
      <c r="B135" s="4" t="s">
        <v>28</v>
      </c>
      <c r="C135" s="4" t="s">
        <v>15</v>
      </c>
      <c r="D135" s="4" t="s">
        <v>16</v>
      </c>
      <c r="E135" s="4" t="s">
        <v>35</v>
      </c>
      <c r="F135" s="4" t="str">
        <f t="shared" si="2"/>
        <v>2ML</v>
      </c>
      <c r="G135" s="5">
        <v>46055</v>
      </c>
      <c r="H135" s="6">
        <v>0.39583333333333331</v>
      </c>
      <c r="I135" s="5">
        <v>46055</v>
      </c>
      <c r="K135" s="5">
        <v>46062</v>
      </c>
      <c r="L135" s="4" t="s">
        <v>101</v>
      </c>
      <c r="M135" s="4" t="s">
        <v>126</v>
      </c>
      <c r="N135" s="4" t="s">
        <v>21</v>
      </c>
      <c r="O135" s="4" t="s">
        <v>24</v>
      </c>
      <c r="P135" s="4">
        <v>24786</v>
      </c>
      <c r="Q135" s="4" t="s">
        <v>19</v>
      </c>
      <c r="R135" s="4">
        <v>35826</v>
      </c>
      <c r="S135" s="4" t="str">
        <f>VLOOKUP(L135&amp;TEXT(I135,"mmmm")&amp;YEAR(I135),'[1]Detalle C-Fecha'!$D$2:$E$15921,2,FALSE)</f>
        <v>ADA_CH - Danone Arg. S.A. - Chascomus</v>
      </c>
    </row>
    <row r="136" spans="1:19" x14ac:dyDescent="0.3">
      <c r="A136" s="4">
        <v>28393</v>
      </c>
      <c r="B136" s="4" t="s">
        <v>28</v>
      </c>
      <c r="C136" s="4" t="s">
        <v>15</v>
      </c>
      <c r="D136" s="4" t="s">
        <v>16</v>
      </c>
      <c r="E136" s="4" t="s">
        <v>47</v>
      </c>
      <c r="F136" s="4" t="str">
        <f t="shared" si="2"/>
        <v>3ML</v>
      </c>
      <c r="G136" s="5">
        <v>46055</v>
      </c>
      <c r="H136" s="6">
        <v>0.39583333333333331</v>
      </c>
      <c r="I136" s="5">
        <v>46055</v>
      </c>
      <c r="K136" s="5">
        <v>46062</v>
      </c>
      <c r="L136" s="4" t="s">
        <v>101</v>
      </c>
      <c r="M136" s="4" t="s">
        <v>126</v>
      </c>
      <c r="N136" s="4" t="s">
        <v>21</v>
      </c>
      <c r="O136" s="4" t="s">
        <v>24</v>
      </c>
      <c r="P136" s="4">
        <v>24787</v>
      </c>
      <c r="Q136" s="4" t="s">
        <v>19</v>
      </c>
      <c r="R136" s="4">
        <v>35827</v>
      </c>
      <c r="S136" s="4" t="str">
        <f>VLOOKUP(L136&amp;TEXT(I136,"mmmm")&amp;YEAR(I136),'[1]Detalle C-Fecha'!$D$2:$E$15921,2,FALSE)</f>
        <v>ADA_CH - Danone Arg. S.A. - Chascomus</v>
      </c>
    </row>
    <row r="137" spans="1:19" x14ac:dyDescent="0.3">
      <c r="A137" s="4">
        <v>28394</v>
      </c>
      <c r="B137" s="4" t="s">
        <v>28</v>
      </c>
      <c r="C137" s="4" t="s">
        <v>15</v>
      </c>
      <c r="D137" s="4" t="s">
        <v>16</v>
      </c>
      <c r="E137" s="4" t="s">
        <v>46</v>
      </c>
      <c r="F137" s="4" t="str">
        <f t="shared" si="2"/>
        <v>6ML</v>
      </c>
      <c r="G137" s="5">
        <v>46055</v>
      </c>
      <c r="H137" s="6">
        <v>0.39583333333333331</v>
      </c>
      <c r="I137" s="5">
        <v>46055</v>
      </c>
      <c r="K137" s="5">
        <v>46062</v>
      </c>
      <c r="L137" s="4" t="s">
        <v>101</v>
      </c>
      <c r="M137" s="4" t="s">
        <v>126</v>
      </c>
      <c r="N137" s="4" t="s">
        <v>21</v>
      </c>
      <c r="O137" s="4" t="s">
        <v>24</v>
      </c>
      <c r="P137" s="4">
        <v>24789</v>
      </c>
      <c r="Q137" s="4" t="s">
        <v>19</v>
      </c>
      <c r="R137" s="4">
        <v>35828</v>
      </c>
      <c r="S137" s="4" t="str">
        <f>VLOOKUP(L137&amp;TEXT(I137,"mmmm")&amp;YEAR(I137),'[1]Detalle C-Fecha'!$D$2:$E$15921,2,FALSE)</f>
        <v>ADA_CH - Danone Arg. S.A. - Chascomus</v>
      </c>
    </row>
    <row r="138" spans="1:19" x14ac:dyDescent="0.3">
      <c r="A138" s="4">
        <v>28808</v>
      </c>
      <c r="B138" s="4" t="s">
        <v>28</v>
      </c>
      <c r="C138" s="4" t="s">
        <v>15</v>
      </c>
      <c r="D138" s="4" t="s">
        <v>16</v>
      </c>
      <c r="E138" s="4" t="s">
        <v>108</v>
      </c>
      <c r="F138" s="4" t="str">
        <f t="shared" si="2"/>
        <v>2MU</v>
      </c>
      <c r="G138" s="5">
        <v>46057</v>
      </c>
      <c r="H138" s="6">
        <v>0.48194444444444445</v>
      </c>
      <c r="I138" s="5">
        <v>46057</v>
      </c>
      <c r="J138" s="5">
        <v>46057</v>
      </c>
      <c r="K138" s="5">
        <v>46057</v>
      </c>
      <c r="L138" s="4" t="s">
        <v>102</v>
      </c>
      <c r="M138" s="4" t="s">
        <v>103</v>
      </c>
      <c r="N138" s="4" t="s">
        <v>17</v>
      </c>
      <c r="O138" s="4" t="s">
        <v>25</v>
      </c>
      <c r="P138" s="4">
        <v>24940</v>
      </c>
      <c r="Q138" s="4" t="s">
        <v>19</v>
      </c>
      <c r="R138" s="4">
        <v>36466</v>
      </c>
      <c r="S138" s="4" t="str">
        <f>VLOOKUP(L138&amp;TEXT(I138,"mmmm")&amp;YEAR(I138),'[1]Detalle C-Fecha'!$D$2:$E$15921,2,FALSE)</f>
        <v>SUC_MEN - Sucursal Mendoza</v>
      </c>
    </row>
    <row r="139" spans="1:19" x14ac:dyDescent="0.3">
      <c r="A139" s="4">
        <v>28809</v>
      </c>
      <c r="B139" s="4" t="s">
        <v>28</v>
      </c>
      <c r="C139" s="4" t="s">
        <v>15</v>
      </c>
      <c r="D139" s="4" t="s">
        <v>16</v>
      </c>
      <c r="E139" s="4" t="s">
        <v>109</v>
      </c>
      <c r="F139" s="4" t="str">
        <f t="shared" si="2"/>
        <v>3MU</v>
      </c>
      <c r="G139" s="5">
        <v>46057</v>
      </c>
      <c r="H139" s="6">
        <v>0.48194444444444445</v>
      </c>
      <c r="I139" s="5">
        <v>46057</v>
      </c>
      <c r="J139" s="5">
        <v>46057</v>
      </c>
      <c r="K139" s="5">
        <v>46057</v>
      </c>
      <c r="L139" s="4" t="s">
        <v>102</v>
      </c>
      <c r="M139" s="4" t="s">
        <v>103</v>
      </c>
      <c r="N139" s="4" t="s">
        <v>17</v>
      </c>
      <c r="O139" s="4" t="s">
        <v>25</v>
      </c>
      <c r="P139" s="4">
        <v>24941</v>
      </c>
      <c r="Q139" s="4" t="s">
        <v>19</v>
      </c>
      <c r="R139" s="4">
        <v>36468</v>
      </c>
      <c r="S139" s="4" t="str">
        <f>VLOOKUP(L139&amp;TEXT(I139,"mmmm")&amp;YEAR(I139),'[1]Detalle C-Fecha'!$D$2:$E$15921,2,FALSE)</f>
        <v>SUC_MEN - Sucursal Mendoza</v>
      </c>
    </row>
    <row r="140" spans="1:19" x14ac:dyDescent="0.3">
      <c r="A140" s="4">
        <v>28810</v>
      </c>
      <c r="B140" s="4" t="s">
        <v>28</v>
      </c>
      <c r="C140" s="4" t="s">
        <v>15</v>
      </c>
      <c r="D140" s="4" t="s">
        <v>16</v>
      </c>
      <c r="E140" s="4" t="s">
        <v>107</v>
      </c>
      <c r="F140" s="4" t="str">
        <f t="shared" si="2"/>
        <v>4MU</v>
      </c>
      <c r="G140" s="5">
        <v>46057</v>
      </c>
      <c r="H140" s="6">
        <v>0.4826388888888889</v>
      </c>
      <c r="I140" s="5">
        <v>46057</v>
      </c>
      <c r="J140" s="5">
        <v>46057</v>
      </c>
      <c r="K140" s="5">
        <v>46057</v>
      </c>
      <c r="L140" s="4" t="s">
        <v>102</v>
      </c>
      <c r="M140" s="4" t="s">
        <v>103</v>
      </c>
      <c r="N140" s="4" t="s">
        <v>17</v>
      </c>
      <c r="O140" s="4" t="s">
        <v>25</v>
      </c>
      <c r="P140" s="4">
        <v>24942</v>
      </c>
      <c r="Q140" s="4" t="s">
        <v>19</v>
      </c>
      <c r="R140" s="4">
        <v>36470</v>
      </c>
      <c r="S140" s="4" t="str">
        <f>VLOOKUP(L140&amp;TEXT(I140,"mmmm")&amp;YEAR(I140),'[1]Detalle C-Fecha'!$D$2:$E$15921,2,FALSE)</f>
        <v>SUC_MEN - Sucursal Mendoza</v>
      </c>
    </row>
    <row r="141" spans="1:19" x14ac:dyDescent="0.3">
      <c r="A141" s="4">
        <v>28870</v>
      </c>
      <c r="B141" s="4" t="s">
        <v>28</v>
      </c>
      <c r="C141" s="4" t="s">
        <v>15</v>
      </c>
      <c r="D141" s="4" t="s">
        <v>16</v>
      </c>
      <c r="E141" s="4" t="s">
        <v>35</v>
      </c>
      <c r="F141" s="4" t="str">
        <f t="shared" si="2"/>
        <v>2ML</v>
      </c>
      <c r="G141" s="5">
        <v>46059</v>
      </c>
      <c r="H141" s="6">
        <v>0.54166666666666663</v>
      </c>
      <c r="I141" s="5">
        <v>46059</v>
      </c>
      <c r="J141" s="5">
        <v>46059</v>
      </c>
      <c r="K141" s="5">
        <v>46059</v>
      </c>
      <c r="L141" s="4" t="s">
        <v>57</v>
      </c>
      <c r="M141" s="4" t="s">
        <v>126</v>
      </c>
      <c r="N141" s="4" t="s">
        <v>31</v>
      </c>
      <c r="O141" s="4" t="s">
        <v>25</v>
      </c>
      <c r="P141" s="4">
        <v>25010</v>
      </c>
      <c r="Q141" s="4" t="s">
        <v>19</v>
      </c>
      <c r="R141" s="4">
        <v>37151</v>
      </c>
      <c r="S141" s="4" t="str">
        <f>VLOOKUP(L141&amp;TEXT(I141,"mmmm")&amp;YEAR(I141),'[1]Detalle C-Fecha'!$D$2:$E$15921,2,FALSE)</f>
        <v>Expreso - Servicios Troncales</v>
      </c>
    </row>
    <row r="142" spans="1:19" x14ac:dyDescent="0.3">
      <c r="A142" s="4">
        <v>28871</v>
      </c>
      <c r="B142" s="4" t="s">
        <v>28</v>
      </c>
      <c r="C142" s="4" t="s">
        <v>15</v>
      </c>
      <c r="D142" s="4" t="s">
        <v>16</v>
      </c>
      <c r="E142" s="4" t="s">
        <v>47</v>
      </c>
      <c r="F142" s="4" t="str">
        <f t="shared" si="2"/>
        <v>3ML</v>
      </c>
      <c r="G142" s="5">
        <v>46059</v>
      </c>
      <c r="H142" s="6">
        <v>0.54166666666666663</v>
      </c>
      <c r="I142" s="5">
        <v>46059</v>
      </c>
      <c r="J142" s="5">
        <v>46059</v>
      </c>
      <c r="K142" s="5">
        <v>46059</v>
      </c>
      <c r="L142" s="4" t="s">
        <v>57</v>
      </c>
      <c r="M142" s="4" t="s">
        <v>126</v>
      </c>
      <c r="N142" s="4" t="s">
        <v>31</v>
      </c>
      <c r="O142" s="4" t="s">
        <v>25</v>
      </c>
      <c r="P142" s="4">
        <v>25011</v>
      </c>
      <c r="Q142" s="4" t="s">
        <v>19</v>
      </c>
      <c r="R142" s="4">
        <v>37153</v>
      </c>
      <c r="S142" s="4" t="str">
        <f>VLOOKUP(L142&amp;TEXT(I142,"mmmm")&amp;YEAR(I142),'[1]Detalle C-Fecha'!$D$2:$E$15921,2,FALSE)</f>
        <v>Expreso - Servicios Troncales</v>
      </c>
    </row>
    <row r="143" spans="1:19" x14ac:dyDescent="0.3">
      <c r="A143" s="4">
        <v>28872</v>
      </c>
      <c r="B143" s="4" t="s">
        <v>28</v>
      </c>
      <c r="C143" s="4" t="s">
        <v>15</v>
      </c>
      <c r="D143" s="4" t="s">
        <v>16</v>
      </c>
      <c r="E143" s="4" t="s">
        <v>137</v>
      </c>
      <c r="F143" s="4" t="str">
        <f t="shared" si="2"/>
        <v>7ML</v>
      </c>
      <c r="G143" s="5">
        <v>46059</v>
      </c>
      <c r="H143" s="6">
        <v>0.54166666666666663</v>
      </c>
      <c r="I143" s="5">
        <v>46059</v>
      </c>
      <c r="J143" s="5">
        <v>46059</v>
      </c>
      <c r="K143" s="5">
        <v>46059</v>
      </c>
      <c r="L143" s="4" t="s">
        <v>57</v>
      </c>
      <c r="M143" s="4" t="s">
        <v>126</v>
      </c>
      <c r="N143" s="4" t="s">
        <v>31</v>
      </c>
      <c r="O143" s="4" t="s">
        <v>25</v>
      </c>
      <c r="P143" s="4">
        <v>25012</v>
      </c>
      <c r="Q143" s="4" t="s">
        <v>19</v>
      </c>
      <c r="R143" s="4">
        <v>37156</v>
      </c>
      <c r="S143" s="4" t="str">
        <f>VLOOKUP(L143&amp;TEXT(I143,"mmmm")&amp;YEAR(I143),'[1]Detalle C-Fecha'!$D$2:$E$15921,2,FALSE)</f>
        <v>Expreso - Servicios Troncales</v>
      </c>
    </row>
    <row r="144" spans="1:19" x14ac:dyDescent="0.3">
      <c r="A144" s="4">
        <v>28878</v>
      </c>
      <c r="B144" s="4" t="s">
        <v>28</v>
      </c>
      <c r="C144" s="4" t="s">
        <v>15</v>
      </c>
      <c r="D144" s="4" t="s">
        <v>16</v>
      </c>
      <c r="E144" s="4" t="s">
        <v>140</v>
      </c>
      <c r="F144" s="4" t="str">
        <f t="shared" si="2"/>
        <v>4ML</v>
      </c>
      <c r="G144" s="5">
        <v>46059</v>
      </c>
      <c r="H144" s="6">
        <v>0.61388888888888882</v>
      </c>
      <c r="I144" s="5">
        <v>46059</v>
      </c>
      <c r="J144" s="5">
        <v>46059</v>
      </c>
      <c r="K144" s="5">
        <v>46059</v>
      </c>
      <c r="L144" s="4" t="s">
        <v>29</v>
      </c>
      <c r="M144" s="4" t="s">
        <v>142</v>
      </c>
      <c r="N144" s="4" t="s">
        <v>31</v>
      </c>
      <c r="O144" s="4" t="s">
        <v>25</v>
      </c>
      <c r="P144" s="4">
        <v>25025</v>
      </c>
      <c r="Q144" s="4" t="s">
        <v>19</v>
      </c>
      <c r="R144" s="4">
        <v>37168</v>
      </c>
      <c r="S144" s="4" t="str">
        <f>VLOOKUP(L144&amp;TEXT(I144,"mmmm")&amp;YEAR(I144),'[1]Detalle C-Fecha'!$D$2:$E$15921,2,FALSE)</f>
        <v>Expreso - Servicios Troncales</v>
      </c>
    </row>
    <row r="145" spans="1:19" x14ac:dyDescent="0.3">
      <c r="A145" s="4">
        <v>28879</v>
      </c>
      <c r="B145" s="4" t="s">
        <v>28</v>
      </c>
      <c r="C145" s="4" t="s">
        <v>15</v>
      </c>
      <c r="D145" s="4" t="s">
        <v>16</v>
      </c>
      <c r="E145" s="4" t="s">
        <v>141</v>
      </c>
      <c r="F145" s="4" t="str">
        <f t="shared" si="2"/>
        <v>5ML</v>
      </c>
      <c r="G145" s="5">
        <v>46059</v>
      </c>
      <c r="H145" s="6">
        <v>0.61388888888888882</v>
      </c>
      <c r="I145" s="5">
        <v>46059</v>
      </c>
      <c r="J145" s="5">
        <v>46059</v>
      </c>
      <c r="K145" s="5">
        <v>46059</v>
      </c>
      <c r="L145" s="4" t="s">
        <v>29</v>
      </c>
      <c r="M145" s="4" t="s">
        <v>142</v>
      </c>
      <c r="N145" s="4" t="s">
        <v>31</v>
      </c>
      <c r="O145" s="4" t="s">
        <v>25</v>
      </c>
      <c r="P145" s="4">
        <v>25026</v>
      </c>
      <c r="Q145" s="4" t="s">
        <v>19</v>
      </c>
      <c r="R145" s="4">
        <v>37170</v>
      </c>
      <c r="S145" s="4" t="str">
        <f>VLOOKUP(L145&amp;TEXT(I145,"mmmm")&amp;YEAR(I145),'[1]Detalle C-Fecha'!$D$2:$E$15921,2,FALSE)</f>
        <v>Expreso - Servicios Troncales</v>
      </c>
    </row>
    <row r="146" spans="1:19" x14ac:dyDescent="0.3">
      <c r="A146" s="4">
        <v>29144</v>
      </c>
      <c r="B146" s="4" t="s">
        <v>28</v>
      </c>
      <c r="C146" s="4" t="s">
        <v>15</v>
      </c>
      <c r="D146" s="4" t="s">
        <v>16</v>
      </c>
      <c r="E146" s="4" t="s">
        <v>51</v>
      </c>
      <c r="F146" s="4" t="str">
        <f t="shared" si="2"/>
        <v>2MC</v>
      </c>
      <c r="G146" s="5">
        <v>46064</v>
      </c>
      <c r="H146" s="6">
        <v>0.45347222222222222</v>
      </c>
      <c r="I146" s="5">
        <v>46064</v>
      </c>
      <c r="J146" s="5">
        <v>46064</v>
      </c>
      <c r="K146" s="5">
        <v>46064</v>
      </c>
      <c r="L146" s="4" t="s">
        <v>41</v>
      </c>
      <c r="M146" s="4">
        <v>1318</v>
      </c>
      <c r="N146" s="4" t="s">
        <v>17</v>
      </c>
      <c r="O146" s="4" t="s">
        <v>24</v>
      </c>
      <c r="P146" s="4">
        <v>25152</v>
      </c>
      <c r="Q146" s="4" t="s">
        <v>19</v>
      </c>
      <c r="R146" s="4">
        <v>36718</v>
      </c>
      <c r="S146" s="4" t="str">
        <f>VLOOKUP(L146&amp;TEXT(I146,"mmmm")&amp;YEAR(I146),'[1]Detalle C-Fecha'!$D$2:$E$15921,2,FALSE)</f>
        <v>CENCO_MZ - Cencosud SA - Mendoza</v>
      </c>
    </row>
    <row r="147" spans="1:19" x14ac:dyDescent="0.3">
      <c r="A147" s="4">
        <v>29145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46064</v>
      </c>
      <c r="H147" s="6">
        <v>0.45347222222222222</v>
      </c>
      <c r="I147" s="5">
        <v>46064</v>
      </c>
      <c r="J147" s="5">
        <v>46064</v>
      </c>
      <c r="K147" s="5">
        <v>46064</v>
      </c>
      <c r="L147" s="4" t="s">
        <v>41</v>
      </c>
      <c r="M147" s="4">
        <v>1318</v>
      </c>
      <c r="N147" s="4" t="s">
        <v>17</v>
      </c>
      <c r="O147" s="4" t="s">
        <v>24</v>
      </c>
      <c r="P147" s="4">
        <v>25153</v>
      </c>
      <c r="Q147" s="4" t="s">
        <v>19</v>
      </c>
      <c r="R147" s="4">
        <v>36719</v>
      </c>
      <c r="S147" s="4" t="str">
        <f>VLOOKUP(L147&amp;TEXT(I147,"mmmm")&amp;YEAR(I147),'[1]Detalle C-Fecha'!$D$2:$E$15921,2,FALSE)</f>
        <v>CENCO_MZ - Cencosud SA - Mendoza</v>
      </c>
    </row>
    <row r="148" spans="1:19" x14ac:dyDescent="0.3">
      <c r="A148" s="4">
        <v>29146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46064</v>
      </c>
      <c r="H148" s="6">
        <v>0.45347222222222222</v>
      </c>
      <c r="I148" s="5">
        <v>46064</v>
      </c>
      <c r="J148" s="5">
        <v>46064</v>
      </c>
      <c r="K148" s="5">
        <v>46064</v>
      </c>
      <c r="L148" s="4" t="s">
        <v>41</v>
      </c>
      <c r="M148" s="4">
        <v>1318</v>
      </c>
      <c r="N148" s="4" t="s">
        <v>17</v>
      </c>
      <c r="O148" s="4" t="s">
        <v>24</v>
      </c>
      <c r="P148" s="4">
        <v>25154</v>
      </c>
      <c r="Q148" s="4" t="s">
        <v>19</v>
      </c>
      <c r="R148" s="4">
        <v>36720</v>
      </c>
      <c r="S148" s="4" t="str">
        <f>VLOOKUP(L148&amp;TEXT(I148,"mmmm")&amp;YEAR(I148),'[1]Detalle C-Fecha'!$D$2:$E$15921,2,FALSE)</f>
        <v>CENCO_MZ - Cencosud SA - Mendoza</v>
      </c>
    </row>
    <row r="149" spans="1:19" x14ac:dyDescent="0.3">
      <c r="A149" s="4">
        <v>29148</v>
      </c>
      <c r="B149" s="4" t="s">
        <v>28</v>
      </c>
      <c r="C149" s="4" t="s">
        <v>15</v>
      </c>
      <c r="D149" s="4" t="s">
        <v>16</v>
      </c>
      <c r="E149" s="4" t="s">
        <v>143</v>
      </c>
      <c r="F149" s="4" t="str">
        <f t="shared" si="2"/>
        <v>7MC</v>
      </c>
      <c r="G149" s="5">
        <v>46064</v>
      </c>
      <c r="H149" s="6">
        <v>0.4680555555555555</v>
      </c>
      <c r="I149" s="5">
        <v>46064</v>
      </c>
      <c r="J149" s="5">
        <v>46064</v>
      </c>
      <c r="K149" s="5">
        <v>46064</v>
      </c>
      <c r="L149" s="4" t="s">
        <v>41</v>
      </c>
      <c r="M149" s="4">
        <v>1318</v>
      </c>
      <c r="N149" s="4" t="s">
        <v>17</v>
      </c>
      <c r="O149" s="4" t="s">
        <v>24</v>
      </c>
      <c r="P149" s="4">
        <v>25162</v>
      </c>
      <c r="Q149" s="4" t="s">
        <v>19</v>
      </c>
      <c r="R149" s="4">
        <v>36723</v>
      </c>
      <c r="S149" s="4" t="str">
        <f>VLOOKUP(L149&amp;TEXT(I149,"mmmm")&amp;YEAR(I149),'[1]Detalle C-Fecha'!$D$2:$E$15921,2,FALSE)</f>
        <v>CENCO_MZ - Cencosud SA - Mendoza</v>
      </c>
    </row>
    <row r="150" spans="1:19" x14ac:dyDescent="0.3">
      <c r="A150" s="4">
        <v>29149</v>
      </c>
      <c r="B150" s="4" t="s">
        <v>28</v>
      </c>
      <c r="C150" s="4" t="s">
        <v>15</v>
      </c>
      <c r="D150" s="4" t="s">
        <v>16</v>
      </c>
      <c r="E150" s="4" t="s">
        <v>144</v>
      </c>
      <c r="F150" s="4" t="str">
        <f t="shared" si="2"/>
        <v>8MC</v>
      </c>
      <c r="G150" s="5">
        <v>46064</v>
      </c>
      <c r="H150" s="6">
        <v>0.4680555555555555</v>
      </c>
      <c r="I150" s="5">
        <v>46064</v>
      </c>
      <c r="J150" s="5">
        <v>46064</v>
      </c>
      <c r="K150" s="5">
        <v>46064</v>
      </c>
      <c r="L150" s="4" t="s">
        <v>41</v>
      </c>
      <c r="M150" s="4">
        <v>1318</v>
      </c>
      <c r="N150" s="4" t="s">
        <v>17</v>
      </c>
      <c r="O150" s="4" t="s">
        <v>24</v>
      </c>
      <c r="P150" s="4">
        <v>25163</v>
      </c>
      <c r="Q150" s="4" t="s">
        <v>19</v>
      </c>
      <c r="R150" s="4">
        <v>36724</v>
      </c>
      <c r="S150" s="4" t="str">
        <f>VLOOKUP(L150&amp;TEXT(I150,"mmmm")&amp;YEAR(I150),'[1]Detalle C-Fecha'!$D$2:$E$15921,2,FALSE)</f>
        <v>CENCO_MZ - Cencosud SA - Mendoza</v>
      </c>
    </row>
    <row r="151" spans="1:19" x14ac:dyDescent="0.3">
      <c r="A151" s="4">
        <v>29211</v>
      </c>
      <c r="B151" s="4" t="s">
        <v>28</v>
      </c>
      <c r="C151" s="4" t="s">
        <v>15</v>
      </c>
      <c r="D151" s="4" t="s">
        <v>16</v>
      </c>
      <c r="E151" s="4" t="s">
        <v>113</v>
      </c>
      <c r="F151" s="4" t="str">
        <f t="shared" si="2"/>
        <v>2MC</v>
      </c>
      <c r="G151" s="5">
        <v>46065</v>
      </c>
      <c r="H151" s="6">
        <v>0.80555555555555547</v>
      </c>
      <c r="I151" s="5">
        <v>46065</v>
      </c>
      <c r="J151" s="5">
        <v>46065</v>
      </c>
      <c r="K151" s="5">
        <v>46067</v>
      </c>
      <c r="L151" s="4" t="s">
        <v>90</v>
      </c>
      <c r="M151" s="4" t="s">
        <v>128</v>
      </c>
      <c r="N151" s="4" t="s">
        <v>21</v>
      </c>
      <c r="O151" s="4" t="s">
        <v>18</v>
      </c>
      <c r="P151" s="4">
        <v>25216</v>
      </c>
      <c r="Q151" s="4" t="s">
        <v>19</v>
      </c>
      <c r="R151" s="4">
        <v>36202</v>
      </c>
      <c r="S151" s="4" t="str">
        <f>VLOOKUP(L151&amp;TEXT(I151,"mmmm")&amp;YEAR(I151),'[1]Detalle C-Fecha'!$D$2:$E$15921,2,FALSE)</f>
        <v>CMQ_TTE - QUILMES TTE</v>
      </c>
    </row>
    <row r="152" spans="1:19" x14ac:dyDescent="0.3">
      <c r="A152" s="4">
        <v>29212</v>
      </c>
      <c r="B152" s="4" t="s">
        <v>28</v>
      </c>
      <c r="C152" s="4" t="s">
        <v>15</v>
      </c>
      <c r="D152" s="4" t="s">
        <v>16</v>
      </c>
      <c r="E152" s="4" t="s">
        <v>122</v>
      </c>
      <c r="F152" s="4" t="str">
        <f t="shared" si="2"/>
        <v>3MC</v>
      </c>
      <c r="G152" s="5">
        <v>46065</v>
      </c>
      <c r="H152" s="6">
        <v>0.80555555555555547</v>
      </c>
      <c r="I152" s="5">
        <v>46065</v>
      </c>
      <c r="J152" s="5">
        <v>46065</v>
      </c>
      <c r="K152" s="5">
        <v>46067</v>
      </c>
      <c r="L152" s="4" t="s">
        <v>90</v>
      </c>
      <c r="M152" s="4" t="s">
        <v>128</v>
      </c>
      <c r="N152" s="4" t="s">
        <v>21</v>
      </c>
      <c r="O152" s="4" t="s">
        <v>18</v>
      </c>
      <c r="P152" s="4">
        <v>25217</v>
      </c>
      <c r="Q152" s="4" t="s">
        <v>19</v>
      </c>
      <c r="R152" s="4">
        <v>36203</v>
      </c>
      <c r="S152" s="4" t="str">
        <f>VLOOKUP(L152&amp;TEXT(I152,"mmmm")&amp;YEAR(I152),'[1]Detalle C-Fecha'!$D$2:$E$15921,2,FALSE)</f>
        <v>CMQ_TTE - QUILMES TTE</v>
      </c>
    </row>
    <row r="153" spans="1:19" x14ac:dyDescent="0.3">
      <c r="A153" s="4">
        <v>29213</v>
      </c>
      <c r="B153" s="4" t="s">
        <v>28</v>
      </c>
      <c r="C153" s="4" t="s">
        <v>15</v>
      </c>
      <c r="D153" s="4" t="s">
        <v>16</v>
      </c>
      <c r="E153" s="4" t="s">
        <v>114</v>
      </c>
      <c r="F153" s="4" t="str">
        <f t="shared" si="2"/>
        <v>6MC</v>
      </c>
      <c r="G153" s="5">
        <v>46065</v>
      </c>
      <c r="H153" s="6">
        <v>0.80555555555555547</v>
      </c>
      <c r="I153" s="5">
        <v>46065</v>
      </c>
      <c r="J153" s="5">
        <v>46065</v>
      </c>
      <c r="K153" s="5">
        <v>46067</v>
      </c>
      <c r="L153" s="4" t="s">
        <v>90</v>
      </c>
      <c r="M153" s="4" t="s">
        <v>128</v>
      </c>
      <c r="N153" s="4" t="s">
        <v>21</v>
      </c>
      <c r="O153" s="4" t="s">
        <v>18</v>
      </c>
      <c r="P153" s="4">
        <v>25218</v>
      </c>
      <c r="Q153" s="4" t="s">
        <v>19</v>
      </c>
      <c r="R153" s="4">
        <v>36204</v>
      </c>
      <c r="S153" s="4" t="str">
        <f>VLOOKUP(L153&amp;TEXT(I153,"mmmm")&amp;YEAR(I153),'[1]Detalle C-Fecha'!$D$2:$E$15921,2,FALSE)</f>
        <v>CMQ_TTE - QUILMES TTE</v>
      </c>
    </row>
    <row r="154" spans="1:19" x14ac:dyDescent="0.3">
      <c r="A154" s="4">
        <v>29216</v>
      </c>
      <c r="B154" s="4" t="s">
        <v>28</v>
      </c>
      <c r="C154" s="4" t="s">
        <v>15</v>
      </c>
      <c r="D154" s="4" t="s">
        <v>16</v>
      </c>
      <c r="E154" s="4" t="s">
        <v>51</v>
      </c>
      <c r="F154" s="4" t="str">
        <f t="shared" si="2"/>
        <v>2MC</v>
      </c>
      <c r="G154" s="5">
        <v>46065</v>
      </c>
      <c r="H154" s="6">
        <v>0.80625000000000002</v>
      </c>
      <c r="I154" s="5">
        <v>46065</v>
      </c>
      <c r="J154" s="5">
        <v>46065</v>
      </c>
      <c r="K154" s="5">
        <v>46067</v>
      </c>
      <c r="L154" s="4" t="s">
        <v>66</v>
      </c>
      <c r="M154" s="4" t="s">
        <v>130</v>
      </c>
      <c r="N154" s="4" t="s">
        <v>21</v>
      </c>
      <c r="O154" s="4" t="s">
        <v>18</v>
      </c>
      <c r="P154" s="4">
        <v>25221</v>
      </c>
      <c r="Q154" s="4" t="s">
        <v>19</v>
      </c>
      <c r="R154" s="4">
        <v>36207</v>
      </c>
      <c r="S154" s="4" t="str">
        <f>VLOOKUP(L154&amp;TEXT(I154,"mmmm")&amp;YEAR(I154),'[1]Detalle C-Fecha'!$D$2:$E$15921,2,FALSE)</f>
        <v>CMQ_TTE - QUILMES TTE</v>
      </c>
    </row>
    <row r="155" spans="1:19" x14ac:dyDescent="0.3">
      <c r="A155" s="4">
        <v>29217</v>
      </c>
      <c r="B155" s="4" t="s">
        <v>28</v>
      </c>
      <c r="C155" s="4" t="s">
        <v>15</v>
      </c>
      <c r="D155" s="4" t="s">
        <v>16</v>
      </c>
      <c r="E155" s="4" t="s">
        <v>53</v>
      </c>
      <c r="F155" s="4" t="str">
        <f t="shared" si="2"/>
        <v>3MC</v>
      </c>
      <c r="G155" s="5">
        <v>46065</v>
      </c>
      <c r="H155" s="6">
        <v>0.80625000000000002</v>
      </c>
      <c r="I155" s="5">
        <v>46065</v>
      </c>
      <c r="J155" s="5">
        <v>46065</v>
      </c>
      <c r="K155" s="5">
        <v>46067</v>
      </c>
      <c r="L155" s="4" t="s">
        <v>66</v>
      </c>
      <c r="M155" s="4" t="s">
        <v>130</v>
      </c>
      <c r="N155" s="4" t="s">
        <v>21</v>
      </c>
      <c r="O155" s="4" t="s">
        <v>18</v>
      </c>
      <c r="P155" s="4">
        <v>25222</v>
      </c>
      <c r="Q155" s="4" t="s">
        <v>19</v>
      </c>
      <c r="R155" s="4">
        <v>36208</v>
      </c>
      <c r="S155" s="4" t="str">
        <f>VLOOKUP(L155&amp;TEXT(I155,"mmmm")&amp;YEAR(I155),'[1]Detalle C-Fecha'!$D$2:$E$15921,2,FALSE)</f>
        <v>CMQ_TTE - QUILMES TTE</v>
      </c>
    </row>
    <row r="156" spans="1:19" x14ac:dyDescent="0.3">
      <c r="A156" s="4">
        <v>29218</v>
      </c>
      <c r="B156" s="4" t="s">
        <v>28</v>
      </c>
      <c r="C156" s="4" t="s">
        <v>15</v>
      </c>
      <c r="D156" s="4" t="s">
        <v>16</v>
      </c>
      <c r="E156" s="4" t="s">
        <v>52</v>
      </c>
      <c r="F156" s="4" t="str">
        <f t="shared" si="2"/>
        <v>6MC</v>
      </c>
      <c r="G156" s="5">
        <v>46065</v>
      </c>
      <c r="H156" s="6">
        <v>0.80625000000000002</v>
      </c>
      <c r="I156" s="5">
        <v>46065</v>
      </c>
      <c r="J156" s="5">
        <v>46065</v>
      </c>
      <c r="K156" s="5">
        <v>46067</v>
      </c>
      <c r="L156" s="4" t="s">
        <v>66</v>
      </c>
      <c r="M156" s="4" t="s">
        <v>130</v>
      </c>
      <c r="N156" s="4" t="s">
        <v>21</v>
      </c>
      <c r="O156" s="4" t="s">
        <v>18</v>
      </c>
      <c r="P156" s="4">
        <v>25223</v>
      </c>
      <c r="Q156" s="4" t="s">
        <v>19</v>
      </c>
      <c r="R156" s="4">
        <v>36209</v>
      </c>
      <c r="S156" s="4" t="str">
        <f>VLOOKUP(L156&amp;TEXT(I156,"mmmm")&amp;YEAR(I156),'[1]Detalle C-Fecha'!$D$2:$E$15921,2,FALSE)</f>
        <v>CMQ_TTE - QUILMES TTE</v>
      </c>
    </row>
    <row r="157" spans="1:19" x14ac:dyDescent="0.3">
      <c r="A157" s="4">
        <v>29236</v>
      </c>
      <c r="B157" s="4" t="s">
        <v>28</v>
      </c>
      <c r="C157" s="4" t="s">
        <v>15</v>
      </c>
      <c r="D157" s="4" t="s">
        <v>16</v>
      </c>
      <c r="E157" s="4" t="s">
        <v>108</v>
      </c>
      <c r="F157" s="4" t="str">
        <f t="shared" si="2"/>
        <v>2MU</v>
      </c>
      <c r="G157" s="5">
        <v>46066</v>
      </c>
      <c r="H157" s="6">
        <v>0.4597222222222222</v>
      </c>
      <c r="I157" s="5">
        <v>46066</v>
      </c>
      <c r="J157" s="5">
        <v>46066</v>
      </c>
      <c r="K157" s="5">
        <v>46067</v>
      </c>
      <c r="L157" s="4" t="s">
        <v>94</v>
      </c>
      <c r="M157" s="4" t="s">
        <v>95</v>
      </c>
      <c r="N157" s="4" t="s">
        <v>21</v>
      </c>
      <c r="O157" s="4" t="s">
        <v>18</v>
      </c>
      <c r="P157" s="4">
        <v>25246</v>
      </c>
      <c r="Q157" s="4" t="s">
        <v>19</v>
      </c>
      <c r="R157" s="4">
        <v>36256</v>
      </c>
      <c r="S157" s="4" t="str">
        <f>VLOOKUP(L157&amp;TEXT(I157,"mmmm")&amp;YEAR(I157),'[1]Detalle C-Fecha'!$D$2:$E$15921,2,FALSE)</f>
        <v>LlaveLay</v>
      </c>
    </row>
    <row r="158" spans="1:19" x14ac:dyDescent="0.3">
      <c r="A158" s="4">
        <v>29237</v>
      </c>
      <c r="B158" s="4" t="s">
        <v>28</v>
      </c>
      <c r="C158" s="4" t="s">
        <v>15</v>
      </c>
      <c r="D158" s="4" t="s">
        <v>16</v>
      </c>
      <c r="E158" s="4" t="s">
        <v>107</v>
      </c>
      <c r="F158" s="4" t="str">
        <f t="shared" si="2"/>
        <v>4MU</v>
      </c>
      <c r="G158" s="5">
        <v>46066</v>
      </c>
      <c r="H158" s="6">
        <v>0.4597222222222222</v>
      </c>
      <c r="I158" s="5">
        <v>46066</v>
      </c>
      <c r="J158" s="5">
        <v>46066</v>
      </c>
      <c r="K158" s="5">
        <v>46067</v>
      </c>
      <c r="L158" s="4" t="s">
        <v>94</v>
      </c>
      <c r="M158" s="4" t="s">
        <v>95</v>
      </c>
      <c r="N158" s="4" t="s">
        <v>21</v>
      </c>
      <c r="O158" s="4" t="s">
        <v>18</v>
      </c>
      <c r="P158" s="4">
        <v>25247</v>
      </c>
      <c r="Q158" s="4" t="s">
        <v>19</v>
      </c>
      <c r="R158" s="4">
        <v>36257</v>
      </c>
      <c r="S158" s="4" t="str">
        <f>VLOOKUP(L158&amp;TEXT(I158,"mmmm")&amp;YEAR(I158),'[1]Detalle C-Fecha'!$D$2:$E$15921,2,FALSE)</f>
        <v>LlaveLay</v>
      </c>
    </row>
    <row r="159" spans="1:19" x14ac:dyDescent="0.3">
      <c r="A159" s="4">
        <v>29238</v>
      </c>
      <c r="B159" s="4" t="s">
        <v>28</v>
      </c>
      <c r="C159" s="4" t="s">
        <v>15</v>
      </c>
      <c r="D159" s="4" t="s">
        <v>16</v>
      </c>
      <c r="E159" s="4" t="s">
        <v>110</v>
      </c>
      <c r="F159" s="4" t="str">
        <f t="shared" si="2"/>
        <v>5MU</v>
      </c>
      <c r="G159" s="5">
        <v>46066</v>
      </c>
      <c r="H159" s="6">
        <v>0.4597222222222222</v>
      </c>
      <c r="I159" s="5">
        <v>46066</v>
      </c>
      <c r="J159" s="5">
        <v>46066</v>
      </c>
      <c r="K159" s="5">
        <v>46067</v>
      </c>
      <c r="L159" s="4" t="s">
        <v>94</v>
      </c>
      <c r="M159" s="4" t="s">
        <v>95</v>
      </c>
      <c r="N159" s="4" t="s">
        <v>21</v>
      </c>
      <c r="O159" s="4" t="s">
        <v>18</v>
      </c>
      <c r="P159" s="4">
        <v>25248</v>
      </c>
      <c r="Q159" s="4" t="s">
        <v>19</v>
      </c>
      <c r="R159" s="4">
        <v>36258</v>
      </c>
      <c r="S159" s="4" t="str">
        <f>VLOOKUP(L159&amp;TEXT(I159,"mmmm")&amp;YEAR(I159),'[1]Detalle C-Fecha'!$D$2:$E$15921,2,FALSE)</f>
        <v>LlaveLay</v>
      </c>
    </row>
    <row r="160" spans="1:19" x14ac:dyDescent="0.3">
      <c r="A160" s="4">
        <v>29244</v>
      </c>
      <c r="B160" s="4" t="s">
        <v>28</v>
      </c>
      <c r="C160" s="4" t="s">
        <v>15</v>
      </c>
      <c r="D160" s="4" t="s">
        <v>16</v>
      </c>
      <c r="E160" s="4" t="s">
        <v>51</v>
      </c>
      <c r="F160" s="4" t="str">
        <f t="shared" si="2"/>
        <v>2MC</v>
      </c>
      <c r="G160" s="5">
        <v>46066</v>
      </c>
      <c r="H160" s="6">
        <v>0.64583333333333337</v>
      </c>
      <c r="I160" s="5">
        <v>46066</v>
      </c>
      <c r="J160" s="5">
        <v>46066</v>
      </c>
      <c r="K160" s="5">
        <v>46067</v>
      </c>
      <c r="L160" s="4" t="s">
        <v>100</v>
      </c>
      <c r="M160" s="4">
        <v>1318</v>
      </c>
      <c r="N160" s="4" t="s">
        <v>21</v>
      </c>
      <c r="O160" s="4" t="s">
        <v>24</v>
      </c>
      <c r="P160" s="4">
        <v>25255</v>
      </c>
      <c r="Q160" s="4" t="s">
        <v>19</v>
      </c>
      <c r="R160" s="4">
        <v>36261</v>
      </c>
      <c r="S160" s="4" t="str">
        <f>VLOOKUP(L160&amp;TEXT(I160,"mmmm")&amp;YEAR(I160),'[1]Detalle C-Fecha'!$D$2:$E$15921,2,FALSE)</f>
        <v>CCUDyAZA</v>
      </c>
    </row>
    <row r="161" spans="1:19" x14ac:dyDescent="0.3">
      <c r="A161" s="4">
        <v>29245</v>
      </c>
      <c r="B161" s="4" t="s">
        <v>28</v>
      </c>
      <c r="C161" s="4" t="s">
        <v>15</v>
      </c>
      <c r="D161" s="4" t="s">
        <v>16</v>
      </c>
      <c r="E161" s="4" t="s">
        <v>53</v>
      </c>
      <c r="F161" s="4" t="str">
        <f t="shared" si="2"/>
        <v>3MC</v>
      </c>
      <c r="G161" s="5">
        <v>46066</v>
      </c>
      <c r="H161" s="6">
        <v>0.64583333333333337</v>
      </c>
      <c r="I161" s="5">
        <v>46066</v>
      </c>
      <c r="J161" s="5">
        <v>46066</v>
      </c>
      <c r="K161" s="5">
        <v>46067</v>
      </c>
      <c r="L161" s="4" t="s">
        <v>100</v>
      </c>
      <c r="M161" s="4">
        <v>1318</v>
      </c>
      <c r="N161" s="4" t="s">
        <v>21</v>
      </c>
      <c r="O161" s="4" t="s">
        <v>24</v>
      </c>
      <c r="P161" s="4">
        <v>25256</v>
      </c>
      <c r="Q161" s="4" t="s">
        <v>19</v>
      </c>
      <c r="R161" s="4">
        <v>36262</v>
      </c>
      <c r="S161" s="4" t="str">
        <f>VLOOKUP(L161&amp;TEXT(I161,"mmmm")&amp;YEAR(I161),'[1]Detalle C-Fecha'!$D$2:$E$15921,2,FALSE)</f>
        <v>CCUDyAZA</v>
      </c>
    </row>
    <row r="162" spans="1:19" x14ac:dyDescent="0.3">
      <c r="A162" s="4">
        <v>29246</v>
      </c>
      <c r="B162" s="4" t="s">
        <v>28</v>
      </c>
      <c r="C162" s="4" t="s">
        <v>15</v>
      </c>
      <c r="D162" s="4" t="s">
        <v>16</v>
      </c>
      <c r="E162" s="4" t="s">
        <v>52</v>
      </c>
      <c r="F162" s="4" t="str">
        <f t="shared" si="2"/>
        <v>6MC</v>
      </c>
      <c r="G162" s="5">
        <v>46066</v>
      </c>
      <c r="H162" s="6">
        <v>0.64583333333333337</v>
      </c>
      <c r="I162" s="5">
        <v>46066</v>
      </c>
      <c r="J162" s="5">
        <v>46066</v>
      </c>
      <c r="K162" s="5">
        <v>46067</v>
      </c>
      <c r="L162" s="4" t="s">
        <v>100</v>
      </c>
      <c r="M162" s="4">
        <v>1318</v>
      </c>
      <c r="N162" s="4" t="s">
        <v>21</v>
      </c>
      <c r="O162" s="4" t="s">
        <v>24</v>
      </c>
      <c r="P162" s="4">
        <v>25257</v>
      </c>
      <c r="Q162" s="4" t="s">
        <v>19</v>
      </c>
      <c r="R162" s="4">
        <v>36263</v>
      </c>
      <c r="S162" s="4" t="str">
        <f>VLOOKUP(L162&amp;TEXT(I162,"mmmm")&amp;YEAR(I162),'[1]Detalle C-Fecha'!$D$2:$E$15921,2,FALSE)</f>
        <v>CCUDyAZA</v>
      </c>
    </row>
    <row r="163" spans="1:19" x14ac:dyDescent="0.3">
      <c r="A163" s="4">
        <v>29321</v>
      </c>
      <c r="B163" s="4" t="s">
        <v>28</v>
      </c>
      <c r="C163" s="4" t="s">
        <v>15</v>
      </c>
      <c r="D163" s="4" t="s">
        <v>16</v>
      </c>
      <c r="E163" s="4" t="s">
        <v>52</v>
      </c>
      <c r="F163" s="4" t="str">
        <f t="shared" si="2"/>
        <v>6MC</v>
      </c>
      <c r="G163" s="5">
        <v>46071</v>
      </c>
      <c r="H163" s="6">
        <v>0.41875000000000001</v>
      </c>
      <c r="I163" s="5">
        <v>46071</v>
      </c>
      <c r="J163" s="5">
        <v>46071</v>
      </c>
      <c r="K163" s="5">
        <v>46071</v>
      </c>
      <c r="L163" s="4" t="s">
        <v>97</v>
      </c>
      <c r="M163" s="4">
        <v>1318</v>
      </c>
      <c r="N163" s="4" t="s">
        <v>21</v>
      </c>
      <c r="O163" s="4" t="s">
        <v>27</v>
      </c>
      <c r="P163" s="4">
        <v>25292</v>
      </c>
      <c r="Q163" s="4" t="s">
        <v>19</v>
      </c>
      <c r="R163" s="4">
        <v>36515</v>
      </c>
      <c r="S163" s="4" t="str">
        <f>VLOOKUP(L163&amp;TEXT(I163,"mmmm")&amp;YEAR(I163),'[1]Detalle C-Fecha'!$D$2:$E$15921,2,FALSE)</f>
        <v>Papelera - Papelera del Plata S.A.</v>
      </c>
    </row>
    <row r="164" spans="1:19" x14ac:dyDescent="0.3">
      <c r="A164" s="4">
        <v>29322</v>
      </c>
      <c r="B164" s="4" t="s">
        <v>28</v>
      </c>
      <c r="C164" s="4" t="s">
        <v>15</v>
      </c>
      <c r="D164" s="4" t="s">
        <v>16</v>
      </c>
      <c r="E164" s="4" t="s">
        <v>53</v>
      </c>
      <c r="F164" s="4" t="str">
        <f t="shared" si="2"/>
        <v>3MC</v>
      </c>
      <c r="G164" s="5">
        <v>46071</v>
      </c>
      <c r="H164" s="6">
        <v>0.41875000000000001</v>
      </c>
      <c r="I164" s="5">
        <v>46071</v>
      </c>
      <c r="J164" s="5">
        <v>46071</v>
      </c>
      <c r="K164" s="5">
        <v>46071</v>
      </c>
      <c r="L164" s="4" t="s">
        <v>97</v>
      </c>
      <c r="M164" s="4">
        <v>1318</v>
      </c>
      <c r="N164" s="4" t="s">
        <v>21</v>
      </c>
      <c r="O164" s="4" t="s">
        <v>27</v>
      </c>
      <c r="P164" s="4">
        <v>25291</v>
      </c>
      <c r="Q164" s="4" t="s">
        <v>19</v>
      </c>
      <c r="R164" s="4">
        <v>36516</v>
      </c>
      <c r="S164" s="4" t="str">
        <f>VLOOKUP(L164&amp;TEXT(I164,"mmmm")&amp;YEAR(I164),'[1]Detalle C-Fecha'!$D$2:$E$15921,2,FALSE)</f>
        <v>Papelera - Papelera del Plata S.A.</v>
      </c>
    </row>
    <row r="165" spans="1:19" x14ac:dyDescent="0.3">
      <c r="A165" s="4">
        <v>29323</v>
      </c>
      <c r="B165" s="4" t="s">
        <v>28</v>
      </c>
      <c r="C165" s="4" t="s">
        <v>15</v>
      </c>
      <c r="D165" s="4" t="s">
        <v>16</v>
      </c>
      <c r="E165" s="4" t="s">
        <v>51</v>
      </c>
      <c r="F165" s="4" t="str">
        <f t="shared" si="2"/>
        <v>2MC</v>
      </c>
      <c r="G165" s="5">
        <v>46071</v>
      </c>
      <c r="H165" s="6">
        <v>0.41875000000000001</v>
      </c>
      <c r="I165" s="5">
        <v>46071</v>
      </c>
      <c r="J165" s="5">
        <v>46071</v>
      </c>
      <c r="K165" s="5">
        <v>46071</v>
      </c>
      <c r="L165" s="4" t="s">
        <v>97</v>
      </c>
      <c r="M165" s="4">
        <v>1318</v>
      </c>
      <c r="N165" s="4" t="s">
        <v>21</v>
      </c>
      <c r="O165" s="4" t="s">
        <v>27</v>
      </c>
      <c r="P165" s="4">
        <v>25290</v>
      </c>
      <c r="Q165" s="4" t="s">
        <v>19</v>
      </c>
      <c r="R165" s="4">
        <v>36517</v>
      </c>
      <c r="S165" s="4" t="str">
        <f>VLOOKUP(L165&amp;TEXT(I165,"mmmm")&amp;YEAR(I165),'[1]Detalle C-Fecha'!$D$2:$E$15921,2,FALSE)</f>
        <v>Papelera - Papelera del Plata S.A.</v>
      </c>
    </row>
    <row r="166" spans="1:19" x14ac:dyDescent="0.3">
      <c r="A166" s="4">
        <v>29499</v>
      </c>
      <c r="B166" s="4" t="s">
        <v>28</v>
      </c>
      <c r="C166" s="4" t="s">
        <v>15</v>
      </c>
      <c r="D166" s="4" t="s">
        <v>16</v>
      </c>
      <c r="E166" s="4" t="s">
        <v>35</v>
      </c>
      <c r="F166" s="4" t="str">
        <f t="shared" si="2"/>
        <v>2ML</v>
      </c>
      <c r="G166" s="5">
        <v>46076</v>
      </c>
      <c r="H166" s="6">
        <v>0.67569444444444438</v>
      </c>
      <c r="I166" s="5">
        <v>46076</v>
      </c>
      <c r="J166" s="5">
        <v>46076</v>
      </c>
      <c r="K166" s="5">
        <v>46076</v>
      </c>
      <c r="L166" s="4" t="s">
        <v>145</v>
      </c>
      <c r="M166" s="4" t="s">
        <v>146</v>
      </c>
      <c r="N166" s="4" t="s">
        <v>17</v>
      </c>
      <c r="O166" s="4" t="s">
        <v>24</v>
      </c>
      <c r="P166" s="4">
        <v>25432</v>
      </c>
      <c r="Q166" s="4" t="s">
        <v>19</v>
      </c>
      <c r="R166" s="4">
        <v>36959</v>
      </c>
      <c r="S166" s="4" t="str">
        <f>VLOOKUP(L166&amp;TEXT(I166,"mmmm")&amp;YEAR(I166),'[1]Detalle C-Fecha'!$D$2:$E$15921,2,FALSE)</f>
        <v>CENCOMLD - Cencosud SA - Mendoza</v>
      </c>
    </row>
    <row r="167" spans="1:19" x14ac:dyDescent="0.3">
      <c r="A167" s="4">
        <v>29500</v>
      </c>
      <c r="B167" s="4" t="s">
        <v>28</v>
      </c>
      <c r="C167" s="4" t="s">
        <v>15</v>
      </c>
      <c r="D167" s="4" t="s">
        <v>16</v>
      </c>
      <c r="E167" s="4" t="s">
        <v>47</v>
      </c>
      <c r="F167" s="4" t="str">
        <f t="shared" si="2"/>
        <v>3ML</v>
      </c>
      <c r="G167" s="5">
        <v>46076</v>
      </c>
      <c r="H167" s="6">
        <v>0.67569444444444438</v>
      </c>
      <c r="I167" s="5">
        <v>46076</v>
      </c>
      <c r="J167" s="5">
        <v>46076</v>
      </c>
      <c r="K167" s="5">
        <v>46076</v>
      </c>
      <c r="L167" s="4" t="s">
        <v>145</v>
      </c>
      <c r="M167" s="4" t="s">
        <v>146</v>
      </c>
      <c r="N167" s="4" t="s">
        <v>17</v>
      </c>
      <c r="O167" s="4" t="s">
        <v>24</v>
      </c>
      <c r="P167" s="4">
        <v>25433</v>
      </c>
      <c r="Q167" s="4" t="s">
        <v>19</v>
      </c>
      <c r="R167" s="4">
        <v>36961</v>
      </c>
      <c r="S167" s="4" t="str">
        <f>VLOOKUP(L167&amp;TEXT(I167,"mmmm")&amp;YEAR(I167),'[1]Detalle C-Fecha'!$D$2:$E$15921,2,FALSE)</f>
        <v>CENCOMLD - Cencosud SA - Mendoza</v>
      </c>
    </row>
    <row r="168" spans="1:19" x14ac:dyDescent="0.3">
      <c r="A168" s="4">
        <v>29501</v>
      </c>
      <c r="B168" s="4" t="s">
        <v>28</v>
      </c>
      <c r="C168" s="4" t="s">
        <v>15</v>
      </c>
      <c r="D168" s="4" t="s">
        <v>16</v>
      </c>
      <c r="E168" s="4" t="s">
        <v>46</v>
      </c>
      <c r="F168" s="4" t="str">
        <f t="shared" si="2"/>
        <v>6ML</v>
      </c>
      <c r="G168" s="5">
        <v>46076</v>
      </c>
      <c r="H168" s="6">
        <v>0.67569444444444438</v>
      </c>
      <c r="I168" s="5">
        <v>46076</v>
      </c>
      <c r="J168" s="5">
        <v>46077</v>
      </c>
      <c r="K168" s="5">
        <v>46077</v>
      </c>
      <c r="L168" s="4" t="s">
        <v>145</v>
      </c>
      <c r="M168" s="4" t="s">
        <v>146</v>
      </c>
      <c r="N168" s="4" t="s">
        <v>17</v>
      </c>
      <c r="O168" s="4" t="s">
        <v>24</v>
      </c>
      <c r="P168" s="4">
        <v>25434</v>
      </c>
      <c r="Q168" s="4" t="s">
        <v>19</v>
      </c>
      <c r="R168" s="4">
        <v>36963</v>
      </c>
      <c r="S168" s="4" t="str">
        <f>VLOOKUP(L168&amp;TEXT(I168,"mmmm")&amp;YEAR(I168),'[1]Detalle C-Fecha'!$D$2:$E$15921,2,FALSE)</f>
        <v>CENCOMLD - Cencosud SA - Mendoza</v>
      </c>
    </row>
    <row r="169" spans="1:19" x14ac:dyDescent="0.3">
      <c r="A169" s="4">
        <v>29848</v>
      </c>
      <c r="B169" s="4" t="s">
        <v>28</v>
      </c>
      <c r="C169" s="4" t="s">
        <v>15</v>
      </c>
      <c r="D169" s="4" t="s">
        <v>16</v>
      </c>
      <c r="E169" s="4" t="s">
        <v>35</v>
      </c>
      <c r="F169" s="4" t="str">
        <f t="shared" si="2"/>
        <v>2ML</v>
      </c>
      <c r="G169" s="5">
        <v>46081</v>
      </c>
      <c r="H169" s="6">
        <v>0.39583333333333331</v>
      </c>
      <c r="I169" s="5">
        <v>46079</v>
      </c>
      <c r="J169" s="5">
        <v>46079</v>
      </c>
      <c r="K169" s="5">
        <v>46079</v>
      </c>
      <c r="L169" s="4" t="s">
        <v>147</v>
      </c>
      <c r="M169" s="4" t="s">
        <v>126</v>
      </c>
      <c r="N169" s="4" t="s">
        <v>31</v>
      </c>
      <c r="O169" s="4" t="s">
        <v>25</v>
      </c>
      <c r="P169" s="4">
        <v>25696</v>
      </c>
      <c r="Q169" s="4" t="s">
        <v>19</v>
      </c>
      <c r="R169" s="4">
        <v>37089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29849</v>
      </c>
      <c r="B170" s="4" t="s">
        <v>28</v>
      </c>
      <c r="C170" s="4" t="s">
        <v>15</v>
      </c>
      <c r="D170" s="4" t="s">
        <v>16</v>
      </c>
      <c r="E170" s="4" t="s">
        <v>47</v>
      </c>
      <c r="F170" s="4" t="str">
        <f t="shared" si="2"/>
        <v>3ML</v>
      </c>
      <c r="G170" s="5">
        <v>46081</v>
      </c>
      <c r="H170" s="6">
        <v>0.39583333333333331</v>
      </c>
      <c r="I170" s="5">
        <v>46081</v>
      </c>
      <c r="J170" s="5">
        <v>46081</v>
      </c>
      <c r="K170" s="5">
        <v>46081</v>
      </c>
      <c r="L170" s="4" t="s">
        <v>147</v>
      </c>
      <c r="M170" s="4" t="s">
        <v>126</v>
      </c>
      <c r="N170" s="4" t="s">
        <v>31</v>
      </c>
      <c r="O170" s="4" t="s">
        <v>25</v>
      </c>
      <c r="P170" s="4">
        <v>25695</v>
      </c>
      <c r="Q170" s="4" t="s">
        <v>19</v>
      </c>
      <c r="R170" s="4">
        <v>37091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29850</v>
      </c>
      <c r="B171" s="4" t="s">
        <v>28</v>
      </c>
      <c r="C171" s="4" t="s">
        <v>15</v>
      </c>
      <c r="D171" s="4" t="s">
        <v>16</v>
      </c>
      <c r="E171" s="4" t="s">
        <v>137</v>
      </c>
      <c r="F171" s="4" t="str">
        <f t="shared" si="2"/>
        <v>7ML</v>
      </c>
      <c r="G171" s="5">
        <v>46081</v>
      </c>
      <c r="H171" s="6">
        <v>0.39583333333333331</v>
      </c>
      <c r="I171" s="5">
        <v>46081</v>
      </c>
      <c r="J171" s="5">
        <v>46081</v>
      </c>
      <c r="K171" s="5">
        <v>46081</v>
      </c>
      <c r="L171" s="4" t="s">
        <v>147</v>
      </c>
      <c r="M171" s="4" t="s">
        <v>126</v>
      </c>
      <c r="N171" s="4" t="s">
        <v>31</v>
      </c>
      <c r="O171" s="4" t="s">
        <v>25</v>
      </c>
      <c r="P171" s="4">
        <v>25694</v>
      </c>
      <c r="Q171" s="4" t="s">
        <v>19</v>
      </c>
      <c r="R171" s="4">
        <v>37093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29851</v>
      </c>
      <c r="B172" s="4" t="s">
        <v>28</v>
      </c>
      <c r="C172" s="4" t="s">
        <v>15</v>
      </c>
      <c r="D172" s="4" t="s">
        <v>16</v>
      </c>
      <c r="E172" s="4" t="s">
        <v>46</v>
      </c>
      <c r="F172" s="4" t="str">
        <f t="shared" si="2"/>
        <v>6ML</v>
      </c>
      <c r="G172" s="5">
        <v>46081</v>
      </c>
      <c r="H172" s="6">
        <v>0.39652777777777781</v>
      </c>
      <c r="I172" s="5">
        <v>46081</v>
      </c>
      <c r="J172" s="5">
        <v>46081</v>
      </c>
      <c r="K172" s="5">
        <v>46081</v>
      </c>
      <c r="L172" s="4" t="s">
        <v>147</v>
      </c>
      <c r="M172" s="4" t="s">
        <v>126</v>
      </c>
      <c r="N172" s="4" t="s">
        <v>31</v>
      </c>
      <c r="O172" s="4" t="s">
        <v>25</v>
      </c>
      <c r="P172" s="4">
        <v>25693</v>
      </c>
      <c r="Q172" s="4" t="s">
        <v>19</v>
      </c>
      <c r="R172" s="4">
        <v>37097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29852</v>
      </c>
      <c r="B173" s="4" t="s">
        <v>28</v>
      </c>
      <c r="C173" s="4" t="s">
        <v>15</v>
      </c>
      <c r="D173" s="4" t="s">
        <v>16</v>
      </c>
      <c r="E173" s="4" t="s">
        <v>46</v>
      </c>
      <c r="F173" s="4" t="str">
        <f t="shared" si="2"/>
        <v>6ML</v>
      </c>
      <c r="G173" s="5">
        <v>46081</v>
      </c>
      <c r="H173" s="6">
        <v>0.39652777777777781</v>
      </c>
      <c r="I173" s="5">
        <v>46081</v>
      </c>
      <c r="J173" s="5">
        <v>46081</v>
      </c>
      <c r="K173" s="5">
        <v>46081</v>
      </c>
      <c r="L173" s="4" t="s">
        <v>147</v>
      </c>
      <c r="M173" s="4" t="s">
        <v>126</v>
      </c>
      <c r="N173" s="4" t="s">
        <v>31</v>
      </c>
      <c r="O173" s="4" t="s">
        <v>25</v>
      </c>
      <c r="P173" s="4">
        <v>25692</v>
      </c>
      <c r="Q173" s="4" t="s">
        <v>19</v>
      </c>
      <c r="R173" s="4">
        <v>37099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29871</v>
      </c>
      <c r="B174" s="4" t="s">
        <v>28</v>
      </c>
      <c r="C174" s="4" t="s">
        <v>15</v>
      </c>
      <c r="D174" s="4" t="s">
        <v>16</v>
      </c>
      <c r="E174" s="4" t="s">
        <v>115</v>
      </c>
      <c r="F174" s="4" t="str">
        <f t="shared" si="2"/>
        <v>2ML</v>
      </c>
      <c r="G174" s="5">
        <v>46083</v>
      </c>
      <c r="H174" s="6">
        <v>0.40763888888888888</v>
      </c>
      <c r="I174" s="5">
        <v>46080</v>
      </c>
      <c r="J174" s="5">
        <v>46080</v>
      </c>
      <c r="K174" s="5">
        <v>46080</v>
      </c>
      <c r="L174" s="4" t="s">
        <v>148</v>
      </c>
      <c r="M174" s="4" t="s">
        <v>149</v>
      </c>
      <c r="N174" s="4" t="s">
        <v>17</v>
      </c>
      <c r="O174" s="4" t="s">
        <v>25</v>
      </c>
      <c r="P174" s="4">
        <v>25728</v>
      </c>
      <c r="Q174" s="4" t="s">
        <v>19</v>
      </c>
      <c r="R174" s="4">
        <v>37231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29872</v>
      </c>
      <c r="B175" s="4" t="s">
        <v>28</v>
      </c>
      <c r="C175" s="4" t="s">
        <v>15</v>
      </c>
      <c r="D175" s="4" t="s">
        <v>16</v>
      </c>
      <c r="E175" s="4" t="s">
        <v>116</v>
      </c>
      <c r="F175" s="4" t="str">
        <f t="shared" si="2"/>
        <v>3ML</v>
      </c>
      <c r="G175" s="5">
        <v>46083</v>
      </c>
      <c r="H175" s="6">
        <v>0.40763888888888888</v>
      </c>
      <c r="I175" s="5">
        <v>46080</v>
      </c>
      <c r="J175" s="5">
        <v>46080</v>
      </c>
      <c r="K175" s="5">
        <v>46080</v>
      </c>
      <c r="L175" s="4" t="s">
        <v>148</v>
      </c>
      <c r="M175" s="4" t="s">
        <v>149</v>
      </c>
      <c r="N175" s="4" t="s">
        <v>17</v>
      </c>
      <c r="O175" s="4" t="s">
        <v>25</v>
      </c>
      <c r="P175" s="4">
        <v>25731</v>
      </c>
      <c r="Q175" s="4" t="s">
        <v>19</v>
      </c>
      <c r="R175" s="4">
        <v>38656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29873</v>
      </c>
      <c r="B176" s="4" t="s">
        <v>28</v>
      </c>
      <c r="C176" s="4" t="s">
        <v>15</v>
      </c>
      <c r="D176" s="4" t="s">
        <v>16</v>
      </c>
      <c r="E176" s="4" t="s">
        <v>117</v>
      </c>
      <c r="F176" s="4" t="str">
        <f t="shared" si="2"/>
        <v>6ML</v>
      </c>
      <c r="G176" s="5">
        <v>46083</v>
      </c>
      <c r="H176" s="6">
        <v>0.40763888888888888</v>
      </c>
      <c r="I176" s="5">
        <v>46080</v>
      </c>
      <c r="J176" s="5">
        <v>46080</v>
      </c>
      <c r="K176" s="5">
        <v>46080</v>
      </c>
      <c r="L176" s="4" t="s">
        <v>148</v>
      </c>
      <c r="M176" s="4" t="s">
        <v>149</v>
      </c>
      <c r="N176" s="4" t="s">
        <v>17</v>
      </c>
      <c r="O176" s="4" t="s">
        <v>25</v>
      </c>
      <c r="P176" s="4">
        <v>25733</v>
      </c>
      <c r="Q176" s="4" t="s">
        <v>19</v>
      </c>
      <c r="R176" s="4">
        <v>37233</v>
      </c>
      <c r="S176" s="4" t="str">
        <f>VLOOKUP(L176&amp;TEXT(I176,"mmmm")&amp;YEAR(I176),'[1]Detalle C-Fecha'!$D$2:$E$15921,2,FALSE)</f>
        <v>Expreso - Servicios Troncales</v>
      </c>
    </row>
    <row r="177" spans="1:19" x14ac:dyDescent="0.3">
      <c r="A177" s="4">
        <v>30094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46086</v>
      </c>
      <c r="H177" s="6">
        <v>0.42986111111111108</v>
      </c>
      <c r="I177" s="5">
        <v>46086</v>
      </c>
      <c r="J177" s="5">
        <v>46086</v>
      </c>
      <c r="K177" s="5">
        <v>46086</v>
      </c>
      <c r="L177" s="4" t="s">
        <v>150</v>
      </c>
      <c r="M177" s="4">
        <v>1318</v>
      </c>
      <c r="N177" s="4" t="s">
        <v>31</v>
      </c>
      <c r="O177" s="4" t="s">
        <v>25</v>
      </c>
      <c r="P177" s="4">
        <v>25858</v>
      </c>
      <c r="Q177" s="4" t="s">
        <v>19</v>
      </c>
      <c r="R177" s="4">
        <v>37385</v>
      </c>
      <c r="S177" s="4" t="str">
        <f>VLOOKUP(L177&amp;TEXT(I177,"mmmm")&amp;YEAR(I177),'[1]Detalle C-Fecha'!$D$2:$E$15921,2,FALSE)</f>
        <v>SUC_REA - Sucursal Realicó</v>
      </c>
    </row>
    <row r="178" spans="1:19" x14ac:dyDescent="0.3">
      <c r="A178" s="4">
        <v>30095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46086</v>
      </c>
      <c r="H178" s="6">
        <v>0.42986111111111108</v>
      </c>
      <c r="I178" s="5">
        <v>46086</v>
      </c>
      <c r="J178" s="5">
        <v>46086</v>
      </c>
      <c r="K178" s="5">
        <v>46086</v>
      </c>
      <c r="L178" s="4" t="s">
        <v>150</v>
      </c>
      <c r="M178" s="4">
        <v>1318</v>
      </c>
      <c r="N178" s="4" t="s">
        <v>31</v>
      </c>
      <c r="O178" s="4" t="s">
        <v>25</v>
      </c>
      <c r="P178" s="4">
        <v>25859</v>
      </c>
      <c r="Q178" s="4" t="s">
        <v>19</v>
      </c>
      <c r="R178" s="4">
        <v>37387</v>
      </c>
      <c r="S178" s="4" t="str">
        <f>VLOOKUP(L178&amp;TEXT(I178,"mmmm")&amp;YEAR(I178),'[1]Detalle C-Fecha'!$D$2:$E$15921,2,FALSE)</f>
        <v>SUC_REA - Sucursal Realicó</v>
      </c>
    </row>
    <row r="179" spans="1:19" x14ac:dyDescent="0.3">
      <c r="A179" s="4">
        <v>30096</v>
      </c>
      <c r="B179" s="4" t="s">
        <v>28</v>
      </c>
      <c r="C179" s="4" t="s">
        <v>15</v>
      </c>
      <c r="D179" s="4" t="s">
        <v>16</v>
      </c>
      <c r="E179" s="4" t="s">
        <v>143</v>
      </c>
      <c r="F179" s="4" t="str">
        <f t="shared" si="2"/>
        <v>7MC</v>
      </c>
      <c r="G179" s="5">
        <v>46086</v>
      </c>
      <c r="H179" s="6">
        <v>0.42986111111111108</v>
      </c>
      <c r="I179" s="5">
        <v>46086</v>
      </c>
      <c r="J179" s="5">
        <v>46086</v>
      </c>
      <c r="K179" s="5">
        <v>46086</v>
      </c>
      <c r="L179" s="4" t="s">
        <v>150</v>
      </c>
      <c r="M179" s="4">
        <v>1318</v>
      </c>
      <c r="N179" s="4" t="s">
        <v>31</v>
      </c>
      <c r="O179" s="4" t="s">
        <v>25</v>
      </c>
      <c r="P179" s="4">
        <v>25860</v>
      </c>
      <c r="Q179" s="4" t="s">
        <v>19</v>
      </c>
      <c r="R179" s="4">
        <v>37399</v>
      </c>
      <c r="S179" s="4" t="str">
        <f>VLOOKUP(L179&amp;TEXT(I179,"mmmm")&amp;YEAR(I179),'[1]Detalle C-Fecha'!$D$2:$E$15921,2,FALSE)</f>
        <v>SUC_REA - Sucursal Realicó</v>
      </c>
    </row>
    <row r="180" spans="1:19" x14ac:dyDescent="0.3">
      <c r="A180" s="4">
        <v>30109</v>
      </c>
      <c r="B180" s="4" t="s">
        <v>28</v>
      </c>
      <c r="C180" s="4" t="s">
        <v>15</v>
      </c>
      <c r="D180" s="4" t="s">
        <v>16</v>
      </c>
      <c r="E180" s="4" t="s">
        <v>51</v>
      </c>
      <c r="F180" s="4" t="str">
        <f t="shared" si="2"/>
        <v>2MC</v>
      </c>
      <c r="G180" s="5">
        <v>46086</v>
      </c>
      <c r="H180" s="6">
        <v>0.58263888888888882</v>
      </c>
      <c r="I180" s="5">
        <v>46086</v>
      </c>
      <c r="J180" s="5">
        <v>46086</v>
      </c>
      <c r="K180" s="5">
        <v>46086</v>
      </c>
      <c r="L180" s="4" t="s">
        <v>152</v>
      </c>
      <c r="M180" s="4" t="s">
        <v>127</v>
      </c>
      <c r="N180" s="4" t="s">
        <v>17</v>
      </c>
      <c r="O180" s="4" t="s">
        <v>24</v>
      </c>
      <c r="P180" s="4">
        <v>25871</v>
      </c>
      <c r="Q180" s="4" t="s">
        <v>19</v>
      </c>
      <c r="R180" s="4">
        <v>37443</v>
      </c>
      <c r="S180" s="4" t="str">
        <f>VLOOKUP(L180&amp;TEXT(I180,"mmmm")&amp;YEAR(I180),'[1]Detalle C-Fecha'!$D$2:$E$15921,2,FALSE)</f>
        <v>CCU_MZA - Comp. Cerv. Unidas - MZA</v>
      </c>
    </row>
    <row r="181" spans="1:19" x14ac:dyDescent="0.3">
      <c r="A181" s="4">
        <v>30110</v>
      </c>
      <c r="B181" s="4" t="s">
        <v>28</v>
      </c>
      <c r="C181" s="4" t="s">
        <v>15</v>
      </c>
      <c r="D181" s="4" t="s">
        <v>16</v>
      </c>
      <c r="E181" s="4" t="s">
        <v>53</v>
      </c>
      <c r="F181" s="4" t="str">
        <f t="shared" si="2"/>
        <v>3MC</v>
      </c>
      <c r="G181" s="5">
        <v>46086</v>
      </c>
      <c r="H181" s="6">
        <v>0.58263888888888882</v>
      </c>
      <c r="I181" s="5">
        <v>46086</v>
      </c>
      <c r="J181" s="5">
        <v>46086</v>
      </c>
      <c r="K181" s="5">
        <v>46086</v>
      </c>
      <c r="L181" s="4" t="s">
        <v>152</v>
      </c>
      <c r="M181" s="4" t="s">
        <v>127</v>
      </c>
      <c r="N181" s="4" t="s">
        <v>17</v>
      </c>
      <c r="O181" s="4" t="s">
        <v>24</v>
      </c>
      <c r="P181" s="4">
        <v>25872</v>
      </c>
      <c r="Q181" s="4" t="s">
        <v>19</v>
      </c>
      <c r="R181" s="4">
        <v>37445</v>
      </c>
      <c r="S181" s="4" t="str">
        <f>VLOOKUP(L181&amp;TEXT(I181,"mmmm")&amp;YEAR(I181),'[1]Detalle C-Fecha'!$D$2:$E$15921,2,FALSE)</f>
        <v>CCU_MZA - Comp. Cerv. Unidas - MZA</v>
      </c>
    </row>
    <row r="182" spans="1:19" x14ac:dyDescent="0.3">
      <c r="A182" s="4">
        <v>30111</v>
      </c>
      <c r="B182" s="4" t="s">
        <v>28</v>
      </c>
      <c r="C182" s="4" t="s">
        <v>15</v>
      </c>
      <c r="D182" s="4" t="s">
        <v>16</v>
      </c>
      <c r="E182" s="4" t="s">
        <v>112</v>
      </c>
      <c r="F182" s="4" t="str">
        <f t="shared" si="2"/>
        <v>6MC</v>
      </c>
      <c r="G182" s="5">
        <v>46086</v>
      </c>
      <c r="H182" s="6">
        <v>0.58263888888888882</v>
      </c>
      <c r="I182" s="5">
        <v>46086</v>
      </c>
      <c r="J182" s="5">
        <v>46086</v>
      </c>
      <c r="K182" s="5">
        <v>46086</v>
      </c>
      <c r="L182" s="4" t="s">
        <v>152</v>
      </c>
      <c r="M182" s="4" t="s">
        <v>127</v>
      </c>
      <c r="N182" s="4" t="s">
        <v>17</v>
      </c>
      <c r="O182" s="4" t="s">
        <v>24</v>
      </c>
      <c r="P182" s="4">
        <v>25874</v>
      </c>
      <c r="Q182" s="4" t="s">
        <v>19</v>
      </c>
      <c r="R182" s="4">
        <v>37447</v>
      </c>
      <c r="S182" s="4" t="str">
        <f>VLOOKUP(L182&amp;TEXT(I182,"mmmm")&amp;YEAR(I182),'[1]Detalle C-Fecha'!$D$2:$E$15921,2,FALSE)</f>
        <v>CCU_MZA - Comp. Cerv. Unidas - MZA</v>
      </c>
    </row>
    <row r="183" spans="1:19" x14ac:dyDescent="0.3">
      <c r="A183" s="4">
        <v>30143</v>
      </c>
      <c r="B183" s="4" t="s">
        <v>28</v>
      </c>
      <c r="C183" s="4" t="s">
        <v>15</v>
      </c>
      <c r="D183" s="4" t="s">
        <v>16</v>
      </c>
      <c r="E183" s="4" t="s">
        <v>51</v>
      </c>
      <c r="F183" s="4" t="str">
        <f t="shared" si="2"/>
        <v>2MC</v>
      </c>
      <c r="G183" s="5">
        <v>46086</v>
      </c>
      <c r="H183" s="6">
        <v>0.87916666666666676</v>
      </c>
      <c r="I183" s="5">
        <v>46086</v>
      </c>
      <c r="J183" s="5">
        <v>46086</v>
      </c>
      <c r="K183" s="5">
        <v>46086</v>
      </c>
      <c r="L183" s="4" t="s">
        <v>153</v>
      </c>
      <c r="M183" s="4" t="s">
        <v>130</v>
      </c>
      <c r="N183" s="4" t="s">
        <v>21</v>
      </c>
      <c r="O183" s="4" t="s">
        <v>18</v>
      </c>
      <c r="P183" s="4">
        <v>25896</v>
      </c>
      <c r="Q183" s="4" t="s">
        <v>19</v>
      </c>
      <c r="R183" s="4">
        <v>37574</v>
      </c>
      <c r="S183" s="4" t="str">
        <f>VLOOKUP(L183&amp;TEXT(I183,"mmmm")&amp;YEAR(I183),'[1]Detalle C-Fecha'!$D$2:$E$15921,2,FALSE)</f>
        <v>CMQ_TTE - QUILMES TTE</v>
      </c>
    </row>
    <row r="184" spans="1:19" x14ac:dyDescent="0.3">
      <c r="A184" s="4">
        <v>30144</v>
      </c>
      <c r="B184" s="4" t="s">
        <v>28</v>
      </c>
      <c r="C184" s="4" t="s">
        <v>15</v>
      </c>
      <c r="D184" s="4" t="s">
        <v>16</v>
      </c>
      <c r="E184" s="4" t="s">
        <v>53</v>
      </c>
      <c r="F184" s="4" t="str">
        <f t="shared" si="2"/>
        <v>3MC</v>
      </c>
      <c r="G184" s="5">
        <v>46086</v>
      </c>
      <c r="H184" s="6">
        <v>0.87916666666666676</v>
      </c>
      <c r="I184" s="5">
        <v>46086</v>
      </c>
      <c r="J184" s="5">
        <v>46086</v>
      </c>
      <c r="K184" s="5">
        <v>46086</v>
      </c>
      <c r="L184" s="4" t="s">
        <v>153</v>
      </c>
      <c r="M184" s="4" t="s">
        <v>130</v>
      </c>
      <c r="N184" s="4" t="s">
        <v>21</v>
      </c>
      <c r="O184" s="4" t="s">
        <v>18</v>
      </c>
      <c r="P184" s="4">
        <v>25897</v>
      </c>
      <c r="Q184" s="4" t="s">
        <v>19</v>
      </c>
      <c r="R184" s="4">
        <v>37575</v>
      </c>
      <c r="S184" s="4" t="str">
        <f>VLOOKUP(L184&amp;TEXT(I184,"mmmm")&amp;YEAR(I184),'[1]Detalle C-Fecha'!$D$2:$E$15921,2,FALSE)</f>
        <v>CMQ_TTE - QUILMES TTE</v>
      </c>
    </row>
    <row r="185" spans="1:19" x14ac:dyDescent="0.3">
      <c r="A185" s="4">
        <v>30145</v>
      </c>
      <c r="B185" s="4" t="s">
        <v>28</v>
      </c>
      <c r="C185" s="4" t="s">
        <v>15</v>
      </c>
      <c r="D185" s="4" t="s">
        <v>16</v>
      </c>
      <c r="E185" s="4" t="s">
        <v>52</v>
      </c>
      <c r="F185" s="4" t="str">
        <f t="shared" si="2"/>
        <v>6MC</v>
      </c>
      <c r="G185" s="5">
        <v>46086</v>
      </c>
      <c r="H185" s="6">
        <v>0.87916666666666676</v>
      </c>
      <c r="I185" s="5">
        <v>46086</v>
      </c>
      <c r="J185" s="5">
        <v>46086</v>
      </c>
      <c r="K185" s="5">
        <v>46086</v>
      </c>
      <c r="L185" s="4" t="s">
        <v>153</v>
      </c>
      <c r="M185" s="4" t="s">
        <v>130</v>
      </c>
      <c r="N185" s="4" t="s">
        <v>21</v>
      </c>
      <c r="O185" s="4" t="s">
        <v>18</v>
      </c>
      <c r="P185" s="4">
        <v>25898</v>
      </c>
      <c r="Q185" s="4" t="s">
        <v>19</v>
      </c>
      <c r="R185" s="4">
        <v>37576</v>
      </c>
      <c r="S185" s="4" t="str">
        <f>VLOOKUP(L185&amp;TEXT(I185,"mmmm")&amp;YEAR(I185),'[1]Detalle C-Fecha'!$D$2:$E$15921,2,FALSE)</f>
        <v>CMQ_TTE - QUILMES TTE</v>
      </c>
    </row>
    <row r="186" spans="1:19" x14ac:dyDescent="0.3">
      <c r="A186" s="4">
        <v>30227</v>
      </c>
      <c r="B186" s="4" t="s">
        <v>28</v>
      </c>
      <c r="C186" s="4" t="s">
        <v>15</v>
      </c>
      <c r="D186" s="4" t="s">
        <v>16</v>
      </c>
      <c r="E186" s="4" t="s">
        <v>111</v>
      </c>
      <c r="F186" s="4" t="str">
        <f t="shared" si="2"/>
        <v>6MC</v>
      </c>
      <c r="G186" s="5">
        <v>46088</v>
      </c>
      <c r="H186" s="6">
        <v>0.3833333333333333</v>
      </c>
      <c r="I186" s="5">
        <v>46087</v>
      </c>
      <c r="J186" s="5">
        <v>46087</v>
      </c>
      <c r="K186" s="5">
        <v>46087</v>
      </c>
      <c r="L186" s="4" t="s">
        <v>154</v>
      </c>
      <c r="M186" s="4" t="s">
        <v>155</v>
      </c>
      <c r="N186" s="4" t="s">
        <v>17</v>
      </c>
      <c r="O186" s="4" t="s">
        <v>24</v>
      </c>
      <c r="P186" s="4">
        <v>25954</v>
      </c>
      <c r="Q186" s="4" t="s">
        <v>19</v>
      </c>
      <c r="R186" s="4">
        <v>38430</v>
      </c>
      <c r="S186" s="4" t="str">
        <f>VLOOKUP(L186&amp;TEXT(I186,"mmmm")&amp;YEAR(I186),'[1]Detalle C-Fecha'!$D$2:$E$15921,2,FALSE)</f>
        <v>CCU_MZA - Comp. Cerv. Unidas - MZA</v>
      </c>
    </row>
    <row r="187" spans="1:19" x14ac:dyDescent="0.3">
      <c r="A187" s="4">
        <v>30228</v>
      </c>
      <c r="B187" s="4" t="s">
        <v>28</v>
      </c>
      <c r="C187" s="4" t="s">
        <v>15</v>
      </c>
      <c r="D187" s="4" t="s">
        <v>16</v>
      </c>
      <c r="E187" s="4" t="s">
        <v>121</v>
      </c>
      <c r="F187" s="4" t="str">
        <f t="shared" si="2"/>
        <v>2MC</v>
      </c>
      <c r="G187" s="5">
        <v>46088</v>
      </c>
      <c r="H187" s="6">
        <v>0.3833333333333333</v>
      </c>
      <c r="I187" s="5">
        <v>46087</v>
      </c>
      <c r="J187" s="5">
        <v>46087</v>
      </c>
      <c r="K187" s="5">
        <v>46087</v>
      </c>
      <c r="L187" s="4" t="s">
        <v>154</v>
      </c>
      <c r="M187" s="4" t="s">
        <v>155</v>
      </c>
      <c r="N187" s="4" t="s">
        <v>17</v>
      </c>
      <c r="O187" s="4" t="s">
        <v>24</v>
      </c>
      <c r="P187" s="4">
        <v>25955</v>
      </c>
      <c r="Q187" s="4" t="s">
        <v>19</v>
      </c>
      <c r="R187" s="4">
        <v>38434</v>
      </c>
      <c r="S187" s="4" t="str">
        <f>VLOOKUP(L187&amp;TEXT(I187,"mmmm")&amp;YEAR(I187),'[1]Detalle C-Fecha'!$D$2:$E$15921,2,FALSE)</f>
        <v>CCU_MZA - Comp. Cerv. Unidas - MZA</v>
      </c>
    </row>
    <row r="188" spans="1:19" x14ac:dyDescent="0.3">
      <c r="A188" s="4">
        <v>30229</v>
      </c>
      <c r="B188" s="4" t="s">
        <v>28</v>
      </c>
      <c r="C188" s="4" t="s">
        <v>15</v>
      </c>
      <c r="D188" s="4" t="s">
        <v>16</v>
      </c>
      <c r="E188" s="4" t="s">
        <v>122</v>
      </c>
      <c r="F188" s="4" t="str">
        <f t="shared" si="2"/>
        <v>3MC</v>
      </c>
      <c r="G188" s="5">
        <v>46088</v>
      </c>
      <c r="H188" s="6">
        <v>0.3840277777777778</v>
      </c>
      <c r="I188" s="5">
        <v>46087</v>
      </c>
      <c r="J188" s="5">
        <v>46087</v>
      </c>
      <c r="K188" s="5">
        <v>46087</v>
      </c>
      <c r="L188" s="4" t="s">
        <v>154</v>
      </c>
      <c r="M188" s="4" t="s">
        <v>155</v>
      </c>
      <c r="N188" s="4" t="s">
        <v>17</v>
      </c>
      <c r="O188" s="4" t="s">
        <v>24</v>
      </c>
      <c r="P188" s="4">
        <v>25956</v>
      </c>
      <c r="Q188" s="4" t="s">
        <v>19</v>
      </c>
      <c r="R188" s="4">
        <v>38437</v>
      </c>
      <c r="S188" s="4" t="str">
        <f>VLOOKUP(L188&amp;TEXT(I188,"mmmm")&amp;YEAR(I188),'[1]Detalle C-Fecha'!$D$2:$E$15921,2,FALSE)</f>
        <v>CCU_MZA - Comp. Cerv. Unidas - MZA</v>
      </c>
    </row>
    <row r="189" spans="1:19" x14ac:dyDescent="0.3">
      <c r="A189" s="4">
        <v>30249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46090</v>
      </c>
      <c r="H189" s="6">
        <v>0.40277777777777773</v>
      </c>
      <c r="I189" s="5">
        <v>46090</v>
      </c>
      <c r="J189" s="5">
        <v>46090</v>
      </c>
      <c r="K189" s="5">
        <v>46090</v>
      </c>
      <c r="L189" s="4" t="s">
        <v>156</v>
      </c>
      <c r="M189" s="4" t="s">
        <v>155</v>
      </c>
      <c r="N189" s="4" t="s">
        <v>17</v>
      </c>
      <c r="O189" s="4" t="s">
        <v>24</v>
      </c>
      <c r="P189" s="4">
        <v>25975</v>
      </c>
      <c r="Q189" s="4" t="s">
        <v>19</v>
      </c>
      <c r="R189" s="4">
        <v>38448</v>
      </c>
      <c r="S189" s="4" t="str">
        <f>VLOOKUP(L189&amp;TEXT(I189,"mmmm")&amp;YEAR(I189),'[1]Detalle C-Fecha'!$D$2:$E$15921,2,FALSE)</f>
        <v>CCU_MZA - Comp. Cerv. Unidas - MZA</v>
      </c>
    </row>
    <row r="190" spans="1:19" x14ac:dyDescent="0.3">
      <c r="A190" s="4">
        <v>30250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46090</v>
      </c>
      <c r="H190" s="6">
        <v>0.40277777777777773</v>
      </c>
      <c r="I190" s="5">
        <v>46090</v>
      </c>
      <c r="J190" s="5">
        <v>46090</v>
      </c>
      <c r="K190" s="5">
        <v>46090</v>
      </c>
      <c r="L190" s="4" t="s">
        <v>156</v>
      </c>
      <c r="M190" s="4" t="s">
        <v>155</v>
      </c>
      <c r="N190" s="4" t="s">
        <v>17</v>
      </c>
      <c r="O190" s="4" t="s">
        <v>24</v>
      </c>
      <c r="P190" s="4">
        <v>25976</v>
      </c>
      <c r="Q190" s="4" t="s">
        <v>19</v>
      </c>
      <c r="R190" s="4">
        <v>38454</v>
      </c>
      <c r="S190" s="4" t="str">
        <f>VLOOKUP(L190&amp;TEXT(I190,"mmmm")&amp;YEAR(I190),'[1]Detalle C-Fecha'!$D$2:$E$15921,2,FALSE)</f>
        <v>CCU_MZA - Comp. Cerv. Unidas - MZA</v>
      </c>
    </row>
    <row r="191" spans="1:19" x14ac:dyDescent="0.3">
      <c r="A191" s="4">
        <v>30251</v>
      </c>
      <c r="B191" s="4" t="s">
        <v>28</v>
      </c>
      <c r="C191" s="4" t="s">
        <v>15</v>
      </c>
      <c r="D191" s="4" t="s">
        <v>16</v>
      </c>
      <c r="E191" s="4" t="s">
        <v>111</v>
      </c>
      <c r="F191" s="4" t="str">
        <f t="shared" si="2"/>
        <v>6MC</v>
      </c>
      <c r="G191" s="5">
        <v>46090</v>
      </c>
      <c r="H191" s="6">
        <v>0.40277777777777773</v>
      </c>
      <c r="I191" s="5">
        <v>46090</v>
      </c>
      <c r="J191" s="5">
        <v>46090</v>
      </c>
      <c r="K191" s="5">
        <v>46090</v>
      </c>
      <c r="L191" s="4" t="s">
        <v>156</v>
      </c>
      <c r="M191" s="4" t="s">
        <v>155</v>
      </c>
      <c r="N191" s="4" t="s">
        <v>17</v>
      </c>
      <c r="O191" s="4" t="s">
        <v>24</v>
      </c>
      <c r="P191" s="4">
        <v>25977</v>
      </c>
      <c r="Q191" s="4" t="s">
        <v>19</v>
      </c>
      <c r="R191" s="4">
        <v>38456</v>
      </c>
      <c r="S191" s="4" t="str">
        <f>VLOOKUP(L191&amp;TEXT(I191,"mmmm")&amp;YEAR(I191),'[1]Detalle C-Fecha'!$D$2:$E$15921,2,FALSE)</f>
        <v>CCU_MZA - Comp. Cerv. Unidas - MZA</v>
      </c>
    </row>
    <row r="192" spans="1:19" x14ac:dyDescent="0.3">
      <c r="A192" s="4">
        <v>30270</v>
      </c>
      <c r="B192" s="4" t="s">
        <v>28</v>
      </c>
      <c r="C192" s="4" t="s">
        <v>15</v>
      </c>
      <c r="D192" s="4" t="s">
        <v>16</v>
      </c>
      <c r="E192" s="4" t="s">
        <v>140</v>
      </c>
      <c r="F192" s="4" t="str">
        <f t="shared" si="2"/>
        <v>4ML</v>
      </c>
      <c r="G192" s="5">
        <v>46090</v>
      </c>
      <c r="H192" s="6">
        <v>0.54791666666666672</v>
      </c>
      <c r="I192" s="5">
        <v>46090</v>
      </c>
      <c r="J192" s="5">
        <v>46090</v>
      </c>
      <c r="K192" s="5">
        <v>46090</v>
      </c>
      <c r="L192" s="4" t="s">
        <v>57</v>
      </c>
      <c r="M192" s="4" t="s">
        <v>126</v>
      </c>
      <c r="N192" s="4" t="s">
        <v>31</v>
      </c>
      <c r="O192" s="4" t="s">
        <v>25</v>
      </c>
      <c r="P192" s="4">
        <v>25999</v>
      </c>
      <c r="Q192" s="4" t="s">
        <v>19</v>
      </c>
      <c r="R192" s="4">
        <v>38024</v>
      </c>
      <c r="S192" s="4" t="str">
        <f>VLOOKUP(L192&amp;TEXT(I192,"mmmm")&amp;YEAR(I192),'[1]Detalle C-Fecha'!$D$2:$E$15921,2,FALSE)</f>
        <v>Expreso - Servicios Troncales</v>
      </c>
    </row>
    <row r="193" spans="1:19" x14ac:dyDescent="0.3">
      <c r="A193" s="4">
        <v>30271</v>
      </c>
      <c r="B193" s="4" t="s">
        <v>28</v>
      </c>
      <c r="C193" s="4" t="s">
        <v>15</v>
      </c>
      <c r="D193" s="4" t="s">
        <v>16</v>
      </c>
      <c r="E193" s="4" t="s">
        <v>141</v>
      </c>
      <c r="F193" s="4" t="str">
        <f t="shared" si="2"/>
        <v>5ML</v>
      </c>
      <c r="G193" s="5">
        <v>46090</v>
      </c>
      <c r="H193" s="6">
        <v>0.54791666666666672</v>
      </c>
      <c r="I193" s="5">
        <v>46090</v>
      </c>
      <c r="J193" s="5">
        <v>46090</v>
      </c>
      <c r="K193" s="5">
        <v>46090</v>
      </c>
      <c r="L193" s="4" t="s">
        <v>57</v>
      </c>
      <c r="M193" s="4" t="s">
        <v>126</v>
      </c>
      <c r="N193" s="4" t="s">
        <v>31</v>
      </c>
      <c r="O193" s="4" t="s">
        <v>25</v>
      </c>
      <c r="P193" s="4">
        <v>26000</v>
      </c>
      <c r="Q193" s="4" t="s">
        <v>19</v>
      </c>
      <c r="R193" s="4">
        <v>38026</v>
      </c>
      <c r="S193" s="4" t="str">
        <f>VLOOKUP(L193&amp;TEXT(I193,"mmmm")&amp;YEAR(I193),'[1]Detalle C-Fecha'!$D$2:$E$15921,2,FALSE)</f>
        <v>Expreso - Servicios Troncales</v>
      </c>
    </row>
    <row r="194" spans="1:19" x14ac:dyDescent="0.3">
      <c r="A194" s="4">
        <v>30274</v>
      </c>
      <c r="B194" s="4" t="s">
        <v>28</v>
      </c>
      <c r="C194" s="4" t="s">
        <v>15</v>
      </c>
      <c r="D194" s="4" t="s">
        <v>16</v>
      </c>
      <c r="E194" s="4" t="s">
        <v>121</v>
      </c>
      <c r="F194" s="4" t="str">
        <f t="shared" ref="F194:F257" si="3">MID(E194,1,3)</f>
        <v>2MC</v>
      </c>
      <c r="G194" s="5">
        <v>46090</v>
      </c>
      <c r="H194" s="6">
        <v>0.55555555555555558</v>
      </c>
      <c r="I194" s="5">
        <v>46090</v>
      </c>
      <c r="K194" s="5">
        <v>46095</v>
      </c>
      <c r="L194" s="4" t="s">
        <v>157</v>
      </c>
      <c r="M194" s="4">
        <v>1624</v>
      </c>
      <c r="N194" s="4" t="s">
        <v>21</v>
      </c>
      <c r="O194" s="4" t="s">
        <v>25</v>
      </c>
      <c r="P194" s="4">
        <v>26005</v>
      </c>
      <c r="Q194" s="4" t="s">
        <v>19</v>
      </c>
      <c r="R194" s="4">
        <v>37709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30275</v>
      </c>
      <c r="B195" s="4" t="s">
        <v>28</v>
      </c>
      <c r="C195" s="4" t="s">
        <v>15</v>
      </c>
      <c r="D195" s="4" t="s">
        <v>16</v>
      </c>
      <c r="E195" s="4" t="s">
        <v>53</v>
      </c>
      <c r="F195" s="4" t="str">
        <f t="shared" si="3"/>
        <v>3MC</v>
      </c>
      <c r="G195" s="5">
        <v>46090</v>
      </c>
      <c r="H195" s="6">
        <v>0.55555555555555558</v>
      </c>
      <c r="I195" s="5">
        <v>46090</v>
      </c>
      <c r="K195" s="5">
        <v>46095</v>
      </c>
      <c r="L195" s="4" t="s">
        <v>157</v>
      </c>
      <c r="M195" s="4">
        <v>1624</v>
      </c>
      <c r="N195" s="4" t="s">
        <v>21</v>
      </c>
      <c r="O195" s="4" t="s">
        <v>25</v>
      </c>
      <c r="P195" s="4">
        <v>26006</v>
      </c>
      <c r="Q195" s="4" t="s">
        <v>19</v>
      </c>
      <c r="R195" s="4">
        <v>37710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30276</v>
      </c>
      <c r="B196" s="4" t="s">
        <v>28</v>
      </c>
      <c r="C196" s="4" t="s">
        <v>15</v>
      </c>
      <c r="D196" s="4" t="s">
        <v>16</v>
      </c>
      <c r="E196" s="4" t="s">
        <v>111</v>
      </c>
      <c r="F196" s="4" t="str">
        <f t="shared" si="3"/>
        <v>6MC</v>
      </c>
      <c r="G196" s="5">
        <v>46090</v>
      </c>
      <c r="H196" s="6">
        <v>0.55555555555555558</v>
      </c>
      <c r="I196" s="5">
        <v>46090</v>
      </c>
      <c r="K196" s="5">
        <v>46095</v>
      </c>
      <c r="L196" s="4" t="s">
        <v>157</v>
      </c>
      <c r="M196" s="4">
        <v>1624</v>
      </c>
      <c r="N196" s="4" t="s">
        <v>21</v>
      </c>
      <c r="O196" s="4" t="s">
        <v>25</v>
      </c>
      <c r="P196" s="4">
        <v>26007</v>
      </c>
      <c r="Q196" s="4" t="s">
        <v>19</v>
      </c>
      <c r="R196" s="4">
        <v>37711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30280</v>
      </c>
      <c r="B197" s="4" t="s">
        <v>28</v>
      </c>
      <c r="C197" s="4" t="s">
        <v>15</v>
      </c>
      <c r="D197" s="4" t="s">
        <v>16</v>
      </c>
      <c r="E197" s="4" t="s">
        <v>35</v>
      </c>
      <c r="F197" s="4" t="str">
        <f t="shared" si="3"/>
        <v>2ML</v>
      </c>
      <c r="G197" s="5">
        <v>46090</v>
      </c>
      <c r="H197" s="6">
        <v>0.57986111111111105</v>
      </c>
      <c r="I197" s="5">
        <v>46090</v>
      </c>
      <c r="J197" s="5">
        <v>46090</v>
      </c>
      <c r="K197" s="5">
        <v>46090</v>
      </c>
      <c r="L197" s="4" t="s">
        <v>158</v>
      </c>
      <c r="M197" s="4" t="s">
        <v>146</v>
      </c>
      <c r="N197" s="4" t="s">
        <v>17</v>
      </c>
      <c r="O197" s="4" t="s">
        <v>24</v>
      </c>
      <c r="P197" s="4">
        <v>26009</v>
      </c>
      <c r="Q197" s="4" t="s">
        <v>19</v>
      </c>
      <c r="R197" s="4">
        <v>38471</v>
      </c>
      <c r="S197" s="4" t="str">
        <f>VLOOKUP(L197&amp;TEXT(I197,"mmmm")&amp;YEAR(I197),'[1]Detalle C-Fecha'!$D$2:$E$15921,2,FALSE)</f>
        <v>CENCOMLD - Cencosud SA - Mendoza</v>
      </c>
    </row>
    <row r="198" spans="1:19" x14ac:dyDescent="0.3">
      <c r="A198" s="4">
        <v>30281</v>
      </c>
      <c r="B198" s="4" t="s">
        <v>28</v>
      </c>
      <c r="C198" s="4" t="s">
        <v>15</v>
      </c>
      <c r="D198" s="4" t="s">
        <v>16</v>
      </c>
      <c r="E198" s="4" t="s">
        <v>47</v>
      </c>
      <c r="F198" s="4" t="str">
        <f t="shared" si="3"/>
        <v>3ML</v>
      </c>
      <c r="G198" s="5">
        <v>46090</v>
      </c>
      <c r="H198" s="6">
        <v>0.57986111111111105</v>
      </c>
      <c r="I198" s="5">
        <v>46090</v>
      </c>
      <c r="J198" s="5">
        <v>46090</v>
      </c>
      <c r="K198" s="5">
        <v>46090</v>
      </c>
      <c r="L198" s="4" t="s">
        <v>158</v>
      </c>
      <c r="M198" s="4" t="s">
        <v>146</v>
      </c>
      <c r="N198" s="4" t="s">
        <v>17</v>
      </c>
      <c r="O198" s="4" t="s">
        <v>24</v>
      </c>
      <c r="P198" s="4">
        <v>26011</v>
      </c>
      <c r="Q198" s="4" t="s">
        <v>19</v>
      </c>
      <c r="R198" s="4">
        <v>38473</v>
      </c>
      <c r="S198" s="4" t="str">
        <f>VLOOKUP(L198&amp;TEXT(I198,"mmmm")&amp;YEAR(I198),'[1]Detalle C-Fecha'!$D$2:$E$15921,2,FALSE)</f>
        <v>CENCOMLD - Cencosud SA - Mendoza</v>
      </c>
    </row>
    <row r="199" spans="1:19" x14ac:dyDescent="0.3">
      <c r="A199" s="4">
        <v>30282</v>
      </c>
      <c r="B199" s="4" t="s">
        <v>28</v>
      </c>
      <c r="C199" s="4" t="s">
        <v>15</v>
      </c>
      <c r="D199" s="4" t="s">
        <v>16</v>
      </c>
      <c r="E199" s="4" t="s">
        <v>46</v>
      </c>
      <c r="F199" s="4" t="str">
        <f t="shared" si="3"/>
        <v>6ML</v>
      </c>
      <c r="G199" s="5">
        <v>46090</v>
      </c>
      <c r="H199" s="6">
        <v>0.57986111111111105</v>
      </c>
      <c r="I199" s="5">
        <v>46090</v>
      </c>
      <c r="J199" s="5">
        <v>46090</v>
      </c>
      <c r="K199" s="5">
        <v>46090</v>
      </c>
      <c r="L199" s="4" t="s">
        <v>158</v>
      </c>
      <c r="M199" s="4" t="s">
        <v>146</v>
      </c>
      <c r="N199" s="4" t="s">
        <v>17</v>
      </c>
      <c r="O199" s="4" t="s">
        <v>24</v>
      </c>
      <c r="P199" s="4">
        <v>26012</v>
      </c>
      <c r="Q199" s="4" t="s">
        <v>19</v>
      </c>
      <c r="R199" s="4">
        <v>38475</v>
      </c>
      <c r="S199" s="4" t="str">
        <f>VLOOKUP(L199&amp;TEXT(I199,"mmmm")&amp;YEAR(I199),'[1]Detalle C-Fecha'!$D$2:$E$15921,2,FALSE)</f>
        <v>CENCOMLD - Cencosud SA - Mendoza</v>
      </c>
    </row>
    <row r="200" spans="1:19" x14ac:dyDescent="0.3">
      <c r="A200" s="4">
        <v>30300</v>
      </c>
      <c r="B200" s="4" t="s">
        <v>28</v>
      </c>
      <c r="C200" s="4" t="s">
        <v>15</v>
      </c>
      <c r="D200" s="4" t="s">
        <v>16</v>
      </c>
      <c r="E200" s="4" t="s">
        <v>51</v>
      </c>
      <c r="F200" s="4" t="str">
        <f t="shared" si="3"/>
        <v>2MC</v>
      </c>
      <c r="G200" s="5">
        <v>46091</v>
      </c>
      <c r="H200" s="6">
        <v>0.41736111111111113</v>
      </c>
      <c r="I200" s="5">
        <v>46091</v>
      </c>
      <c r="J200" s="5">
        <v>46091</v>
      </c>
      <c r="K200" s="5">
        <v>46091</v>
      </c>
      <c r="L200" s="4" t="s">
        <v>159</v>
      </c>
      <c r="M200" s="4" t="s">
        <v>155</v>
      </c>
      <c r="N200" s="4" t="s">
        <v>17</v>
      </c>
      <c r="O200" s="4" t="s">
        <v>24</v>
      </c>
      <c r="P200" s="4">
        <v>26051</v>
      </c>
      <c r="Q200" s="4" t="s">
        <v>19</v>
      </c>
      <c r="R200" s="4">
        <v>38492</v>
      </c>
      <c r="S200" s="4" t="str">
        <f>VLOOKUP(L200&amp;TEXT(I200,"mmmm")&amp;YEAR(I200),'[1]Detalle C-Fecha'!$D$2:$E$15921,2,FALSE)</f>
        <v>CCU_MZA - Comp. Cerv. Unidas - MZA</v>
      </c>
    </row>
    <row r="201" spans="1:19" x14ac:dyDescent="0.3">
      <c r="A201" s="4">
        <v>30301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46091</v>
      </c>
      <c r="H201" s="6">
        <v>0.41736111111111113</v>
      </c>
      <c r="I201" s="5">
        <v>46091</v>
      </c>
      <c r="J201" s="5">
        <v>46091</v>
      </c>
      <c r="K201" s="5">
        <v>46091</v>
      </c>
      <c r="L201" s="4" t="s">
        <v>159</v>
      </c>
      <c r="M201" s="4" t="s">
        <v>155</v>
      </c>
      <c r="N201" s="4" t="s">
        <v>17</v>
      </c>
      <c r="O201" s="4" t="s">
        <v>24</v>
      </c>
      <c r="P201" s="4">
        <v>26053</v>
      </c>
      <c r="Q201" s="4" t="s">
        <v>19</v>
      </c>
      <c r="R201" s="4">
        <v>38494</v>
      </c>
      <c r="S201" s="4" t="str">
        <f>VLOOKUP(L201&amp;TEXT(I201,"mmmm")&amp;YEAR(I201),'[1]Detalle C-Fecha'!$D$2:$E$15921,2,FALSE)</f>
        <v>CCU_MZA - Comp. Cerv. Unidas - MZA</v>
      </c>
    </row>
    <row r="202" spans="1:19" x14ac:dyDescent="0.3">
      <c r="A202" s="4">
        <v>30302</v>
      </c>
      <c r="B202" s="4" t="s">
        <v>28</v>
      </c>
      <c r="C202" s="4" t="s">
        <v>15</v>
      </c>
      <c r="D202" s="4" t="s">
        <v>16</v>
      </c>
      <c r="E202" s="4" t="s">
        <v>111</v>
      </c>
      <c r="F202" s="4" t="str">
        <f t="shared" si="3"/>
        <v>6MC</v>
      </c>
      <c r="G202" s="5">
        <v>46091</v>
      </c>
      <c r="H202" s="6">
        <v>0.41736111111111113</v>
      </c>
      <c r="I202" s="5">
        <v>46091</v>
      </c>
      <c r="J202" s="5">
        <v>46091</v>
      </c>
      <c r="K202" s="5">
        <v>46091</v>
      </c>
      <c r="L202" s="4" t="s">
        <v>159</v>
      </c>
      <c r="M202" s="4" t="s">
        <v>155</v>
      </c>
      <c r="N202" s="4" t="s">
        <v>17</v>
      </c>
      <c r="O202" s="4" t="s">
        <v>24</v>
      </c>
      <c r="P202" s="4">
        <v>26055</v>
      </c>
      <c r="Q202" s="4" t="s">
        <v>19</v>
      </c>
      <c r="R202" s="4">
        <v>38496</v>
      </c>
      <c r="S202" s="4" t="str">
        <f>VLOOKUP(L202&amp;TEXT(I202,"mmmm")&amp;YEAR(I202),'[1]Detalle C-Fecha'!$D$2:$E$15921,2,FALSE)</f>
        <v>CCU_MZA - Comp. Cerv. Unidas - MZA</v>
      </c>
    </row>
    <row r="203" spans="1:19" x14ac:dyDescent="0.3">
      <c r="A203" s="4">
        <v>30426</v>
      </c>
      <c r="B203" s="4" t="s">
        <v>28</v>
      </c>
      <c r="C203" s="4" t="s">
        <v>15</v>
      </c>
      <c r="D203" s="4" t="s">
        <v>16</v>
      </c>
      <c r="E203" s="4" t="s">
        <v>108</v>
      </c>
      <c r="F203" s="4" t="str">
        <f t="shared" si="3"/>
        <v>2MU</v>
      </c>
      <c r="G203" s="5">
        <v>46091</v>
      </c>
      <c r="H203" s="6">
        <v>0.63263888888888886</v>
      </c>
      <c r="I203" s="5">
        <v>46091</v>
      </c>
      <c r="J203" s="5">
        <v>46091</v>
      </c>
      <c r="K203" s="5">
        <v>46091</v>
      </c>
      <c r="L203" s="4" t="s">
        <v>160</v>
      </c>
      <c r="M203" s="4" t="s">
        <v>161</v>
      </c>
      <c r="N203" s="4" t="s">
        <v>17</v>
      </c>
      <c r="O203" s="4" t="s">
        <v>25</v>
      </c>
      <c r="P203" s="4">
        <v>26088</v>
      </c>
      <c r="Q203" s="4" t="s">
        <v>19</v>
      </c>
      <c r="R203" s="4">
        <v>38508</v>
      </c>
      <c r="S203" s="4" t="str">
        <f>VLOOKUP(L203&amp;TEXT(I203,"mmmm")&amp;YEAR(I203),'[1]Detalle C-Fecha'!$D$2:$E$15921,2,FALSE)</f>
        <v>SUC_MEN - Sucursal Mendoza</v>
      </c>
    </row>
    <row r="204" spans="1:19" x14ac:dyDescent="0.3">
      <c r="A204" s="4">
        <v>30427</v>
      </c>
      <c r="B204" s="4" t="s">
        <v>28</v>
      </c>
      <c r="C204" s="4" t="s">
        <v>15</v>
      </c>
      <c r="D204" s="4" t="s">
        <v>16</v>
      </c>
      <c r="E204" s="4" t="s">
        <v>109</v>
      </c>
      <c r="F204" s="4" t="str">
        <f t="shared" si="3"/>
        <v>3MU</v>
      </c>
      <c r="G204" s="5">
        <v>46091</v>
      </c>
      <c r="H204" s="6">
        <v>0.63263888888888886</v>
      </c>
      <c r="I204" s="5">
        <v>46091</v>
      </c>
      <c r="J204" s="5">
        <v>46091</v>
      </c>
      <c r="K204" s="5">
        <v>46091</v>
      </c>
      <c r="L204" s="4" t="s">
        <v>160</v>
      </c>
      <c r="M204" s="4" t="s">
        <v>161</v>
      </c>
      <c r="N204" s="4" t="s">
        <v>17</v>
      </c>
      <c r="O204" s="4" t="s">
        <v>25</v>
      </c>
      <c r="P204" s="4">
        <v>26089</v>
      </c>
      <c r="Q204" s="4" t="s">
        <v>19</v>
      </c>
      <c r="R204" s="4">
        <v>38510</v>
      </c>
      <c r="S204" s="4" t="str">
        <f>VLOOKUP(L204&amp;TEXT(I204,"mmmm")&amp;YEAR(I204),'[1]Detalle C-Fecha'!$D$2:$E$15921,2,FALSE)</f>
        <v>SUC_MEN - Sucursal Mendoza</v>
      </c>
    </row>
    <row r="205" spans="1:19" x14ac:dyDescent="0.3">
      <c r="A205" s="4">
        <v>30428</v>
      </c>
      <c r="B205" s="4" t="s">
        <v>28</v>
      </c>
      <c r="C205" s="4" t="s">
        <v>15</v>
      </c>
      <c r="D205" s="4" t="s">
        <v>16</v>
      </c>
      <c r="E205" s="4" t="s">
        <v>107</v>
      </c>
      <c r="F205" s="4" t="str">
        <f t="shared" si="3"/>
        <v>4MU</v>
      </c>
      <c r="G205" s="5">
        <v>46091</v>
      </c>
      <c r="H205" s="6">
        <v>0.63263888888888886</v>
      </c>
      <c r="I205" s="5">
        <v>46091</v>
      </c>
      <c r="J205" s="5">
        <v>46091</v>
      </c>
      <c r="K205" s="5">
        <v>46091</v>
      </c>
      <c r="L205" s="4" t="s">
        <v>160</v>
      </c>
      <c r="M205" s="4" t="s">
        <v>161</v>
      </c>
      <c r="N205" s="4" t="s">
        <v>17</v>
      </c>
      <c r="O205" s="4" t="s">
        <v>25</v>
      </c>
      <c r="P205" s="4">
        <v>26090</v>
      </c>
      <c r="Q205" s="4" t="s">
        <v>19</v>
      </c>
      <c r="R205" s="4">
        <v>38512</v>
      </c>
      <c r="S205" s="4" t="str">
        <f>VLOOKUP(L205&amp;TEXT(I205,"mmmm")&amp;YEAR(I205),'[1]Detalle C-Fecha'!$D$2:$E$15921,2,FALSE)</f>
        <v>SUC_MEN - Sucursal Mendoza</v>
      </c>
    </row>
    <row r="206" spans="1:19" x14ac:dyDescent="0.3">
      <c r="A206" s="4">
        <v>30518</v>
      </c>
      <c r="B206" s="4" t="s">
        <v>28</v>
      </c>
      <c r="C206" s="4" t="s">
        <v>15</v>
      </c>
      <c r="D206" s="4" t="s">
        <v>16</v>
      </c>
      <c r="E206" s="4" t="s">
        <v>121</v>
      </c>
      <c r="F206" s="4" t="str">
        <f t="shared" si="3"/>
        <v>2MC</v>
      </c>
      <c r="G206" s="5">
        <v>46093</v>
      </c>
      <c r="H206" s="6">
        <v>0.51944444444444449</v>
      </c>
      <c r="I206" s="5">
        <v>46092</v>
      </c>
      <c r="J206" s="5">
        <v>46092</v>
      </c>
      <c r="K206" s="5">
        <v>46113</v>
      </c>
      <c r="L206" s="4" t="s">
        <v>162</v>
      </c>
      <c r="M206" s="4" t="s">
        <v>163</v>
      </c>
      <c r="N206" s="4" t="s">
        <v>21</v>
      </c>
      <c r="O206" s="4" t="s">
        <v>24</v>
      </c>
      <c r="P206" s="4">
        <v>26161</v>
      </c>
      <c r="Q206" s="4" t="s">
        <v>19</v>
      </c>
      <c r="R206" s="4">
        <v>38765</v>
      </c>
      <c r="S206" s="4" t="str">
        <f>VLOOKUP(L206&amp;TEXT(I206,"mmmm")&amp;YEAR(I206),'[1]Detalle C-Fecha'!$D$2:$E$15921,2,FALSE)</f>
        <v>CCUDyAZA</v>
      </c>
    </row>
    <row r="207" spans="1:19" x14ac:dyDescent="0.3">
      <c r="A207" s="4">
        <v>30519</v>
      </c>
      <c r="B207" s="4" t="s">
        <v>28</v>
      </c>
      <c r="C207" s="4" t="s">
        <v>15</v>
      </c>
      <c r="D207" s="4" t="s">
        <v>16</v>
      </c>
      <c r="E207" s="4" t="s">
        <v>53</v>
      </c>
      <c r="F207" s="4" t="str">
        <f t="shared" si="3"/>
        <v>3MC</v>
      </c>
      <c r="G207" s="5">
        <v>46093</v>
      </c>
      <c r="H207" s="6">
        <v>0.51944444444444449</v>
      </c>
      <c r="I207" s="5">
        <v>46092</v>
      </c>
      <c r="J207" s="5">
        <v>46092</v>
      </c>
      <c r="K207" s="5">
        <v>46113</v>
      </c>
      <c r="L207" s="4" t="s">
        <v>162</v>
      </c>
      <c r="M207" s="4" t="s">
        <v>163</v>
      </c>
      <c r="N207" s="4" t="s">
        <v>21</v>
      </c>
      <c r="O207" s="4" t="s">
        <v>24</v>
      </c>
      <c r="P207" s="4">
        <v>26162</v>
      </c>
      <c r="Q207" s="4" t="s">
        <v>19</v>
      </c>
      <c r="R207" s="4">
        <v>38766</v>
      </c>
      <c r="S207" s="4" t="str">
        <f>VLOOKUP(L207&amp;TEXT(I207,"mmmm")&amp;YEAR(I207),'[1]Detalle C-Fecha'!$D$2:$E$15921,2,FALSE)</f>
        <v>CCUDyAZA</v>
      </c>
    </row>
    <row r="208" spans="1:19" x14ac:dyDescent="0.3">
      <c r="A208" s="4">
        <v>30520</v>
      </c>
      <c r="B208" s="4" t="s">
        <v>28</v>
      </c>
      <c r="C208" s="4" t="s">
        <v>15</v>
      </c>
      <c r="D208" s="4" t="s">
        <v>16</v>
      </c>
      <c r="E208" s="4" t="s">
        <v>112</v>
      </c>
      <c r="F208" s="4" t="str">
        <f t="shared" si="3"/>
        <v>6MC</v>
      </c>
      <c r="G208" s="5">
        <v>46093</v>
      </c>
      <c r="H208" s="6">
        <v>0.51944444444444449</v>
      </c>
      <c r="I208" s="5">
        <v>46092</v>
      </c>
      <c r="J208" s="5">
        <v>46092</v>
      </c>
      <c r="K208" s="5">
        <v>46113</v>
      </c>
      <c r="L208" s="4" t="s">
        <v>162</v>
      </c>
      <c r="M208" s="4" t="s">
        <v>163</v>
      </c>
      <c r="N208" s="4" t="s">
        <v>21</v>
      </c>
      <c r="O208" s="4" t="s">
        <v>24</v>
      </c>
      <c r="P208" s="4">
        <v>26163</v>
      </c>
      <c r="Q208" s="4" t="s">
        <v>19</v>
      </c>
      <c r="R208" s="4">
        <v>38767</v>
      </c>
      <c r="S208" s="4" t="str">
        <f>VLOOKUP(L208&amp;TEXT(I208,"mmmm")&amp;YEAR(I208),'[1]Detalle C-Fecha'!$D$2:$E$15921,2,FALSE)</f>
        <v>CCUDyAZA</v>
      </c>
    </row>
    <row r="209" spans="1:19" x14ac:dyDescent="0.3">
      <c r="A209" s="4">
        <v>30521</v>
      </c>
      <c r="B209" s="4" t="s">
        <v>28</v>
      </c>
      <c r="C209" s="4" t="s">
        <v>15</v>
      </c>
      <c r="D209" s="4" t="s">
        <v>16</v>
      </c>
      <c r="E209" s="4" t="s">
        <v>113</v>
      </c>
      <c r="F209" s="4" t="str">
        <f t="shared" si="3"/>
        <v>2MC</v>
      </c>
      <c r="G209" s="5">
        <v>46093</v>
      </c>
      <c r="H209" s="6">
        <v>0.51944444444444449</v>
      </c>
      <c r="I209" s="5">
        <v>46092</v>
      </c>
      <c r="J209" s="5">
        <v>46092</v>
      </c>
      <c r="K209" s="5">
        <v>46113</v>
      </c>
      <c r="L209" s="4" t="s">
        <v>164</v>
      </c>
      <c r="M209" s="4" t="s">
        <v>128</v>
      </c>
      <c r="N209" s="4" t="s">
        <v>21</v>
      </c>
      <c r="O209" s="4" t="s">
        <v>18</v>
      </c>
      <c r="P209" s="4">
        <v>26164</v>
      </c>
      <c r="Q209" s="4" t="s">
        <v>19</v>
      </c>
      <c r="R209" s="4">
        <v>38768</v>
      </c>
      <c r="S209" s="4" t="str">
        <f>VLOOKUP(L209&amp;TEXT(I209,"mmmm")&amp;YEAR(I209),'[1]Detalle C-Fecha'!$D$2:$E$15921,2,FALSE)</f>
        <v>CMQ_TTE - QUILMES TTE</v>
      </c>
    </row>
    <row r="210" spans="1:19" x14ac:dyDescent="0.3">
      <c r="A210" s="4">
        <v>30522</v>
      </c>
      <c r="B210" s="4" t="s">
        <v>28</v>
      </c>
      <c r="C210" s="4" t="s">
        <v>15</v>
      </c>
      <c r="D210" s="4" t="s">
        <v>16</v>
      </c>
      <c r="E210" s="4" t="s">
        <v>122</v>
      </c>
      <c r="F210" s="4" t="str">
        <f t="shared" si="3"/>
        <v>3MC</v>
      </c>
      <c r="G210" s="5">
        <v>46093</v>
      </c>
      <c r="H210" s="6">
        <v>0.51944444444444449</v>
      </c>
      <c r="I210" s="5">
        <v>46092</v>
      </c>
      <c r="J210" s="5">
        <v>46092</v>
      </c>
      <c r="K210" s="5">
        <v>46113</v>
      </c>
      <c r="L210" s="4" t="s">
        <v>164</v>
      </c>
      <c r="M210" s="4" t="s">
        <v>128</v>
      </c>
      <c r="N210" s="4" t="s">
        <v>21</v>
      </c>
      <c r="O210" s="4" t="s">
        <v>18</v>
      </c>
      <c r="P210" s="4">
        <v>26165</v>
      </c>
      <c r="Q210" s="4" t="s">
        <v>19</v>
      </c>
      <c r="R210" s="4">
        <v>38769</v>
      </c>
      <c r="S210" s="4" t="str">
        <f>VLOOKUP(L210&amp;TEXT(I210,"mmmm")&amp;YEAR(I210),'[1]Detalle C-Fecha'!$D$2:$E$15921,2,FALSE)</f>
        <v>CMQ_TTE - QUILMES TTE</v>
      </c>
    </row>
    <row r="211" spans="1:19" x14ac:dyDescent="0.3">
      <c r="A211" s="4">
        <v>30523</v>
      </c>
      <c r="B211" s="4" t="s">
        <v>28</v>
      </c>
      <c r="C211" s="4" t="s">
        <v>15</v>
      </c>
      <c r="D211" s="4" t="s">
        <v>16</v>
      </c>
      <c r="E211" s="4" t="s">
        <v>114</v>
      </c>
      <c r="F211" s="4" t="str">
        <f t="shared" si="3"/>
        <v>6MC</v>
      </c>
      <c r="G211" s="5">
        <v>46093</v>
      </c>
      <c r="H211" s="6">
        <v>0.51944444444444449</v>
      </c>
      <c r="I211" s="5">
        <v>46092</v>
      </c>
      <c r="J211" s="5">
        <v>46092</v>
      </c>
      <c r="K211" s="5">
        <v>46113</v>
      </c>
      <c r="L211" s="4" t="s">
        <v>164</v>
      </c>
      <c r="M211" s="4" t="s">
        <v>128</v>
      </c>
      <c r="N211" s="4" t="s">
        <v>21</v>
      </c>
      <c r="O211" s="4" t="s">
        <v>18</v>
      </c>
      <c r="P211" s="4">
        <v>26166</v>
      </c>
      <c r="Q211" s="4" t="s">
        <v>19</v>
      </c>
      <c r="R211" s="4">
        <v>38770</v>
      </c>
      <c r="S211" s="4" t="str">
        <f>VLOOKUP(L211&amp;TEXT(I211,"mmmm")&amp;YEAR(I211),'[1]Detalle C-Fecha'!$D$2:$E$15921,2,FALSE)</f>
        <v>CMQ_TTE - QUILMES TTE</v>
      </c>
    </row>
    <row r="212" spans="1:19" x14ac:dyDescent="0.3">
      <c r="A212" s="4">
        <v>30540</v>
      </c>
      <c r="B212" s="4" t="s">
        <v>28</v>
      </c>
      <c r="C212" s="4" t="s">
        <v>15</v>
      </c>
      <c r="D212" s="4" t="s">
        <v>16</v>
      </c>
      <c r="E212" s="4" t="s">
        <v>118</v>
      </c>
      <c r="F212" s="4" t="str">
        <f t="shared" si="3"/>
        <v>2ML</v>
      </c>
      <c r="G212" s="5">
        <v>46094</v>
      </c>
      <c r="H212" s="6">
        <v>0.32916666666666666</v>
      </c>
      <c r="I212" s="5">
        <v>46094</v>
      </c>
      <c r="J212" s="5">
        <v>46094</v>
      </c>
      <c r="K212" s="5">
        <v>46099</v>
      </c>
      <c r="L212" s="4" t="s">
        <v>165</v>
      </c>
      <c r="M212" s="4" t="s">
        <v>142</v>
      </c>
      <c r="N212" s="4" t="s">
        <v>21</v>
      </c>
      <c r="O212" s="4" t="s">
        <v>25</v>
      </c>
      <c r="P212" s="4">
        <v>26180</v>
      </c>
      <c r="Q212" s="4" t="s">
        <v>19</v>
      </c>
      <c r="R212" s="4">
        <v>37950</v>
      </c>
      <c r="S212" s="4" t="str">
        <f>VLOOKUP(L212&amp;TEXT(I212,"mmmm")&amp;YEAR(I212),'[1]Detalle C-Fecha'!$D$2:$E$15921,2,FALSE)</f>
        <v>Expreso - Servicios Troncales</v>
      </c>
    </row>
    <row r="213" spans="1:19" x14ac:dyDescent="0.3">
      <c r="A213" s="4">
        <v>30541</v>
      </c>
      <c r="B213" s="4" t="s">
        <v>28</v>
      </c>
      <c r="C213" s="4" t="s">
        <v>15</v>
      </c>
      <c r="D213" s="4" t="s">
        <v>16</v>
      </c>
      <c r="E213" s="4" t="s">
        <v>119</v>
      </c>
      <c r="F213" s="4" t="str">
        <f t="shared" si="3"/>
        <v>3ML</v>
      </c>
      <c r="G213" s="5">
        <v>46094</v>
      </c>
      <c r="H213" s="6">
        <v>0.32916666666666666</v>
      </c>
      <c r="I213" s="5">
        <v>46094</v>
      </c>
      <c r="J213" s="5">
        <v>46094</v>
      </c>
      <c r="K213" s="5">
        <v>46099</v>
      </c>
      <c r="L213" s="4" t="s">
        <v>165</v>
      </c>
      <c r="M213" s="4" t="s">
        <v>142</v>
      </c>
      <c r="N213" s="4" t="s">
        <v>21</v>
      </c>
      <c r="O213" s="4" t="s">
        <v>25</v>
      </c>
      <c r="P213" s="4">
        <v>26181</v>
      </c>
      <c r="Q213" s="4" t="s">
        <v>19</v>
      </c>
      <c r="R213" s="4">
        <v>37951</v>
      </c>
      <c r="S213" s="4" t="str">
        <f>VLOOKUP(L213&amp;TEXT(I213,"mmmm")&amp;YEAR(I213),'[1]Detalle C-Fecha'!$D$2:$E$15921,2,FALSE)</f>
        <v>Expreso - Servicios Troncales</v>
      </c>
    </row>
    <row r="214" spans="1:19" x14ac:dyDescent="0.3">
      <c r="A214" s="4">
        <v>30542</v>
      </c>
      <c r="B214" s="4" t="s">
        <v>28</v>
      </c>
      <c r="C214" s="4" t="s">
        <v>15</v>
      </c>
      <c r="D214" s="4" t="s">
        <v>16</v>
      </c>
      <c r="E214" s="4" t="s">
        <v>120</v>
      </c>
      <c r="F214" s="4" t="str">
        <f t="shared" si="3"/>
        <v>6ML</v>
      </c>
      <c r="G214" s="5">
        <v>46094</v>
      </c>
      <c r="H214" s="6">
        <v>0.32916666666666666</v>
      </c>
      <c r="I214" s="5">
        <v>46094</v>
      </c>
      <c r="J214" s="5">
        <v>46094</v>
      </c>
      <c r="K214" s="5">
        <v>46099</v>
      </c>
      <c r="L214" s="4" t="s">
        <v>165</v>
      </c>
      <c r="M214" s="4" t="s">
        <v>142</v>
      </c>
      <c r="N214" s="4" t="s">
        <v>21</v>
      </c>
      <c r="O214" s="4" t="s">
        <v>25</v>
      </c>
      <c r="P214" s="4">
        <v>26182</v>
      </c>
      <c r="Q214" s="4" t="s">
        <v>19</v>
      </c>
      <c r="R214" s="4">
        <v>37952</v>
      </c>
      <c r="S214" s="4" t="str">
        <f>VLOOKUP(L214&amp;TEXT(I214,"mmmm")&amp;YEAR(I214),'[1]Detalle C-Fecha'!$D$2:$E$15921,2,FALSE)</f>
        <v>Expreso - Servicios Troncales</v>
      </c>
    </row>
    <row r="215" spans="1:19" x14ac:dyDescent="0.3">
      <c r="A215" s="4">
        <v>30705</v>
      </c>
      <c r="B215" s="4" t="s">
        <v>28</v>
      </c>
      <c r="C215" s="4" t="s">
        <v>15</v>
      </c>
      <c r="D215" s="4" t="s">
        <v>16</v>
      </c>
      <c r="E215" s="4" t="s">
        <v>118</v>
      </c>
      <c r="F215" s="4" t="str">
        <f t="shared" si="3"/>
        <v>2ML</v>
      </c>
      <c r="G215" s="5">
        <v>46098</v>
      </c>
      <c r="H215" s="6">
        <v>0.42152777777777778</v>
      </c>
      <c r="I215" s="5">
        <v>46095</v>
      </c>
      <c r="J215" s="5">
        <v>46095</v>
      </c>
      <c r="K215" s="5">
        <v>46095</v>
      </c>
      <c r="L215" s="4" t="s">
        <v>166</v>
      </c>
      <c r="M215" s="4" t="s">
        <v>142</v>
      </c>
      <c r="N215" s="4" t="s">
        <v>17</v>
      </c>
      <c r="O215" s="4" t="s">
        <v>25</v>
      </c>
      <c r="P215" s="4">
        <v>26311</v>
      </c>
      <c r="Q215" s="4" t="s">
        <v>19</v>
      </c>
      <c r="R215" s="4">
        <v>38546</v>
      </c>
      <c r="S215" s="4" t="str">
        <f>VLOOKUP(L215&amp;TEXT(I215,"mmmm")&amp;YEAR(I215),'[1]Detalle C-Fecha'!$D$2:$E$15921,2,FALSE)</f>
        <v>Expreso - Servicios Troncales</v>
      </c>
    </row>
    <row r="216" spans="1:19" x14ac:dyDescent="0.3">
      <c r="A216" s="4">
        <v>30706</v>
      </c>
      <c r="B216" s="4" t="s">
        <v>28</v>
      </c>
      <c r="C216" s="4" t="s">
        <v>15</v>
      </c>
      <c r="D216" s="4" t="s">
        <v>16</v>
      </c>
      <c r="E216" s="4" t="s">
        <v>119</v>
      </c>
      <c r="F216" s="4" t="str">
        <f t="shared" si="3"/>
        <v>3ML</v>
      </c>
      <c r="G216" s="5">
        <v>46098</v>
      </c>
      <c r="H216" s="6">
        <v>0.42152777777777778</v>
      </c>
      <c r="I216" s="5">
        <v>46095</v>
      </c>
      <c r="J216" s="5">
        <v>46095</v>
      </c>
      <c r="K216" s="5">
        <v>46095</v>
      </c>
      <c r="L216" s="4" t="s">
        <v>166</v>
      </c>
      <c r="M216" s="4" t="s">
        <v>142</v>
      </c>
      <c r="N216" s="4" t="s">
        <v>17</v>
      </c>
      <c r="O216" s="4" t="s">
        <v>25</v>
      </c>
      <c r="P216" s="4">
        <v>26312</v>
      </c>
      <c r="Q216" s="4" t="s">
        <v>19</v>
      </c>
      <c r="R216" s="4">
        <v>38548</v>
      </c>
      <c r="S216" s="4" t="str">
        <f>VLOOKUP(L216&amp;TEXT(I216,"mmmm")&amp;YEAR(I216),'[1]Detalle C-Fecha'!$D$2:$E$15921,2,FALSE)</f>
        <v>Expreso - Servicios Troncales</v>
      </c>
    </row>
    <row r="217" spans="1:19" x14ac:dyDescent="0.3">
      <c r="A217" s="4">
        <v>30707</v>
      </c>
      <c r="B217" s="4" t="s">
        <v>28</v>
      </c>
      <c r="C217" s="4" t="s">
        <v>15</v>
      </c>
      <c r="D217" s="4" t="s">
        <v>16</v>
      </c>
      <c r="E217" s="4" t="s">
        <v>120</v>
      </c>
      <c r="F217" s="4" t="str">
        <f t="shared" si="3"/>
        <v>6ML</v>
      </c>
      <c r="G217" s="5">
        <v>46098</v>
      </c>
      <c r="H217" s="6">
        <v>0.42152777777777778</v>
      </c>
      <c r="I217" s="5">
        <v>46095</v>
      </c>
      <c r="J217" s="5">
        <v>46095</v>
      </c>
      <c r="K217" s="5">
        <v>46095</v>
      </c>
      <c r="L217" s="4" t="s">
        <v>166</v>
      </c>
      <c r="M217" s="4" t="s">
        <v>142</v>
      </c>
      <c r="N217" s="4" t="s">
        <v>17</v>
      </c>
      <c r="O217" s="4" t="s">
        <v>25</v>
      </c>
      <c r="P217" s="4">
        <v>26313</v>
      </c>
      <c r="Q217" s="4" t="s">
        <v>19</v>
      </c>
      <c r="R217" s="4">
        <v>38550</v>
      </c>
      <c r="S217" s="4" t="str">
        <f>VLOOKUP(L217&amp;TEXT(I217,"mmmm")&amp;YEAR(I217),'[1]Detalle C-Fecha'!$D$2:$E$15921,2,FALSE)</f>
        <v>Expreso - Servicios Troncales</v>
      </c>
    </row>
    <row r="218" spans="1:19" x14ac:dyDescent="0.3">
      <c r="A218" s="4">
        <v>30757</v>
      </c>
      <c r="B218" s="4" t="s">
        <v>28</v>
      </c>
      <c r="C218" s="4" t="s">
        <v>15</v>
      </c>
      <c r="D218" s="4" t="s">
        <v>16</v>
      </c>
      <c r="E218" s="4" t="s">
        <v>35</v>
      </c>
      <c r="F218" s="4" t="str">
        <f t="shared" si="3"/>
        <v>2ML</v>
      </c>
      <c r="G218" s="5">
        <v>46099</v>
      </c>
      <c r="H218" s="6">
        <v>0.58333333333333337</v>
      </c>
      <c r="I218" s="5">
        <v>46098</v>
      </c>
      <c r="J218" s="5">
        <v>46098</v>
      </c>
      <c r="K218" s="5">
        <v>46113</v>
      </c>
      <c r="L218" s="4" t="s">
        <v>167</v>
      </c>
      <c r="M218" s="4" t="s">
        <v>163</v>
      </c>
      <c r="N218" s="4" t="s">
        <v>21</v>
      </c>
      <c r="O218" s="4" t="s">
        <v>18</v>
      </c>
      <c r="P218" s="4">
        <v>26392</v>
      </c>
      <c r="Q218" s="4" t="s">
        <v>19</v>
      </c>
      <c r="R218" s="4">
        <v>38774</v>
      </c>
      <c r="S218" s="4" t="str">
        <f>VLOOKUP(L218&amp;TEXT(I218,"mmmm")&amp;YEAR(I218),'[1]Detalle C-Fecha'!$D$2:$E$15921,2,FALSE)</f>
        <v>CMQ_TTE - QUILMES TTE</v>
      </c>
    </row>
    <row r="219" spans="1:19" x14ac:dyDescent="0.3">
      <c r="A219" s="4">
        <v>30758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46099</v>
      </c>
      <c r="H219" s="6">
        <v>0.58333333333333337</v>
      </c>
      <c r="I219" s="5">
        <v>46098</v>
      </c>
      <c r="J219" s="5">
        <v>46098</v>
      </c>
      <c r="K219" s="5">
        <v>46118</v>
      </c>
      <c r="L219" s="4" t="s">
        <v>167</v>
      </c>
      <c r="M219" s="4" t="s">
        <v>163</v>
      </c>
      <c r="N219" s="4" t="s">
        <v>21</v>
      </c>
      <c r="O219" s="4" t="s">
        <v>18</v>
      </c>
      <c r="P219" s="4">
        <v>26393</v>
      </c>
      <c r="Q219" s="4" t="s">
        <v>19</v>
      </c>
      <c r="R219" s="4">
        <v>38981</v>
      </c>
      <c r="S219" s="4" t="str">
        <f>VLOOKUP(L219&amp;TEXT(I219,"mmmm")&amp;YEAR(I219),'[1]Detalle C-Fecha'!$D$2:$E$15921,2,FALSE)</f>
        <v>CMQ_TTE - QUILMES TTE</v>
      </c>
    </row>
    <row r="220" spans="1:19" x14ac:dyDescent="0.3">
      <c r="A220" s="4">
        <v>30759</v>
      </c>
      <c r="B220" s="4" t="s">
        <v>28</v>
      </c>
      <c r="C220" s="4" t="s">
        <v>15</v>
      </c>
      <c r="D220" s="4" t="s">
        <v>16</v>
      </c>
      <c r="E220" s="4" t="s">
        <v>46</v>
      </c>
      <c r="F220" s="4" t="str">
        <f t="shared" si="3"/>
        <v>6ML</v>
      </c>
      <c r="G220" s="5">
        <v>46099</v>
      </c>
      <c r="H220" s="6">
        <v>0.58333333333333337</v>
      </c>
      <c r="I220" s="5">
        <v>46098</v>
      </c>
      <c r="J220" s="5">
        <v>46098</v>
      </c>
      <c r="K220" s="5">
        <v>46113</v>
      </c>
      <c r="L220" s="4" t="s">
        <v>167</v>
      </c>
      <c r="M220" s="4" t="s">
        <v>163</v>
      </c>
      <c r="N220" s="4" t="s">
        <v>21</v>
      </c>
      <c r="O220" s="4" t="s">
        <v>18</v>
      </c>
      <c r="P220" s="4">
        <v>26394</v>
      </c>
      <c r="Q220" s="4" t="s">
        <v>19</v>
      </c>
      <c r="R220" s="4">
        <v>38775</v>
      </c>
      <c r="S220" s="4" t="str">
        <f>VLOOKUP(L220&amp;TEXT(I220,"mmmm")&amp;YEAR(I220),'[1]Detalle C-Fecha'!$D$2:$E$15921,2,FALSE)</f>
        <v>CMQ_TTE - QUILMES TTE</v>
      </c>
    </row>
    <row r="221" spans="1:19" x14ac:dyDescent="0.3">
      <c r="A221" s="4">
        <v>30954</v>
      </c>
      <c r="B221" s="4" t="s">
        <v>28</v>
      </c>
      <c r="C221" s="4" t="s">
        <v>15</v>
      </c>
      <c r="D221" s="4" t="s">
        <v>16</v>
      </c>
      <c r="E221" s="4" t="s">
        <v>121</v>
      </c>
      <c r="F221" s="4" t="str">
        <f t="shared" si="3"/>
        <v>2MC</v>
      </c>
      <c r="G221" s="5">
        <v>46104</v>
      </c>
      <c r="H221" s="6">
        <v>0.42569444444444443</v>
      </c>
      <c r="I221" s="5">
        <v>46104</v>
      </c>
      <c r="K221" s="5">
        <v>46118</v>
      </c>
      <c r="L221" s="4" t="s">
        <v>168</v>
      </c>
      <c r="M221" s="4">
        <v>1624</v>
      </c>
      <c r="N221" s="4" t="s">
        <v>21</v>
      </c>
      <c r="O221" s="4" t="s">
        <v>24</v>
      </c>
      <c r="P221" s="4">
        <v>26486</v>
      </c>
      <c r="Q221" s="4" t="s">
        <v>19</v>
      </c>
      <c r="R221" s="4">
        <v>38992</v>
      </c>
      <c r="S221" s="4" t="str">
        <f>VLOOKUP(L221&amp;TEXT(I221,"mmmm")&amp;YEAR(I221),'[1]Detalle C-Fecha'!$D$2:$E$15921,2,FALSE)</f>
        <v>CCUDyAZA</v>
      </c>
    </row>
    <row r="222" spans="1:19" x14ac:dyDescent="0.3">
      <c r="A222" s="4">
        <v>30955</v>
      </c>
      <c r="B222" s="4" t="s">
        <v>28</v>
      </c>
      <c r="C222" s="4" t="s">
        <v>15</v>
      </c>
      <c r="D222" s="4" t="s">
        <v>16</v>
      </c>
      <c r="E222" s="4" t="s">
        <v>53</v>
      </c>
      <c r="F222" s="4" t="str">
        <f t="shared" si="3"/>
        <v>3MC</v>
      </c>
      <c r="G222" s="5">
        <v>46104</v>
      </c>
      <c r="H222" s="6">
        <v>0.42569444444444443</v>
      </c>
      <c r="I222" s="5">
        <v>46104</v>
      </c>
      <c r="K222" s="5">
        <v>46111</v>
      </c>
      <c r="L222" s="4" t="s">
        <v>168</v>
      </c>
      <c r="M222" s="4">
        <v>1624</v>
      </c>
      <c r="N222" s="4" t="s">
        <v>21</v>
      </c>
      <c r="O222" s="4" t="s">
        <v>24</v>
      </c>
      <c r="P222" s="4">
        <v>26487</v>
      </c>
      <c r="Q222" s="4" t="s">
        <v>19</v>
      </c>
      <c r="R222" s="4">
        <v>38304</v>
      </c>
      <c r="S222" s="4" t="str">
        <f>VLOOKUP(L222&amp;TEXT(I222,"mmmm")&amp;YEAR(I222),'[1]Detalle C-Fecha'!$D$2:$E$15921,2,FALSE)</f>
        <v>CCUDyAZA</v>
      </c>
    </row>
    <row r="223" spans="1:19" x14ac:dyDescent="0.3">
      <c r="A223" s="4">
        <v>30956</v>
      </c>
      <c r="B223" s="4" t="s">
        <v>28</v>
      </c>
      <c r="C223" s="4" t="s">
        <v>15</v>
      </c>
      <c r="D223" s="4" t="s">
        <v>16</v>
      </c>
      <c r="E223" s="4" t="s">
        <v>111</v>
      </c>
      <c r="F223" s="4" t="str">
        <f t="shared" si="3"/>
        <v>6MC</v>
      </c>
      <c r="G223" s="5">
        <v>46104</v>
      </c>
      <c r="H223" s="6">
        <v>0.42569444444444443</v>
      </c>
      <c r="I223" s="5">
        <v>46104</v>
      </c>
      <c r="K223" s="5">
        <v>46118</v>
      </c>
      <c r="L223" s="4" t="s">
        <v>168</v>
      </c>
      <c r="M223" s="4">
        <v>1624</v>
      </c>
      <c r="N223" s="4" t="s">
        <v>21</v>
      </c>
      <c r="O223" s="4" t="s">
        <v>24</v>
      </c>
      <c r="P223" s="4">
        <v>26489</v>
      </c>
      <c r="Q223" s="4" t="s">
        <v>19</v>
      </c>
      <c r="R223" s="4">
        <v>38993</v>
      </c>
      <c r="S223" s="4" t="str">
        <f>VLOOKUP(L223&amp;TEXT(I223,"mmmm")&amp;YEAR(I223),'[1]Detalle C-Fecha'!$D$2:$E$15921,2,FALSE)</f>
        <v>CCUDyAZA</v>
      </c>
    </row>
    <row r="224" spans="1:19" x14ac:dyDescent="0.3">
      <c r="A224" s="4">
        <v>30967</v>
      </c>
      <c r="B224" s="4" t="s">
        <v>28</v>
      </c>
      <c r="C224" s="4" t="s">
        <v>15</v>
      </c>
      <c r="D224" s="4" t="s">
        <v>16</v>
      </c>
      <c r="E224" s="4" t="s">
        <v>115</v>
      </c>
      <c r="F224" s="4" t="str">
        <f t="shared" si="3"/>
        <v>2ML</v>
      </c>
      <c r="G224" s="5">
        <v>46104</v>
      </c>
      <c r="H224" s="6">
        <v>0.51111111111111118</v>
      </c>
      <c r="I224" s="5">
        <v>46102</v>
      </c>
      <c r="J224" s="5">
        <v>46102</v>
      </c>
      <c r="K224" s="5">
        <v>46113</v>
      </c>
      <c r="L224" s="4" t="s">
        <v>75</v>
      </c>
      <c r="M224" s="4" t="s">
        <v>129</v>
      </c>
      <c r="N224" s="4" t="s">
        <v>21</v>
      </c>
      <c r="O224" s="4" t="s">
        <v>24</v>
      </c>
      <c r="P224" s="4">
        <v>26510</v>
      </c>
      <c r="Q224" s="4" t="s">
        <v>19</v>
      </c>
      <c r="R224" s="4">
        <v>38783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30968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46104</v>
      </c>
      <c r="H225" s="6">
        <v>0.51111111111111118</v>
      </c>
      <c r="I225" s="5">
        <v>46102</v>
      </c>
      <c r="J225" s="5">
        <v>46102</v>
      </c>
      <c r="K225" s="5">
        <v>46113</v>
      </c>
      <c r="L225" s="4" t="s">
        <v>75</v>
      </c>
      <c r="M225" s="4" t="s">
        <v>129</v>
      </c>
      <c r="N225" s="4" t="s">
        <v>21</v>
      </c>
      <c r="O225" s="4" t="s">
        <v>24</v>
      </c>
      <c r="P225" s="4">
        <v>26511</v>
      </c>
      <c r="Q225" s="4" t="s">
        <v>19</v>
      </c>
      <c r="R225" s="4">
        <v>38784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30969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46104</v>
      </c>
      <c r="H226" s="6">
        <v>0.51111111111111118</v>
      </c>
      <c r="I226" s="5">
        <v>46102</v>
      </c>
      <c r="J226" s="5">
        <v>46102</v>
      </c>
      <c r="K226" s="5">
        <v>46113</v>
      </c>
      <c r="L226" s="4" t="s">
        <v>75</v>
      </c>
      <c r="M226" s="4" t="s">
        <v>129</v>
      </c>
      <c r="N226" s="4" t="s">
        <v>21</v>
      </c>
      <c r="O226" s="4" t="s">
        <v>24</v>
      </c>
      <c r="P226" s="4">
        <v>26512</v>
      </c>
      <c r="Q226" s="4" t="s">
        <v>19</v>
      </c>
      <c r="R226" s="4">
        <v>38785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31178</v>
      </c>
      <c r="B227" s="4" t="s">
        <v>28</v>
      </c>
      <c r="C227" s="4" t="s">
        <v>15</v>
      </c>
      <c r="D227" s="4" t="s">
        <v>16</v>
      </c>
      <c r="E227" s="4" t="s">
        <v>51</v>
      </c>
      <c r="F227" s="4" t="str">
        <f t="shared" si="3"/>
        <v>2MC</v>
      </c>
      <c r="G227" s="5">
        <v>46107</v>
      </c>
      <c r="H227" s="6">
        <v>0.69791666666666663</v>
      </c>
      <c r="I227" s="5">
        <v>46107</v>
      </c>
      <c r="J227" s="5">
        <v>46107</v>
      </c>
      <c r="K227" s="5">
        <v>46113</v>
      </c>
      <c r="L227" s="4" t="s">
        <v>169</v>
      </c>
      <c r="M227" s="4">
        <v>1318</v>
      </c>
      <c r="N227" s="4" t="s">
        <v>21</v>
      </c>
      <c r="O227" s="4" t="s">
        <v>27</v>
      </c>
      <c r="P227" s="4">
        <v>26701</v>
      </c>
      <c r="Q227" s="4" t="s">
        <v>19</v>
      </c>
      <c r="R227" s="4">
        <v>38795</v>
      </c>
      <c r="S227" s="4" t="str">
        <f>VLOOKUP(L227&amp;TEXT(I227,"mmmm")&amp;YEAR(I227),'[1]Detalle C-Fecha'!$D$2:$E$15921,2,FALSE)</f>
        <v>CCUCoAZA</v>
      </c>
    </row>
    <row r="228" spans="1:19" x14ac:dyDescent="0.3">
      <c r="A228" s="4">
        <v>31179</v>
      </c>
      <c r="B228" s="4" t="s">
        <v>28</v>
      </c>
      <c r="C228" s="4" t="s">
        <v>15</v>
      </c>
      <c r="D228" s="4" t="s">
        <v>16</v>
      </c>
      <c r="E228" s="4" t="s">
        <v>53</v>
      </c>
      <c r="F228" s="4" t="str">
        <f t="shared" si="3"/>
        <v>3MC</v>
      </c>
      <c r="G228" s="5">
        <v>46107</v>
      </c>
      <c r="H228" s="6">
        <v>0.69791666666666663</v>
      </c>
      <c r="I228" s="5">
        <v>46107</v>
      </c>
      <c r="J228" s="5">
        <v>46107</v>
      </c>
      <c r="K228" s="5">
        <v>46113</v>
      </c>
      <c r="L228" s="4" t="s">
        <v>169</v>
      </c>
      <c r="M228" s="4">
        <v>1318</v>
      </c>
      <c r="N228" s="4" t="s">
        <v>21</v>
      </c>
      <c r="O228" s="4" t="s">
        <v>27</v>
      </c>
      <c r="P228" s="4">
        <v>26702</v>
      </c>
      <c r="Q228" s="4" t="s">
        <v>19</v>
      </c>
      <c r="R228" s="4">
        <v>38796</v>
      </c>
      <c r="S228" s="4" t="str">
        <f>VLOOKUP(L228&amp;TEXT(I228,"mmmm")&amp;YEAR(I228),'[1]Detalle C-Fecha'!$D$2:$E$15921,2,FALSE)</f>
        <v>CCUCoAZA</v>
      </c>
    </row>
    <row r="229" spans="1:19" x14ac:dyDescent="0.3">
      <c r="A229" s="4">
        <v>31180</v>
      </c>
      <c r="B229" s="4" t="s">
        <v>28</v>
      </c>
      <c r="C229" s="4" t="s">
        <v>15</v>
      </c>
      <c r="D229" s="4" t="s">
        <v>16</v>
      </c>
      <c r="E229" s="4" t="s">
        <v>52</v>
      </c>
      <c r="F229" s="4" t="str">
        <f t="shared" si="3"/>
        <v>6MC</v>
      </c>
      <c r="G229" s="5">
        <v>46107</v>
      </c>
      <c r="H229" s="6">
        <v>0.69791666666666663</v>
      </c>
      <c r="I229" s="5">
        <v>46107</v>
      </c>
      <c r="J229" s="5">
        <v>46107</v>
      </c>
      <c r="K229" s="5">
        <v>46113</v>
      </c>
      <c r="L229" s="4" t="s">
        <v>169</v>
      </c>
      <c r="M229" s="4">
        <v>1318</v>
      </c>
      <c r="N229" s="4" t="s">
        <v>21</v>
      </c>
      <c r="O229" s="4" t="s">
        <v>27</v>
      </c>
      <c r="P229" s="4">
        <v>26703</v>
      </c>
      <c r="Q229" s="4" t="s">
        <v>19</v>
      </c>
      <c r="R229" s="4">
        <v>38797</v>
      </c>
      <c r="S229" s="4" t="str">
        <f>VLOOKUP(L229&amp;TEXT(I229,"mmmm")&amp;YEAR(I229),'[1]Detalle C-Fecha'!$D$2:$E$15921,2,FALSE)</f>
        <v>CCUCoAZA</v>
      </c>
    </row>
    <row r="230" spans="1:19" x14ac:dyDescent="0.3">
      <c r="A230" s="4">
        <v>31498</v>
      </c>
      <c r="B230" s="4" t="s">
        <v>28</v>
      </c>
      <c r="C230" s="4" t="s">
        <v>15</v>
      </c>
      <c r="D230" s="4" t="s">
        <v>16</v>
      </c>
      <c r="E230" s="4" t="s">
        <v>108</v>
      </c>
      <c r="F230" s="4" t="str">
        <f t="shared" si="3"/>
        <v>2MU</v>
      </c>
      <c r="G230" s="5">
        <v>46111</v>
      </c>
      <c r="H230" s="6">
        <v>0.34930555555555554</v>
      </c>
      <c r="I230" s="5">
        <v>46111</v>
      </c>
      <c r="K230" s="5">
        <v>46118</v>
      </c>
      <c r="L230" s="4" t="s">
        <v>170</v>
      </c>
      <c r="M230" s="4" t="s">
        <v>171</v>
      </c>
      <c r="N230" s="4" t="s">
        <v>21</v>
      </c>
      <c r="O230" s="4" t="s">
        <v>25</v>
      </c>
      <c r="P230" s="4">
        <v>26883</v>
      </c>
      <c r="Q230" s="4" t="s">
        <v>19</v>
      </c>
      <c r="R230" s="4">
        <v>39091</v>
      </c>
      <c r="S230" s="4" t="str">
        <f>VLOOKUP(L230&amp;TEXT(I230,"mmmm")&amp;YEAR(I230),'[1]Detalle C-Fecha'!$D$2:$E$15921,2,FALSE)</f>
        <v>SUC_CTC - Sucursal Buenos Aires</v>
      </c>
    </row>
    <row r="231" spans="1:19" x14ac:dyDescent="0.3">
      <c r="A231" s="4">
        <v>31499</v>
      </c>
      <c r="B231" s="4" t="s">
        <v>28</v>
      </c>
      <c r="C231" s="4" t="s">
        <v>15</v>
      </c>
      <c r="D231" s="4" t="s">
        <v>16</v>
      </c>
      <c r="E231" s="4" t="s">
        <v>109</v>
      </c>
      <c r="F231" s="4" t="str">
        <f t="shared" si="3"/>
        <v>3MU</v>
      </c>
      <c r="G231" s="5">
        <v>46111</v>
      </c>
      <c r="H231" s="6">
        <v>0.34930555555555554</v>
      </c>
      <c r="I231" s="5">
        <v>46111</v>
      </c>
      <c r="K231" s="5">
        <v>46118</v>
      </c>
      <c r="L231" s="4" t="s">
        <v>170</v>
      </c>
      <c r="M231" s="4" t="s">
        <v>171</v>
      </c>
      <c r="N231" s="4" t="s">
        <v>21</v>
      </c>
      <c r="O231" s="4" t="s">
        <v>25</v>
      </c>
      <c r="P231" s="4">
        <v>26884</v>
      </c>
      <c r="Q231" s="4" t="s">
        <v>19</v>
      </c>
      <c r="R231" s="4">
        <v>39092</v>
      </c>
      <c r="S231" s="4" t="str">
        <f>VLOOKUP(L231&amp;TEXT(I231,"mmmm")&amp;YEAR(I231),'[1]Detalle C-Fecha'!$D$2:$E$15921,2,FALSE)</f>
        <v>SUC_CTC - Sucursal Buenos Aires</v>
      </c>
    </row>
    <row r="232" spans="1:19" x14ac:dyDescent="0.3">
      <c r="A232" s="4">
        <v>31500</v>
      </c>
      <c r="B232" s="4" t="s">
        <v>28</v>
      </c>
      <c r="C232" s="4" t="s">
        <v>15</v>
      </c>
      <c r="D232" s="4" t="s">
        <v>16</v>
      </c>
      <c r="E232" s="4" t="s">
        <v>107</v>
      </c>
      <c r="F232" s="4" t="str">
        <f t="shared" si="3"/>
        <v>4MU</v>
      </c>
      <c r="G232" s="5">
        <v>46111</v>
      </c>
      <c r="H232" s="6">
        <v>0.34930555555555554</v>
      </c>
      <c r="I232" s="5">
        <v>46111</v>
      </c>
      <c r="K232" s="5">
        <v>46118</v>
      </c>
      <c r="L232" s="4" t="s">
        <v>170</v>
      </c>
      <c r="M232" s="4" t="s">
        <v>171</v>
      </c>
      <c r="N232" s="4" t="s">
        <v>21</v>
      </c>
      <c r="O232" s="4" t="s">
        <v>25</v>
      </c>
      <c r="P232" s="4">
        <v>26885</v>
      </c>
      <c r="Q232" s="4" t="s">
        <v>19</v>
      </c>
      <c r="R232" s="4">
        <v>39093</v>
      </c>
      <c r="S232" s="4" t="str">
        <f>VLOOKUP(L232&amp;TEXT(I232,"mmmm")&amp;YEAR(I232),'[1]Detalle C-Fecha'!$D$2:$E$15921,2,FALSE)</f>
        <v>SUC_CTC - Sucursal Buenos Aires</v>
      </c>
    </row>
    <row r="233" spans="1:19" x14ac:dyDescent="0.3">
      <c r="A233" s="4">
        <v>31501</v>
      </c>
      <c r="B233" s="4" t="s">
        <v>28</v>
      </c>
      <c r="C233" s="4" t="s">
        <v>15</v>
      </c>
      <c r="D233" s="4" t="s">
        <v>16</v>
      </c>
      <c r="E233" s="4" t="s">
        <v>110</v>
      </c>
      <c r="F233" s="4" t="str">
        <f t="shared" si="3"/>
        <v>5MU</v>
      </c>
      <c r="G233" s="5">
        <v>46111</v>
      </c>
      <c r="H233" s="6">
        <v>0.35000000000000003</v>
      </c>
      <c r="I233" s="5">
        <v>46111</v>
      </c>
      <c r="K233" s="5">
        <v>46118</v>
      </c>
      <c r="L233" s="4" t="s">
        <v>170</v>
      </c>
      <c r="M233" s="4" t="s">
        <v>171</v>
      </c>
      <c r="N233" s="4" t="s">
        <v>21</v>
      </c>
      <c r="O233" s="4" t="s">
        <v>25</v>
      </c>
      <c r="P233" s="4">
        <v>26886</v>
      </c>
      <c r="Q233" s="4" t="s">
        <v>19</v>
      </c>
      <c r="R233" s="4">
        <v>39094</v>
      </c>
      <c r="S233" s="4" t="str">
        <f>VLOOKUP(L233&amp;TEXT(I233,"mmmm")&amp;YEAR(I233),'[1]Detalle C-Fecha'!$D$2:$E$15921,2,FALSE)</f>
        <v>SUC_CTC - Sucursal Buenos Aires</v>
      </c>
    </row>
    <row r="234" spans="1:19" x14ac:dyDescent="0.3">
      <c r="A234" s="4">
        <v>31526</v>
      </c>
      <c r="B234" s="4" t="s">
        <v>28</v>
      </c>
      <c r="C234" s="4" t="s">
        <v>15</v>
      </c>
      <c r="D234" s="4" t="s">
        <v>16</v>
      </c>
      <c r="E234" s="4" t="s">
        <v>35</v>
      </c>
      <c r="F234" s="4" t="str">
        <f t="shared" si="3"/>
        <v>2ML</v>
      </c>
      <c r="G234" s="5">
        <v>46111</v>
      </c>
      <c r="H234" s="6">
        <v>0.67638888888888893</v>
      </c>
      <c r="I234" s="5">
        <v>46111</v>
      </c>
      <c r="J234" s="5">
        <v>46111</v>
      </c>
      <c r="K234" s="5">
        <v>46111</v>
      </c>
      <c r="L234" s="4" t="s">
        <v>173</v>
      </c>
      <c r="M234" s="4" t="s">
        <v>146</v>
      </c>
      <c r="N234" s="4" t="s">
        <v>17</v>
      </c>
      <c r="O234" s="4" t="s">
        <v>24</v>
      </c>
      <c r="P234" s="4">
        <v>26943</v>
      </c>
      <c r="Q234" s="4" t="s">
        <v>19</v>
      </c>
      <c r="R234" s="4">
        <v>38737</v>
      </c>
      <c r="S234" s="4" t="str">
        <f>VLOOKUP(L234&amp;TEXT(I234,"mmmm")&amp;YEAR(I234),'[1]Detalle C-Fecha'!$D$2:$E$15921,2,FALSE)</f>
        <v>CENCOMLD - Cencosud SA - Mendoza</v>
      </c>
    </row>
    <row r="235" spans="1:19" x14ac:dyDescent="0.3">
      <c r="A235" s="4">
        <v>31527</v>
      </c>
      <c r="B235" s="4" t="s">
        <v>28</v>
      </c>
      <c r="C235" s="4" t="s">
        <v>15</v>
      </c>
      <c r="D235" s="4" t="s">
        <v>16</v>
      </c>
      <c r="E235" s="4" t="s">
        <v>47</v>
      </c>
      <c r="F235" s="4" t="str">
        <f t="shared" si="3"/>
        <v>3ML</v>
      </c>
      <c r="G235" s="5">
        <v>46111</v>
      </c>
      <c r="H235" s="6">
        <v>0.67638888888888893</v>
      </c>
      <c r="I235" s="5">
        <v>46111</v>
      </c>
      <c r="J235" s="5">
        <v>46111</v>
      </c>
      <c r="K235" s="5">
        <v>46111</v>
      </c>
      <c r="L235" s="4" t="s">
        <v>173</v>
      </c>
      <c r="M235" s="4" t="s">
        <v>146</v>
      </c>
      <c r="N235" s="4" t="s">
        <v>17</v>
      </c>
      <c r="O235" s="4" t="s">
        <v>24</v>
      </c>
      <c r="P235" s="4">
        <v>26944</v>
      </c>
      <c r="Q235" s="4" t="s">
        <v>19</v>
      </c>
      <c r="R235" s="4">
        <v>38739</v>
      </c>
      <c r="S235" s="4" t="str">
        <f>VLOOKUP(L235&amp;TEXT(I235,"mmmm")&amp;YEAR(I235),'[1]Detalle C-Fecha'!$D$2:$E$15921,2,FALSE)</f>
        <v>CENCOMLD - Cencosud SA - Mendoza</v>
      </c>
    </row>
    <row r="236" spans="1:19" x14ac:dyDescent="0.3">
      <c r="A236" s="4">
        <v>31528</v>
      </c>
      <c r="B236" s="4" t="s">
        <v>28</v>
      </c>
      <c r="C236" s="4" t="s">
        <v>15</v>
      </c>
      <c r="D236" s="4" t="s">
        <v>16</v>
      </c>
      <c r="E236" s="4" t="s">
        <v>46</v>
      </c>
      <c r="F236" s="4" t="str">
        <f t="shared" si="3"/>
        <v>6ML</v>
      </c>
      <c r="G236" s="5">
        <v>46111</v>
      </c>
      <c r="H236" s="6">
        <v>0.67638888888888893</v>
      </c>
      <c r="I236" s="5">
        <v>46111</v>
      </c>
      <c r="J236" s="5">
        <v>46111</v>
      </c>
      <c r="K236" s="5">
        <v>46111</v>
      </c>
      <c r="L236" s="4" t="s">
        <v>173</v>
      </c>
      <c r="M236" s="4" t="s">
        <v>146</v>
      </c>
      <c r="N236" s="4" t="s">
        <v>17</v>
      </c>
      <c r="O236" s="4" t="s">
        <v>24</v>
      </c>
      <c r="P236" s="4">
        <v>26945</v>
      </c>
      <c r="Q236" s="4" t="s">
        <v>19</v>
      </c>
      <c r="R236" s="4">
        <v>38741</v>
      </c>
      <c r="S236" s="4" t="str">
        <f>VLOOKUP(L236&amp;TEXT(I236,"mmmm")&amp;YEAR(I236),'[1]Detalle C-Fecha'!$D$2:$E$15921,2,FALSE)</f>
        <v>CENCOMLD - Cencosud SA - Mendoza</v>
      </c>
    </row>
    <row r="237" spans="1:19" x14ac:dyDescent="0.3">
      <c r="A237" s="4">
        <v>31529</v>
      </c>
      <c r="B237" s="4" t="s">
        <v>28</v>
      </c>
      <c r="C237" s="4" t="s">
        <v>15</v>
      </c>
      <c r="D237" s="4" t="s">
        <v>16</v>
      </c>
      <c r="E237" s="4" t="s">
        <v>110</v>
      </c>
      <c r="F237" s="4" t="str">
        <f t="shared" si="3"/>
        <v>5MU</v>
      </c>
      <c r="G237" s="5">
        <v>46111</v>
      </c>
      <c r="H237" s="6">
        <v>0.67638888888888893</v>
      </c>
      <c r="I237" s="5">
        <v>46111</v>
      </c>
      <c r="J237" s="5">
        <v>46111</v>
      </c>
      <c r="K237" s="5">
        <v>46111</v>
      </c>
      <c r="L237" s="4" t="s">
        <v>173</v>
      </c>
      <c r="M237" s="4" t="s">
        <v>146</v>
      </c>
      <c r="N237" s="4" t="s">
        <v>17</v>
      </c>
      <c r="O237" s="4" t="s">
        <v>24</v>
      </c>
      <c r="P237" s="4">
        <v>26946</v>
      </c>
      <c r="Q237" s="4" t="s">
        <v>19</v>
      </c>
      <c r="R237" s="4">
        <v>38743</v>
      </c>
      <c r="S237" s="4" t="str">
        <f>VLOOKUP(L237&amp;TEXT(I237,"mmmm")&amp;YEAR(I237),'[1]Detalle C-Fecha'!$D$2:$E$15921,2,FALSE)</f>
        <v>CENCOMLD - Cencosud SA - Mendoza</v>
      </c>
    </row>
    <row r="238" spans="1:19" x14ac:dyDescent="0.3">
      <c r="A238" s="4">
        <v>31706</v>
      </c>
      <c r="B238" s="4" t="s">
        <v>28</v>
      </c>
      <c r="C238" s="4" t="s">
        <v>15</v>
      </c>
      <c r="D238" s="4" t="s">
        <v>16</v>
      </c>
      <c r="E238" s="4" t="s">
        <v>51</v>
      </c>
      <c r="F238" s="4" t="str">
        <f t="shared" si="3"/>
        <v>2MC</v>
      </c>
      <c r="G238" s="5">
        <v>46113</v>
      </c>
      <c r="H238" s="6">
        <v>0.8652777777777777</v>
      </c>
      <c r="I238" s="5">
        <v>46113</v>
      </c>
      <c r="J238" s="5">
        <v>46113</v>
      </c>
      <c r="K238" s="5">
        <v>46118</v>
      </c>
      <c r="L238" s="4" t="s">
        <v>174</v>
      </c>
      <c r="M238" s="4" t="s">
        <v>130</v>
      </c>
      <c r="N238" s="4" t="s">
        <v>21</v>
      </c>
      <c r="O238" s="4" t="s">
        <v>27</v>
      </c>
      <c r="P238" s="4">
        <v>27026</v>
      </c>
      <c r="Q238" s="4" t="s">
        <v>19</v>
      </c>
      <c r="R238" s="4">
        <v>39216</v>
      </c>
      <c r="S238" s="4" t="str">
        <f>VLOOKUP(L238&amp;TEXT(I238,"mmmm")&amp;YEAR(I238),'[1]Detalle C-Fecha'!$D$2:$E$15921,2,FALSE)</f>
        <v>CCUCoAZA</v>
      </c>
    </row>
    <row r="239" spans="1:19" x14ac:dyDescent="0.3">
      <c r="A239" s="4">
        <v>31707</v>
      </c>
      <c r="B239" s="4" t="s">
        <v>28</v>
      </c>
      <c r="C239" s="4" t="s">
        <v>15</v>
      </c>
      <c r="D239" s="4" t="s">
        <v>16</v>
      </c>
      <c r="E239" s="4" t="s">
        <v>53</v>
      </c>
      <c r="F239" s="4" t="str">
        <f t="shared" si="3"/>
        <v>3MC</v>
      </c>
      <c r="G239" s="5">
        <v>46113</v>
      </c>
      <c r="H239" s="6">
        <v>0.8652777777777777</v>
      </c>
      <c r="I239" s="5">
        <v>46113</v>
      </c>
      <c r="J239" s="5">
        <v>46113</v>
      </c>
      <c r="K239" s="5">
        <v>46118</v>
      </c>
      <c r="L239" s="4" t="s">
        <v>174</v>
      </c>
      <c r="M239" s="4" t="s">
        <v>130</v>
      </c>
      <c r="N239" s="4" t="s">
        <v>21</v>
      </c>
      <c r="O239" s="4" t="s">
        <v>27</v>
      </c>
      <c r="P239" s="4">
        <v>27027</v>
      </c>
      <c r="Q239" s="4" t="s">
        <v>19</v>
      </c>
      <c r="R239" s="4">
        <v>39217</v>
      </c>
      <c r="S239" s="4" t="str">
        <f>VLOOKUP(L239&amp;TEXT(I239,"mmmm")&amp;YEAR(I239),'[1]Detalle C-Fecha'!$D$2:$E$15921,2,FALSE)</f>
        <v>CCUCoAZA</v>
      </c>
    </row>
    <row r="240" spans="1:19" x14ac:dyDescent="0.3">
      <c r="A240" s="4">
        <v>31708</v>
      </c>
      <c r="B240" s="4" t="s">
        <v>28</v>
      </c>
      <c r="C240" s="4" t="s">
        <v>15</v>
      </c>
      <c r="D240" s="4" t="s">
        <v>16</v>
      </c>
      <c r="E240" s="4" t="s">
        <v>52</v>
      </c>
      <c r="F240" s="4" t="str">
        <f t="shared" si="3"/>
        <v>6MC</v>
      </c>
      <c r="G240" s="5">
        <v>46113</v>
      </c>
      <c r="H240" s="6">
        <v>0.8652777777777777</v>
      </c>
      <c r="I240" s="5">
        <v>46113</v>
      </c>
      <c r="J240" s="5">
        <v>46113</v>
      </c>
      <c r="K240" s="5">
        <v>46118</v>
      </c>
      <c r="L240" s="4" t="s">
        <v>174</v>
      </c>
      <c r="M240" s="4" t="s">
        <v>130</v>
      </c>
      <c r="N240" s="4" t="s">
        <v>21</v>
      </c>
      <c r="O240" s="4" t="s">
        <v>27</v>
      </c>
      <c r="P240" s="4">
        <v>27028</v>
      </c>
      <c r="Q240" s="4" t="s">
        <v>19</v>
      </c>
      <c r="R240" s="4">
        <v>39218</v>
      </c>
      <c r="S240" s="4" t="str">
        <f>VLOOKUP(L240&amp;TEXT(I240,"mmmm")&amp;YEAR(I240),'[1]Detalle C-Fecha'!$D$2:$E$15921,2,FALSE)</f>
        <v>CCUCoAZA</v>
      </c>
    </row>
    <row r="241" spans="1:19" x14ac:dyDescent="0.3">
      <c r="A241" s="4">
        <v>31746</v>
      </c>
      <c r="B241" s="4" t="s">
        <v>28</v>
      </c>
      <c r="C241" s="4" t="s">
        <v>15</v>
      </c>
      <c r="D241" s="4" t="s">
        <v>16</v>
      </c>
      <c r="E241" s="4" t="s">
        <v>35</v>
      </c>
      <c r="F241" s="4" t="str">
        <f t="shared" si="3"/>
        <v>2ML</v>
      </c>
      <c r="G241" s="5">
        <v>46118</v>
      </c>
      <c r="H241" s="6">
        <v>0.60486111111111118</v>
      </c>
      <c r="I241" s="5">
        <v>46118</v>
      </c>
      <c r="J241" s="5">
        <v>46118</v>
      </c>
      <c r="K241" s="5">
        <v>46118</v>
      </c>
      <c r="L241" s="4" t="s">
        <v>29</v>
      </c>
      <c r="M241" s="4" t="s">
        <v>142</v>
      </c>
      <c r="N241" s="4" t="s">
        <v>31</v>
      </c>
      <c r="O241" s="4" t="s">
        <v>25</v>
      </c>
      <c r="P241" s="4">
        <v>27054</v>
      </c>
      <c r="Q241" s="4" t="s">
        <v>19</v>
      </c>
      <c r="R241" s="4">
        <v>40266</v>
      </c>
      <c r="S241" s="4" t="str">
        <f>VLOOKUP(L241&amp;TEXT(I241,"mmmm")&amp;YEAR(I241),'[1]Detalle C-Fecha'!$D$2:$E$15921,2,FALSE)</f>
        <v>Expreso - Servicios Troncales</v>
      </c>
    </row>
    <row r="242" spans="1:19" x14ac:dyDescent="0.3">
      <c r="A242" s="4">
        <v>31747</v>
      </c>
      <c r="B242" s="4" t="s">
        <v>28</v>
      </c>
      <c r="C242" s="4" t="s">
        <v>15</v>
      </c>
      <c r="D242" s="4" t="s">
        <v>16</v>
      </c>
      <c r="E242" s="4" t="s">
        <v>47</v>
      </c>
      <c r="F242" s="4" t="str">
        <f t="shared" si="3"/>
        <v>3ML</v>
      </c>
      <c r="G242" s="5">
        <v>46118</v>
      </c>
      <c r="H242" s="6">
        <v>0.60486111111111118</v>
      </c>
      <c r="I242" s="5">
        <v>46118</v>
      </c>
      <c r="J242" s="5">
        <v>46118</v>
      </c>
      <c r="K242" s="5">
        <v>46118</v>
      </c>
      <c r="L242" s="4" t="s">
        <v>29</v>
      </c>
      <c r="M242" s="4" t="s">
        <v>142</v>
      </c>
      <c r="N242" s="4" t="s">
        <v>31</v>
      </c>
      <c r="O242" s="4" t="s">
        <v>25</v>
      </c>
      <c r="P242" s="4">
        <v>27053</v>
      </c>
      <c r="Q242" s="4" t="s">
        <v>19</v>
      </c>
      <c r="R242" s="4">
        <v>39447</v>
      </c>
      <c r="S242" s="4" t="str">
        <f>VLOOKUP(L242&amp;TEXT(I242,"mmmm")&amp;YEAR(I242),'[1]Detalle C-Fecha'!$D$2:$E$15921,2,FALSE)</f>
        <v>Expreso - Servicios Troncales</v>
      </c>
    </row>
    <row r="243" spans="1:19" x14ac:dyDescent="0.3">
      <c r="A243" s="4">
        <v>31748</v>
      </c>
      <c r="B243" s="4" t="s">
        <v>28</v>
      </c>
      <c r="C243" s="4" t="s">
        <v>15</v>
      </c>
      <c r="D243" s="4" t="s">
        <v>16</v>
      </c>
      <c r="E243" s="4" t="s">
        <v>137</v>
      </c>
      <c r="F243" s="4" t="str">
        <f t="shared" si="3"/>
        <v>7ML</v>
      </c>
      <c r="G243" s="5">
        <v>46118</v>
      </c>
      <c r="H243" s="6">
        <v>0.60486111111111118</v>
      </c>
      <c r="I243" s="5">
        <v>46118</v>
      </c>
      <c r="J243" s="5">
        <v>46118</v>
      </c>
      <c r="K243" s="5">
        <v>46118</v>
      </c>
      <c r="L243" s="4" t="s">
        <v>29</v>
      </c>
      <c r="M243" s="4" t="s">
        <v>142</v>
      </c>
      <c r="N243" s="4" t="s">
        <v>31</v>
      </c>
      <c r="O243" s="4" t="s">
        <v>25</v>
      </c>
      <c r="P243" s="4">
        <v>27052</v>
      </c>
      <c r="Q243" s="4" t="s">
        <v>19</v>
      </c>
      <c r="R243" s="4">
        <v>39459</v>
      </c>
      <c r="S243" s="4" t="str">
        <f>VLOOKUP(L243&amp;TEXT(I243,"mmmm")&amp;YEAR(I243),'[1]Detalle C-Fecha'!$D$2:$E$15921,2,FALSE)</f>
        <v>Expreso - Servicios Troncales</v>
      </c>
    </row>
    <row r="244" spans="1:19" x14ac:dyDescent="0.3">
      <c r="A244" s="4">
        <v>31749</v>
      </c>
      <c r="B244" s="4" t="s">
        <v>28</v>
      </c>
      <c r="C244" s="4" t="s">
        <v>15</v>
      </c>
      <c r="D244" s="4" t="s">
        <v>16</v>
      </c>
      <c r="E244" s="4" t="s">
        <v>46</v>
      </c>
      <c r="F244" s="4" t="str">
        <f t="shared" si="3"/>
        <v>6ML</v>
      </c>
      <c r="G244" s="5">
        <v>46118</v>
      </c>
      <c r="H244" s="6">
        <v>0.60486111111111118</v>
      </c>
      <c r="I244" s="5">
        <v>46118</v>
      </c>
      <c r="J244" s="5">
        <v>46118</v>
      </c>
      <c r="K244" s="5">
        <v>46118</v>
      </c>
      <c r="L244" s="4" t="s">
        <v>29</v>
      </c>
      <c r="M244" s="4" t="s">
        <v>142</v>
      </c>
      <c r="N244" s="4" t="s">
        <v>31</v>
      </c>
      <c r="O244" s="4" t="s">
        <v>25</v>
      </c>
      <c r="P244" s="4">
        <v>27051</v>
      </c>
      <c r="Q244" s="4" t="s">
        <v>19</v>
      </c>
      <c r="R244" s="4">
        <v>39457</v>
      </c>
      <c r="S244" s="4" t="str">
        <f>VLOOKUP(L244&amp;TEXT(I244,"mmmm")&amp;YEAR(I244),'[1]Detalle C-Fecha'!$D$2:$E$15921,2,FALSE)</f>
        <v>Expreso - Servicios Troncales</v>
      </c>
    </row>
    <row r="245" spans="1:19" x14ac:dyDescent="0.3">
      <c r="A245" s="4">
        <v>31919</v>
      </c>
      <c r="B245" s="4" t="s">
        <v>28</v>
      </c>
      <c r="C245" s="4" t="s">
        <v>15</v>
      </c>
      <c r="D245" s="4" t="s">
        <v>16</v>
      </c>
      <c r="E245" s="4" t="s">
        <v>35</v>
      </c>
      <c r="F245" s="4" t="str">
        <f t="shared" si="3"/>
        <v>2ML</v>
      </c>
      <c r="G245" s="5">
        <v>46121</v>
      </c>
      <c r="H245" s="6">
        <v>0.33611111111111108</v>
      </c>
      <c r="I245" s="5">
        <v>46121</v>
      </c>
      <c r="J245" s="5">
        <v>46121</v>
      </c>
      <c r="K245" s="5">
        <v>46121</v>
      </c>
      <c r="L245" s="4" t="s">
        <v>175</v>
      </c>
      <c r="M245" s="4" t="s">
        <v>146</v>
      </c>
      <c r="N245" s="4" t="s">
        <v>21</v>
      </c>
      <c r="O245" s="4" t="s">
        <v>24</v>
      </c>
      <c r="P245" s="4">
        <v>27219</v>
      </c>
      <c r="Q245" s="4" t="s">
        <v>19</v>
      </c>
      <c r="R245" s="4">
        <v>39464</v>
      </c>
      <c r="S245" s="4" t="str">
        <f>VLOOKUP(L245&amp;TEXT(I245,"mmmm")&amp;YEAR(I245),'[1]Detalle C-Fecha'!$D$2:$E$15921,2,FALSE)</f>
        <v>ADA_CH - Danone Arg. S.A. - Chascomus</v>
      </c>
    </row>
    <row r="246" spans="1:19" x14ac:dyDescent="0.3">
      <c r="A246" s="4">
        <v>31920</v>
      </c>
      <c r="B246" s="4" t="s">
        <v>28</v>
      </c>
      <c r="C246" s="4" t="s">
        <v>15</v>
      </c>
      <c r="D246" s="4" t="s">
        <v>16</v>
      </c>
      <c r="E246" s="4" t="s">
        <v>47</v>
      </c>
      <c r="F246" s="4" t="str">
        <f t="shared" si="3"/>
        <v>3ML</v>
      </c>
      <c r="G246" s="5">
        <v>46121</v>
      </c>
      <c r="H246" s="6">
        <v>0.33611111111111108</v>
      </c>
      <c r="I246" s="5">
        <v>46121</v>
      </c>
      <c r="J246" s="5">
        <v>46121</v>
      </c>
      <c r="K246" s="5">
        <v>46121</v>
      </c>
      <c r="L246" s="4" t="s">
        <v>175</v>
      </c>
      <c r="M246" s="4" t="s">
        <v>146</v>
      </c>
      <c r="N246" s="4" t="s">
        <v>21</v>
      </c>
      <c r="O246" s="4" t="s">
        <v>24</v>
      </c>
      <c r="P246" s="4">
        <v>27220</v>
      </c>
      <c r="Q246" s="4" t="s">
        <v>19</v>
      </c>
      <c r="R246" s="4">
        <v>39465</v>
      </c>
      <c r="S246" s="4" t="str">
        <f>VLOOKUP(L246&amp;TEXT(I246,"mmmm")&amp;YEAR(I246),'[1]Detalle C-Fecha'!$D$2:$E$15921,2,FALSE)</f>
        <v>ADA_CH - Danone Arg. S.A. - Chascomus</v>
      </c>
    </row>
    <row r="247" spans="1:19" x14ac:dyDescent="0.3">
      <c r="A247" s="4">
        <v>31921</v>
      </c>
      <c r="B247" s="4" t="s">
        <v>28</v>
      </c>
      <c r="C247" s="4" t="s">
        <v>15</v>
      </c>
      <c r="D247" s="4" t="s">
        <v>16</v>
      </c>
      <c r="E247" s="4" t="s">
        <v>46</v>
      </c>
      <c r="F247" s="4" t="str">
        <f t="shared" si="3"/>
        <v>6ML</v>
      </c>
      <c r="G247" s="5">
        <v>46121</v>
      </c>
      <c r="H247" s="6">
        <v>0.33611111111111108</v>
      </c>
      <c r="I247" s="5">
        <v>46121</v>
      </c>
      <c r="J247" s="5">
        <v>46121</v>
      </c>
      <c r="K247" s="5">
        <v>46121</v>
      </c>
      <c r="L247" s="4" t="s">
        <v>175</v>
      </c>
      <c r="M247" s="4" t="s">
        <v>146</v>
      </c>
      <c r="N247" s="4" t="s">
        <v>21</v>
      </c>
      <c r="O247" s="4" t="s">
        <v>24</v>
      </c>
      <c r="P247" s="4">
        <v>27221</v>
      </c>
      <c r="Q247" s="4" t="s">
        <v>19</v>
      </c>
      <c r="R247" s="4">
        <v>39466</v>
      </c>
      <c r="S247" s="4" t="str">
        <f>VLOOKUP(L247&amp;TEXT(I247,"mmmm")&amp;YEAR(I247),'[1]Detalle C-Fecha'!$D$2:$E$15921,2,FALSE)</f>
        <v>ADA_CH - Danone Arg. S.A. - Chascomus</v>
      </c>
    </row>
    <row r="248" spans="1:19" x14ac:dyDescent="0.3">
      <c r="A248" s="4">
        <v>32061</v>
      </c>
      <c r="B248" s="4" t="s">
        <v>28</v>
      </c>
      <c r="C248" s="4" t="s">
        <v>15</v>
      </c>
      <c r="D248" s="4" t="s">
        <v>16</v>
      </c>
      <c r="E248" s="4" t="s">
        <v>51</v>
      </c>
      <c r="F248" s="4" t="str">
        <f t="shared" si="3"/>
        <v>2MC</v>
      </c>
      <c r="G248" s="5">
        <v>46122</v>
      </c>
      <c r="H248" s="6">
        <v>0.80347222222222225</v>
      </c>
      <c r="I248" s="5">
        <v>46122</v>
      </c>
      <c r="J248" s="5">
        <v>46122</v>
      </c>
      <c r="K248" s="5">
        <v>46122</v>
      </c>
      <c r="L248" s="4" t="s">
        <v>176</v>
      </c>
      <c r="M248" s="4" t="s">
        <v>130</v>
      </c>
      <c r="N248" s="4" t="s">
        <v>21</v>
      </c>
      <c r="O248" s="4" t="s">
        <v>24</v>
      </c>
      <c r="P248" s="4">
        <v>27322</v>
      </c>
      <c r="Q248" s="4" t="s">
        <v>19</v>
      </c>
      <c r="R248" s="4">
        <v>39528</v>
      </c>
      <c r="S248" s="4" t="str">
        <f>VLOOKUP(L248&amp;TEXT(I248,"mmmm")&amp;YEAR(I248),'[1]Detalle C-Fecha'!$D$2:$E$15921,2,FALSE)</f>
        <v>CCUDyAZA</v>
      </c>
    </row>
    <row r="249" spans="1:19" x14ac:dyDescent="0.3">
      <c r="A249" s="4">
        <v>32062</v>
      </c>
      <c r="B249" s="4" t="s">
        <v>28</v>
      </c>
      <c r="C249" s="4" t="s">
        <v>15</v>
      </c>
      <c r="D249" s="4" t="s">
        <v>16</v>
      </c>
      <c r="E249" s="4" t="s">
        <v>53</v>
      </c>
      <c r="F249" s="4" t="str">
        <f t="shared" si="3"/>
        <v>3MC</v>
      </c>
      <c r="G249" s="5">
        <v>46122</v>
      </c>
      <c r="H249" s="6">
        <v>0.80347222222222225</v>
      </c>
      <c r="I249" s="5">
        <v>46122</v>
      </c>
      <c r="J249" s="5">
        <v>46122</v>
      </c>
      <c r="K249" s="5">
        <v>46122</v>
      </c>
      <c r="L249" s="4" t="s">
        <v>176</v>
      </c>
      <c r="M249" s="4" t="s">
        <v>130</v>
      </c>
      <c r="N249" s="4" t="s">
        <v>21</v>
      </c>
      <c r="O249" s="4" t="s">
        <v>24</v>
      </c>
      <c r="P249" s="4">
        <v>27323</v>
      </c>
      <c r="Q249" s="4" t="s">
        <v>19</v>
      </c>
      <c r="R249" s="4">
        <v>39529</v>
      </c>
      <c r="S249" s="4" t="str">
        <f>VLOOKUP(L249&amp;TEXT(I249,"mmmm")&amp;YEAR(I249),'[1]Detalle C-Fecha'!$D$2:$E$15921,2,FALSE)</f>
        <v>CCUDyAZA</v>
      </c>
    </row>
    <row r="250" spans="1:19" x14ac:dyDescent="0.3">
      <c r="A250" s="4">
        <v>32063</v>
      </c>
      <c r="B250" s="4" t="s">
        <v>28</v>
      </c>
      <c r="C250" s="4" t="s">
        <v>15</v>
      </c>
      <c r="D250" s="4" t="s">
        <v>16</v>
      </c>
      <c r="E250" s="4" t="s">
        <v>52</v>
      </c>
      <c r="F250" s="4" t="str">
        <f t="shared" si="3"/>
        <v>6MC</v>
      </c>
      <c r="G250" s="5">
        <v>46122</v>
      </c>
      <c r="H250" s="6">
        <v>0.80347222222222225</v>
      </c>
      <c r="I250" s="5">
        <v>46122</v>
      </c>
      <c r="J250" s="5">
        <v>46122</v>
      </c>
      <c r="K250" s="5">
        <v>46122</v>
      </c>
      <c r="L250" s="4" t="s">
        <v>176</v>
      </c>
      <c r="M250" s="4" t="s">
        <v>130</v>
      </c>
      <c r="N250" s="4" t="s">
        <v>21</v>
      </c>
      <c r="O250" s="4" t="s">
        <v>24</v>
      </c>
      <c r="P250" s="4">
        <v>27324</v>
      </c>
      <c r="Q250" s="4" t="s">
        <v>19</v>
      </c>
      <c r="R250" s="4">
        <v>39530</v>
      </c>
      <c r="S250" s="4" t="str">
        <f>VLOOKUP(L250&amp;TEXT(I250,"mmmm")&amp;YEAR(I250),'[1]Detalle C-Fecha'!$D$2:$E$15921,2,FALSE)</f>
        <v>CCUDyAZA</v>
      </c>
    </row>
    <row r="251" spans="1:19" x14ac:dyDescent="0.3">
      <c r="A251" s="4">
        <v>32066</v>
      </c>
      <c r="B251" s="4" t="s">
        <v>28</v>
      </c>
      <c r="C251" s="4" t="s">
        <v>15</v>
      </c>
      <c r="D251" s="4" t="s">
        <v>16</v>
      </c>
      <c r="E251" s="4" t="s">
        <v>51</v>
      </c>
      <c r="F251" s="4" t="str">
        <f t="shared" si="3"/>
        <v>2MC</v>
      </c>
      <c r="G251" s="5">
        <v>46122</v>
      </c>
      <c r="H251" s="6">
        <v>0.80347222222222225</v>
      </c>
      <c r="I251" s="5">
        <v>46122</v>
      </c>
      <c r="J251" s="5">
        <v>46122</v>
      </c>
      <c r="K251" s="5">
        <v>46122</v>
      </c>
      <c r="L251" s="4" t="s">
        <v>177</v>
      </c>
      <c r="M251" s="4" t="s">
        <v>178</v>
      </c>
      <c r="N251" s="4" t="s">
        <v>21</v>
      </c>
      <c r="O251" s="4" t="s">
        <v>27</v>
      </c>
      <c r="P251" s="4">
        <v>27327</v>
      </c>
      <c r="Q251" s="4" t="s">
        <v>19</v>
      </c>
      <c r="R251" s="4">
        <v>39532</v>
      </c>
      <c r="S251" s="4" t="str">
        <f>VLOOKUP(L251&amp;TEXT(I251,"mmmm")&amp;YEAR(I251),'[1]Detalle C-Fecha'!$D$2:$E$15921,2,FALSE)</f>
        <v>CCUCoAZA</v>
      </c>
    </row>
    <row r="252" spans="1:19" x14ac:dyDescent="0.3">
      <c r="A252" s="4">
        <v>32067</v>
      </c>
      <c r="B252" s="4" t="s">
        <v>28</v>
      </c>
      <c r="C252" s="4" t="s">
        <v>15</v>
      </c>
      <c r="D252" s="4" t="s">
        <v>16</v>
      </c>
      <c r="E252" s="4" t="s">
        <v>53</v>
      </c>
      <c r="F252" s="4" t="str">
        <f t="shared" si="3"/>
        <v>3MC</v>
      </c>
      <c r="G252" s="5">
        <v>46122</v>
      </c>
      <c r="H252" s="6">
        <v>0.80347222222222225</v>
      </c>
      <c r="I252" s="5">
        <v>46122</v>
      </c>
      <c r="J252" s="5">
        <v>46122</v>
      </c>
      <c r="K252" s="5">
        <v>46122</v>
      </c>
      <c r="L252" s="4" t="s">
        <v>177</v>
      </c>
      <c r="M252" s="4" t="s">
        <v>178</v>
      </c>
      <c r="N252" s="4" t="s">
        <v>21</v>
      </c>
      <c r="O252" s="4" t="s">
        <v>27</v>
      </c>
      <c r="P252" s="4">
        <v>27328</v>
      </c>
      <c r="Q252" s="4" t="s">
        <v>19</v>
      </c>
      <c r="R252" s="4">
        <v>39533</v>
      </c>
      <c r="S252" s="4" t="str">
        <f>VLOOKUP(L252&amp;TEXT(I252,"mmmm")&amp;YEAR(I252),'[1]Detalle C-Fecha'!$D$2:$E$15921,2,FALSE)</f>
        <v>CCUCoAZA</v>
      </c>
    </row>
    <row r="253" spans="1:19" x14ac:dyDescent="0.3">
      <c r="A253" s="4">
        <v>32068</v>
      </c>
      <c r="B253" s="4" t="s">
        <v>28</v>
      </c>
      <c r="C253" s="4" t="s">
        <v>15</v>
      </c>
      <c r="D253" s="4" t="s">
        <v>16</v>
      </c>
      <c r="E253" s="4" t="s">
        <v>112</v>
      </c>
      <c r="F253" s="4" t="str">
        <f t="shared" si="3"/>
        <v>6MC</v>
      </c>
      <c r="G253" s="5">
        <v>46122</v>
      </c>
      <c r="H253" s="6">
        <v>0.80347222222222225</v>
      </c>
      <c r="I253" s="5">
        <v>46122</v>
      </c>
      <c r="J253" s="5">
        <v>46122</v>
      </c>
      <c r="K253" s="5">
        <v>46122</v>
      </c>
      <c r="L253" s="4" t="s">
        <v>177</v>
      </c>
      <c r="M253" s="4" t="s">
        <v>178</v>
      </c>
      <c r="N253" s="4" t="s">
        <v>21</v>
      </c>
      <c r="O253" s="4" t="s">
        <v>27</v>
      </c>
      <c r="P253" s="4">
        <v>27329</v>
      </c>
      <c r="Q253" s="4" t="s">
        <v>19</v>
      </c>
      <c r="R253" s="4">
        <v>39534</v>
      </c>
      <c r="S253" s="4" t="str">
        <f>VLOOKUP(L253&amp;TEXT(I253,"mmmm")&amp;YEAR(I253),'[1]Detalle C-Fecha'!$D$2:$E$15921,2,FALSE)</f>
        <v>CCUCoAZA</v>
      </c>
    </row>
    <row r="254" spans="1:19" x14ac:dyDescent="0.3">
      <c r="A254" s="4">
        <v>32075</v>
      </c>
      <c r="B254" s="4" t="s">
        <v>28</v>
      </c>
      <c r="C254" s="4" t="s">
        <v>15</v>
      </c>
      <c r="D254" s="4" t="s">
        <v>16</v>
      </c>
      <c r="E254" s="4" t="s">
        <v>115</v>
      </c>
      <c r="F254" s="4" t="str">
        <f t="shared" si="3"/>
        <v>2ML</v>
      </c>
      <c r="G254" s="5">
        <v>46123</v>
      </c>
      <c r="H254" s="6">
        <v>0.3347222222222222</v>
      </c>
      <c r="I254" s="5">
        <v>46123</v>
      </c>
      <c r="J254" s="5">
        <v>46123</v>
      </c>
      <c r="K254" s="5">
        <v>46123</v>
      </c>
      <c r="L254" s="4" t="s">
        <v>54</v>
      </c>
      <c r="M254" s="4" t="s">
        <v>129</v>
      </c>
      <c r="N254" s="4" t="s">
        <v>21</v>
      </c>
      <c r="O254" s="4" t="s">
        <v>24</v>
      </c>
      <c r="P254" s="4">
        <v>27336</v>
      </c>
      <c r="Q254" s="4" t="s">
        <v>19</v>
      </c>
      <c r="R254" s="4">
        <v>39538</v>
      </c>
      <c r="S254" s="4" t="str">
        <f>VLOOKUP(L254&amp;TEXT(I254,"mmmm")&amp;YEAR(I254),'[1]Detalle C-Fecha'!$D$2:$E$15921,2,FALSE)</f>
        <v>ADA_CH - Danone Arg. S.A. - Chascomus</v>
      </c>
    </row>
    <row r="255" spans="1:19" x14ac:dyDescent="0.3">
      <c r="A255" s="4">
        <v>32076</v>
      </c>
      <c r="B255" s="4" t="s">
        <v>28</v>
      </c>
      <c r="C255" s="4" t="s">
        <v>15</v>
      </c>
      <c r="D255" s="4" t="s">
        <v>16</v>
      </c>
      <c r="E255" s="4" t="s">
        <v>116</v>
      </c>
      <c r="F255" s="4" t="str">
        <f t="shared" si="3"/>
        <v>3ML</v>
      </c>
      <c r="G255" s="5">
        <v>46123</v>
      </c>
      <c r="H255" s="6">
        <v>0.3347222222222222</v>
      </c>
      <c r="I255" s="5">
        <v>46123</v>
      </c>
      <c r="J255" s="5">
        <v>46123</v>
      </c>
      <c r="K255" s="5">
        <v>46123</v>
      </c>
      <c r="L255" s="4" t="s">
        <v>54</v>
      </c>
      <c r="M255" s="4" t="s">
        <v>129</v>
      </c>
      <c r="N255" s="4" t="s">
        <v>21</v>
      </c>
      <c r="O255" s="4" t="s">
        <v>24</v>
      </c>
      <c r="P255" s="4">
        <v>27337</v>
      </c>
      <c r="Q255" s="4" t="s">
        <v>19</v>
      </c>
      <c r="R255" s="4">
        <v>39539</v>
      </c>
      <c r="S255" s="4" t="str">
        <f>VLOOKUP(L255&amp;TEXT(I255,"mmmm")&amp;YEAR(I255),'[1]Detalle C-Fecha'!$D$2:$E$15921,2,FALSE)</f>
        <v>ADA_CH - Danone Arg. S.A. - Chascomus</v>
      </c>
    </row>
    <row r="256" spans="1:19" x14ac:dyDescent="0.3">
      <c r="A256" s="4">
        <v>32077</v>
      </c>
      <c r="B256" s="4" t="s">
        <v>28</v>
      </c>
      <c r="C256" s="4" t="s">
        <v>15</v>
      </c>
      <c r="D256" s="4" t="s">
        <v>16</v>
      </c>
      <c r="E256" s="4" t="s">
        <v>117</v>
      </c>
      <c r="F256" s="4" t="str">
        <f t="shared" si="3"/>
        <v>6ML</v>
      </c>
      <c r="G256" s="5">
        <v>46123</v>
      </c>
      <c r="H256" s="6">
        <v>0.3347222222222222</v>
      </c>
      <c r="I256" s="5">
        <v>46123</v>
      </c>
      <c r="J256" s="5">
        <v>46123</v>
      </c>
      <c r="K256" s="5">
        <v>46123</v>
      </c>
      <c r="L256" s="4" t="s">
        <v>54</v>
      </c>
      <c r="M256" s="4" t="s">
        <v>129</v>
      </c>
      <c r="N256" s="4" t="s">
        <v>21</v>
      </c>
      <c r="O256" s="4" t="s">
        <v>24</v>
      </c>
      <c r="P256" s="4">
        <v>27338</v>
      </c>
      <c r="Q256" s="4" t="s">
        <v>19</v>
      </c>
      <c r="R256" s="4">
        <v>39540</v>
      </c>
      <c r="S256" s="4" t="str">
        <f>VLOOKUP(L256&amp;TEXT(I256,"mmmm")&amp;YEAR(I256),'[1]Detalle C-Fecha'!$D$2:$E$15921,2,FALSE)</f>
        <v>ADA_CH - Danone Arg. S.A. - Chascomus</v>
      </c>
    </row>
    <row r="257" spans="1:19" x14ac:dyDescent="0.3">
      <c r="A257" s="4">
        <v>32085</v>
      </c>
      <c r="B257" s="4" t="s">
        <v>28</v>
      </c>
      <c r="C257" s="4" t="s">
        <v>15</v>
      </c>
      <c r="D257" s="4" t="s">
        <v>16</v>
      </c>
      <c r="E257" s="4" t="s">
        <v>121</v>
      </c>
      <c r="F257" s="4" t="str">
        <f t="shared" si="3"/>
        <v>2MC</v>
      </c>
      <c r="G257" s="5">
        <v>46125</v>
      </c>
      <c r="H257" s="6">
        <v>0.32777777777777778</v>
      </c>
      <c r="I257" s="5">
        <v>46125</v>
      </c>
      <c r="J257" s="5">
        <v>46125</v>
      </c>
      <c r="K257" s="5">
        <v>46125</v>
      </c>
      <c r="L257" s="4" t="s">
        <v>179</v>
      </c>
      <c r="M257" s="4">
        <v>1624</v>
      </c>
      <c r="N257" s="4" t="s">
        <v>21</v>
      </c>
      <c r="O257" s="4" t="s">
        <v>27</v>
      </c>
      <c r="P257" s="4">
        <v>27344</v>
      </c>
      <c r="Q257" s="4" t="s">
        <v>19</v>
      </c>
      <c r="R257" s="4">
        <v>39542</v>
      </c>
      <c r="S257" s="4" t="str">
        <f>VLOOKUP(L257&amp;TEXT(I257,"mmmm")&amp;YEAR(I257),'[1]Detalle C-Fecha'!$D$2:$E$15921,2,FALSE)</f>
        <v>JOHNSON - SC JOHNSON DE ARGENTINA SAIC</v>
      </c>
    </row>
    <row r="258" spans="1:19" x14ac:dyDescent="0.3">
      <c r="A258" s="4">
        <v>32086</v>
      </c>
      <c r="B258" s="4" t="s">
        <v>28</v>
      </c>
      <c r="C258" s="4" t="s">
        <v>15</v>
      </c>
      <c r="D258" s="4" t="s">
        <v>16</v>
      </c>
      <c r="E258" s="4" t="s">
        <v>53</v>
      </c>
      <c r="F258" s="4" t="str">
        <f t="shared" ref="F258:F321" si="4">MID(E258,1,3)</f>
        <v>3MC</v>
      </c>
      <c r="G258" s="5">
        <v>46125</v>
      </c>
      <c r="H258" s="6">
        <v>0.32777777777777778</v>
      </c>
      <c r="I258" s="5">
        <v>46125</v>
      </c>
      <c r="J258" s="5">
        <v>46125</v>
      </c>
      <c r="K258" s="5">
        <v>46125</v>
      </c>
      <c r="L258" s="4" t="s">
        <v>179</v>
      </c>
      <c r="M258" s="4">
        <v>1624</v>
      </c>
      <c r="N258" s="4" t="s">
        <v>21</v>
      </c>
      <c r="O258" s="4" t="s">
        <v>27</v>
      </c>
      <c r="P258" s="4">
        <v>27345</v>
      </c>
      <c r="Q258" s="4" t="s">
        <v>19</v>
      </c>
      <c r="R258" s="4">
        <v>39543</v>
      </c>
      <c r="S258" s="4" t="str">
        <f>VLOOKUP(L258&amp;TEXT(I258,"mmmm")&amp;YEAR(I258),'[1]Detalle C-Fecha'!$D$2:$E$15921,2,FALSE)</f>
        <v>JOHNSON - SC JOHNSON DE ARGENTINA SAIC</v>
      </c>
    </row>
    <row r="259" spans="1:19" x14ac:dyDescent="0.3">
      <c r="A259" s="4">
        <v>32087</v>
      </c>
      <c r="B259" s="4" t="s">
        <v>28</v>
      </c>
      <c r="C259" s="4" t="s">
        <v>15</v>
      </c>
      <c r="D259" s="4" t="s">
        <v>16</v>
      </c>
      <c r="E259" s="4" t="s">
        <v>111</v>
      </c>
      <c r="F259" s="4" t="str">
        <f t="shared" si="4"/>
        <v>6MC</v>
      </c>
      <c r="G259" s="5">
        <v>46125</v>
      </c>
      <c r="H259" s="6">
        <v>0.32847222222222222</v>
      </c>
      <c r="I259" s="5">
        <v>46125</v>
      </c>
      <c r="J259" s="5">
        <v>46125</v>
      </c>
      <c r="K259" s="5">
        <v>46125</v>
      </c>
      <c r="L259" s="4" t="s">
        <v>179</v>
      </c>
      <c r="M259" s="4">
        <v>1624</v>
      </c>
      <c r="N259" s="4" t="s">
        <v>21</v>
      </c>
      <c r="O259" s="4" t="s">
        <v>27</v>
      </c>
      <c r="P259" s="4">
        <v>27346</v>
      </c>
      <c r="Q259" s="4" t="s">
        <v>19</v>
      </c>
      <c r="R259" s="4">
        <v>39544</v>
      </c>
      <c r="S259" s="4" t="str">
        <f>VLOOKUP(L259&amp;TEXT(I259,"mmmm")&amp;YEAR(I259),'[1]Detalle C-Fecha'!$D$2:$E$15921,2,FALSE)</f>
        <v>JOHNSON - SC JOHNSON DE ARGENTINA SAIC</v>
      </c>
    </row>
    <row r="260" spans="1:19" x14ac:dyDescent="0.3">
      <c r="A260" s="4">
        <v>32112</v>
      </c>
      <c r="B260" s="4" t="s">
        <v>28</v>
      </c>
      <c r="C260" s="4" t="s">
        <v>15</v>
      </c>
      <c r="D260" s="4" t="s">
        <v>16</v>
      </c>
      <c r="E260" s="4" t="s">
        <v>35</v>
      </c>
      <c r="F260" s="4" t="str">
        <f t="shared" si="4"/>
        <v>2ML</v>
      </c>
      <c r="G260" s="5">
        <v>46125</v>
      </c>
      <c r="H260" s="6">
        <v>0.4465277777777778</v>
      </c>
      <c r="I260" s="5">
        <v>46125</v>
      </c>
      <c r="J260" s="5">
        <v>46125</v>
      </c>
      <c r="K260" s="5">
        <v>46125</v>
      </c>
      <c r="L260" s="4" t="s">
        <v>181</v>
      </c>
      <c r="M260" s="4" t="s">
        <v>126</v>
      </c>
      <c r="N260" s="4" t="s">
        <v>21</v>
      </c>
      <c r="O260" s="4" t="s">
        <v>25</v>
      </c>
      <c r="P260" s="4">
        <v>27365</v>
      </c>
      <c r="Q260" s="4" t="s">
        <v>19</v>
      </c>
      <c r="R260" s="4">
        <v>39546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32113</v>
      </c>
      <c r="B261" s="4" t="s">
        <v>28</v>
      </c>
      <c r="C261" s="4" t="s">
        <v>15</v>
      </c>
      <c r="D261" s="4" t="s">
        <v>16</v>
      </c>
      <c r="E261" s="4" t="s">
        <v>47</v>
      </c>
      <c r="F261" s="4" t="str">
        <f t="shared" si="4"/>
        <v>3ML</v>
      </c>
      <c r="G261" s="5">
        <v>46125</v>
      </c>
      <c r="H261" s="6">
        <v>0.4465277777777778</v>
      </c>
      <c r="I261" s="5">
        <v>46125</v>
      </c>
      <c r="J261" s="5">
        <v>46125</v>
      </c>
      <c r="K261" s="5">
        <v>46125</v>
      </c>
      <c r="L261" s="4" t="s">
        <v>181</v>
      </c>
      <c r="M261" s="4" t="s">
        <v>126</v>
      </c>
      <c r="N261" s="4" t="s">
        <v>21</v>
      </c>
      <c r="O261" s="4" t="s">
        <v>25</v>
      </c>
      <c r="P261" s="4">
        <v>27366</v>
      </c>
      <c r="Q261" s="4" t="s">
        <v>19</v>
      </c>
      <c r="R261" s="4">
        <v>39547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32114</v>
      </c>
      <c r="B262" s="4" t="s">
        <v>28</v>
      </c>
      <c r="C262" s="4" t="s">
        <v>15</v>
      </c>
      <c r="D262" s="4" t="s">
        <v>16</v>
      </c>
      <c r="E262" s="4" t="s">
        <v>46</v>
      </c>
      <c r="F262" s="4" t="str">
        <f t="shared" si="4"/>
        <v>6ML</v>
      </c>
      <c r="G262" s="5">
        <v>46125</v>
      </c>
      <c r="H262" s="6">
        <v>0.4465277777777778</v>
      </c>
      <c r="I262" s="5">
        <v>46125</v>
      </c>
      <c r="J262" s="5">
        <v>46125</v>
      </c>
      <c r="K262" s="5">
        <v>46125</v>
      </c>
      <c r="L262" s="4" t="s">
        <v>181</v>
      </c>
      <c r="M262" s="4" t="s">
        <v>126</v>
      </c>
      <c r="N262" s="4" t="s">
        <v>21</v>
      </c>
      <c r="O262" s="4" t="s">
        <v>25</v>
      </c>
      <c r="P262" s="4">
        <v>27367</v>
      </c>
      <c r="Q262" s="4" t="s">
        <v>19</v>
      </c>
      <c r="R262" s="4">
        <v>39548</v>
      </c>
      <c r="S262" s="4" t="str">
        <f>VLOOKUP(L262&amp;TEXT(I262,"mmmm")&amp;YEAR(I262),'[1]Detalle C-Fecha'!$D$2:$E$15921,2,FALSE)</f>
        <v>Expreso - Servicios Troncales</v>
      </c>
    </row>
    <row r="263" spans="1:19" x14ac:dyDescent="0.3">
      <c r="A263" s="4">
        <v>32119</v>
      </c>
      <c r="B263" s="4" t="s">
        <v>28</v>
      </c>
      <c r="C263" s="4" t="s">
        <v>15</v>
      </c>
      <c r="D263" s="4" t="s">
        <v>16</v>
      </c>
      <c r="E263" s="4" t="s">
        <v>121</v>
      </c>
      <c r="F263" s="4" t="str">
        <f t="shared" si="4"/>
        <v>2MC</v>
      </c>
      <c r="G263" s="5">
        <v>46125</v>
      </c>
      <c r="H263" s="6">
        <v>0.48680555555555555</v>
      </c>
      <c r="I263" s="5">
        <v>46125</v>
      </c>
      <c r="J263" s="5">
        <v>46125</v>
      </c>
      <c r="K263" s="5">
        <v>46125</v>
      </c>
      <c r="L263" s="4" t="s">
        <v>182</v>
      </c>
      <c r="M263" s="4">
        <v>1624</v>
      </c>
      <c r="N263" s="4" t="s">
        <v>21</v>
      </c>
      <c r="O263" s="4" t="s">
        <v>27</v>
      </c>
      <c r="P263" s="4">
        <v>27372</v>
      </c>
      <c r="Q263" s="4" t="s">
        <v>19</v>
      </c>
      <c r="R263" s="4">
        <v>39550</v>
      </c>
      <c r="S263" s="4" t="str">
        <f>VLOOKUP(L263&amp;TEXT(I263,"mmmm")&amp;YEAR(I263),'[1]Detalle C-Fecha'!$D$2:$E$15921,2,FALSE)</f>
        <v>Unilever - Unilever de Arg. S.A.</v>
      </c>
    </row>
    <row r="264" spans="1:19" x14ac:dyDescent="0.3">
      <c r="A264" s="4">
        <v>32120</v>
      </c>
      <c r="B264" s="4" t="s">
        <v>28</v>
      </c>
      <c r="C264" s="4" t="s">
        <v>15</v>
      </c>
      <c r="D264" s="4" t="s">
        <v>16</v>
      </c>
      <c r="E264" s="4" t="s">
        <v>53</v>
      </c>
      <c r="F264" s="4" t="str">
        <f t="shared" si="4"/>
        <v>3MC</v>
      </c>
      <c r="G264" s="5">
        <v>46125</v>
      </c>
      <c r="H264" s="6">
        <v>0.48680555555555555</v>
      </c>
      <c r="I264" s="5">
        <v>46125</v>
      </c>
      <c r="J264" s="5">
        <v>46125</v>
      </c>
      <c r="K264" s="5">
        <v>46125</v>
      </c>
      <c r="L264" s="4" t="s">
        <v>182</v>
      </c>
      <c r="M264" s="4">
        <v>1624</v>
      </c>
      <c r="N264" s="4" t="s">
        <v>21</v>
      </c>
      <c r="O264" s="4" t="s">
        <v>27</v>
      </c>
      <c r="P264" s="4">
        <v>27373</v>
      </c>
      <c r="Q264" s="4" t="s">
        <v>19</v>
      </c>
      <c r="R264" s="4">
        <v>39551</v>
      </c>
      <c r="S264" s="4" t="str">
        <f>VLOOKUP(L264&amp;TEXT(I264,"mmmm")&amp;YEAR(I264),'[1]Detalle C-Fecha'!$D$2:$E$15921,2,FALSE)</f>
        <v>Unilever - Unilever de Arg. S.A.</v>
      </c>
    </row>
    <row r="265" spans="1:19" x14ac:dyDescent="0.3">
      <c r="A265" s="4">
        <v>32121</v>
      </c>
      <c r="B265" s="4" t="s">
        <v>28</v>
      </c>
      <c r="C265" s="4" t="s">
        <v>15</v>
      </c>
      <c r="D265" s="4" t="s">
        <v>16</v>
      </c>
      <c r="E265" s="4" t="s">
        <v>111</v>
      </c>
      <c r="F265" s="4" t="str">
        <f t="shared" si="4"/>
        <v>6MC</v>
      </c>
      <c r="G265" s="5">
        <v>46125</v>
      </c>
      <c r="H265" s="6">
        <v>0.48680555555555555</v>
      </c>
      <c r="I265" s="5">
        <v>46125</v>
      </c>
      <c r="J265" s="5">
        <v>46125</v>
      </c>
      <c r="K265" s="5">
        <v>46125</v>
      </c>
      <c r="L265" s="4" t="s">
        <v>182</v>
      </c>
      <c r="M265" s="4">
        <v>1624</v>
      </c>
      <c r="N265" s="4" t="s">
        <v>21</v>
      </c>
      <c r="O265" s="4" t="s">
        <v>27</v>
      </c>
      <c r="P265" s="4">
        <v>27374</v>
      </c>
      <c r="Q265" s="4" t="s">
        <v>19</v>
      </c>
      <c r="R265" s="4">
        <v>39552</v>
      </c>
      <c r="S265" s="4" t="str">
        <f>VLOOKUP(L265&amp;TEXT(I265,"mmmm")&amp;YEAR(I265),'[1]Detalle C-Fecha'!$D$2:$E$15921,2,FALSE)</f>
        <v>Unilever - Unilever de Arg. S.A.</v>
      </c>
    </row>
    <row r="266" spans="1:19" x14ac:dyDescent="0.3">
      <c r="A266" s="4">
        <v>32122</v>
      </c>
      <c r="B266" s="4" t="s">
        <v>28</v>
      </c>
      <c r="C266" s="4" t="s">
        <v>15</v>
      </c>
      <c r="D266" s="4" t="s">
        <v>16</v>
      </c>
      <c r="E266" s="4" t="s">
        <v>137</v>
      </c>
      <c r="F266" s="4" t="str">
        <f t="shared" si="4"/>
        <v>7ML</v>
      </c>
      <c r="G266" s="5">
        <v>46125</v>
      </c>
      <c r="H266" s="6">
        <v>0.50277777777777777</v>
      </c>
      <c r="I266" s="5">
        <v>46125</v>
      </c>
      <c r="J266" s="5">
        <v>46125</v>
      </c>
      <c r="K266" s="5">
        <v>46125</v>
      </c>
      <c r="L266" s="4" t="s">
        <v>181</v>
      </c>
      <c r="M266" s="4" t="s">
        <v>126</v>
      </c>
      <c r="N266" s="4" t="s">
        <v>21</v>
      </c>
      <c r="S266" s="4" t="str">
        <f>VLOOKUP(L266&amp;TEXT(I266,"mmmm")&amp;YEAR(I266),'[1]Detalle C-Fecha'!$D$2:$E$15921,2,FALSE)</f>
        <v>Expreso - Servicios Troncales</v>
      </c>
    </row>
    <row r="267" spans="1:19" x14ac:dyDescent="0.3">
      <c r="A267" s="4">
        <v>32135</v>
      </c>
      <c r="B267" s="4" t="s">
        <v>28</v>
      </c>
      <c r="C267" s="4" t="s">
        <v>15</v>
      </c>
      <c r="D267" s="4" t="s">
        <v>16</v>
      </c>
      <c r="E267" s="4" t="s">
        <v>51</v>
      </c>
      <c r="F267" s="4" t="str">
        <f t="shared" si="4"/>
        <v>2MC</v>
      </c>
      <c r="G267" s="5">
        <v>46125</v>
      </c>
      <c r="H267" s="6">
        <v>0.64513888888888882</v>
      </c>
      <c r="I267" s="5">
        <v>46125</v>
      </c>
      <c r="J267" s="5">
        <v>46125</v>
      </c>
      <c r="K267" s="5">
        <v>46125</v>
      </c>
      <c r="L267" s="4" t="s">
        <v>184</v>
      </c>
      <c r="M267" s="4" t="s">
        <v>128</v>
      </c>
      <c r="N267" s="4" t="s">
        <v>21</v>
      </c>
      <c r="O267" s="4" t="s">
        <v>18</v>
      </c>
      <c r="P267" s="4">
        <v>27387</v>
      </c>
      <c r="Q267" s="4" t="s">
        <v>19</v>
      </c>
      <c r="R267" s="4">
        <v>39556</v>
      </c>
      <c r="S267" s="4" t="str">
        <f>VLOOKUP(L267&amp;TEXT(I267,"mmmm")&amp;YEAR(I267),'[1]Detalle C-Fecha'!$D$2:$E$15921,2,FALSE)</f>
        <v>CMQ_TTE - QUILMES TTE</v>
      </c>
    </row>
    <row r="268" spans="1:19" x14ac:dyDescent="0.3">
      <c r="A268" s="4">
        <v>32136</v>
      </c>
      <c r="B268" s="4" t="s">
        <v>28</v>
      </c>
      <c r="C268" s="4" t="s">
        <v>15</v>
      </c>
      <c r="D268" s="4" t="s">
        <v>16</v>
      </c>
      <c r="E268" s="4" t="s">
        <v>53</v>
      </c>
      <c r="F268" s="4" t="str">
        <f t="shared" si="4"/>
        <v>3MC</v>
      </c>
      <c r="G268" s="5">
        <v>46125</v>
      </c>
      <c r="H268" s="6">
        <v>0.64513888888888882</v>
      </c>
      <c r="I268" s="5">
        <v>46125</v>
      </c>
      <c r="J268" s="5">
        <v>46125</v>
      </c>
      <c r="K268" s="5">
        <v>46125</v>
      </c>
      <c r="L268" s="4" t="s">
        <v>184</v>
      </c>
      <c r="M268" s="4" t="s">
        <v>128</v>
      </c>
      <c r="N268" s="4" t="s">
        <v>21</v>
      </c>
      <c r="O268" s="4" t="s">
        <v>18</v>
      </c>
      <c r="P268" s="4">
        <v>27388</v>
      </c>
      <c r="Q268" s="4" t="s">
        <v>19</v>
      </c>
      <c r="R268" s="4">
        <v>39557</v>
      </c>
      <c r="S268" s="4" t="str">
        <f>VLOOKUP(L268&amp;TEXT(I268,"mmmm")&amp;YEAR(I268),'[1]Detalle C-Fecha'!$D$2:$E$15921,2,FALSE)</f>
        <v>CMQ_TTE - QUILMES TTE</v>
      </c>
    </row>
    <row r="269" spans="1:19" x14ac:dyDescent="0.3">
      <c r="A269" s="4">
        <v>32137</v>
      </c>
      <c r="B269" s="4" t="s">
        <v>28</v>
      </c>
      <c r="C269" s="4" t="s">
        <v>15</v>
      </c>
      <c r="D269" s="4" t="s">
        <v>16</v>
      </c>
      <c r="E269" s="4" t="s">
        <v>52</v>
      </c>
      <c r="F269" s="4" t="str">
        <f t="shared" si="4"/>
        <v>6MC</v>
      </c>
      <c r="G269" s="5">
        <v>46125</v>
      </c>
      <c r="H269" s="6">
        <v>0.64513888888888882</v>
      </c>
      <c r="I269" s="5">
        <v>46125</v>
      </c>
      <c r="J269" s="5">
        <v>46125</v>
      </c>
      <c r="K269" s="5">
        <v>46125</v>
      </c>
      <c r="L269" s="4" t="s">
        <v>184</v>
      </c>
      <c r="M269" s="4" t="s">
        <v>128</v>
      </c>
      <c r="N269" s="4" t="s">
        <v>21</v>
      </c>
      <c r="O269" s="4" t="s">
        <v>18</v>
      </c>
      <c r="P269" s="4">
        <v>27389</v>
      </c>
      <c r="Q269" s="4" t="s">
        <v>19</v>
      </c>
      <c r="R269" s="4">
        <v>39558</v>
      </c>
      <c r="S269" s="4" t="str">
        <f>VLOOKUP(L269&amp;TEXT(I269,"mmmm")&amp;YEAR(I269),'[1]Detalle C-Fecha'!$D$2:$E$15921,2,FALSE)</f>
        <v>CMQ_TTE - QUILMES TTE</v>
      </c>
    </row>
    <row r="270" spans="1:19" x14ac:dyDescent="0.3">
      <c r="A270" s="4">
        <v>32143</v>
      </c>
      <c r="B270" s="4" t="s">
        <v>28</v>
      </c>
      <c r="C270" s="4" t="s">
        <v>15</v>
      </c>
      <c r="D270" s="4" t="s">
        <v>16</v>
      </c>
      <c r="E270" s="4" t="s">
        <v>51</v>
      </c>
      <c r="F270" s="4" t="str">
        <f t="shared" si="4"/>
        <v>2MC</v>
      </c>
      <c r="G270" s="5">
        <v>46125</v>
      </c>
      <c r="H270" s="6">
        <v>0.66597222222222219</v>
      </c>
      <c r="I270" s="5">
        <v>46125</v>
      </c>
      <c r="J270" s="5">
        <v>46125</v>
      </c>
      <c r="K270" s="5">
        <v>46125</v>
      </c>
      <c r="L270" s="4" t="s">
        <v>185</v>
      </c>
      <c r="M270" s="4" t="s">
        <v>130</v>
      </c>
      <c r="N270" s="4" t="s">
        <v>21</v>
      </c>
      <c r="O270" s="4" t="s">
        <v>24</v>
      </c>
      <c r="P270" s="4">
        <v>27397</v>
      </c>
      <c r="Q270" s="4" t="s">
        <v>19</v>
      </c>
      <c r="R270" s="4">
        <v>39560</v>
      </c>
      <c r="S270" s="4" t="str">
        <f>VLOOKUP(L270&amp;TEXT(I270,"mmmm")&amp;YEAR(I270),'[1]Detalle C-Fecha'!$D$2:$E$15921,2,FALSE)</f>
        <v>CCUDyAZA</v>
      </c>
    </row>
    <row r="271" spans="1:19" x14ac:dyDescent="0.3">
      <c r="A271" s="4">
        <v>32144</v>
      </c>
      <c r="B271" s="4" t="s">
        <v>28</v>
      </c>
      <c r="C271" s="4" t="s">
        <v>15</v>
      </c>
      <c r="D271" s="4" t="s">
        <v>16</v>
      </c>
      <c r="E271" s="4" t="s">
        <v>53</v>
      </c>
      <c r="F271" s="4" t="str">
        <f t="shared" si="4"/>
        <v>3MC</v>
      </c>
      <c r="G271" s="5">
        <v>46125</v>
      </c>
      <c r="H271" s="6">
        <v>0.66597222222222219</v>
      </c>
      <c r="I271" s="5">
        <v>46125</v>
      </c>
      <c r="J271" s="5">
        <v>46125</v>
      </c>
      <c r="K271" s="5">
        <v>46125</v>
      </c>
      <c r="L271" s="4" t="s">
        <v>185</v>
      </c>
      <c r="M271" s="4" t="s">
        <v>130</v>
      </c>
      <c r="N271" s="4" t="s">
        <v>21</v>
      </c>
      <c r="O271" s="4" t="s">
        <v>24</v>
      </c>
      <c r="P271" s="4">
        <v>27398</v>
      </c>
      <c r="Q271" s="4" t="s">
        <v>19</v>
      </c>
      <c r="R271" s="4">
        <v>39561</v>
      </c>
      <c r="S271" s="4" t="str">
        <f>VLOOKUP(L271&amp;TEXT(I271,"mmmm")&amp;YEAR(I271),'[1]Detalle C-Fecha'!$D$2:$E$15921,2,FALSE)</f>
        <v>CCUDyAZA</v>
      </c>
    </row>
    <row r="272" spans="1:19" x14ac:dyDescent="0.3">
      <c r="A272" s="4">
        <v>32145</v>
      </c>
      <c r="B272" s="4" t="s">
        <v>28</v>
      </c>
      <c r="C272" s="4" t="s">
        <v>15</v>
      </c>
      <c r="D272" s="4" t="s">
        <v>16</v>
      </c>
      <c r="E272" s="4" t="s">
        <v>52</v>
      </c>
      <c r="F272" s="4" t="str">
        <f t="shared" si="4"/>
        <v>6MC</v>
      </c>
      <c r="G272" s="5">
        <v>46125</v>
      </c>
      <c r="H272" s="6">
        <v>0.66597222222222219</v>
      </c>
      <c r="I272" s="5">
        <v>46125</v>
      </c>
      <c r="J272" s="5">
        <v>46125</v>
      </c>
      <c r="K272" s="5">
        <v>46125</v>
      </c>
      <c r="L272" s="4" t="s">
        <v>185</v>
      </c>
      <c r="M272" s="4" t="s">
        <v>130</v>
      </c>
      <c r="N272" s="4" t="s">
        <v>21</v>
      </c>
      <c r="O272" s="4" t="s">
        <v>24</v>
      </c>
      <c r="P272" s="4">
        <v>27399</v>
      </c>
      <c r="Q272" s="4" t="s">
        <v>19</v>
      </c>
      <c r="R272" s="4">
        <v>39562</v>
      </c>
      <c r="S272" s="4" t="str">
        <f>VLOOKUP(L272&amp;TEXT(I272,"mmmm")&amp;YEAR(I272),'[1]Detalle C-Fecha'!$D$2:$E$15921,2,FALSE)</f>
        <v>CCUDyAZA</v>
      </c>
    </row>
    <row r="273" spans="1:19" x14ac:dyDescent="0.3">
      <c r="A273" s="4">
        <v>32146</v>
      </c>
      <c r="B273" s="4" t="s">
        <v>28</v>
      </c>
      <c r="C273" s="4" t="s">
        <v>15</v>
      </c>
      <c r="D273" s="4" t="s">
        <v>16</v>
      </c>
      <c r="E273" s="4" t="s">
        <v>51</v>
      </c>
      <c r="F273" s="4" t="str">
        <f t="shared" si="4"/>
        <v>2MC</v>
      </c>
      <c r="G273" s="5">
        <v>46125</v>
      </c>
      <c r="H273" s="6">
        <v>0.66597222222222219</v>
      </c>
      <c r="I273" s="5">
        <v>46125</v>
      </c>
      <c r="J273" s="5">
        <v>46125</v>
      </c>
      <c r="K273" s="5">
        <v>46125</v>
      </c>
      <c r="L273" s="4" t="s">
        <v>186</v>
      </c>
      <c r="M273" s="4" t="s">
        <v>155</v>
      </c>
      <c r="N273" s="4" t="s">
        <v>21</v>
      </c>
      <c r="O273" s="4" t="s">
        <v>24</v>
      </c>
      <c r="P273" s="4">
        <v>27400</v>
      </c>
      <c r="Q273" s="4" t="s">
        <v>19</v>
      </c>
      <c r="R273" s="4">
        <v>39563</v>
      </c>
      <c r="S273" s="4" t="str">
        <f>VLOOKUP(L273&amp;TEXT(I273,"mmmm")&amp;YEAR(I273),'[1]Detalle C-Fecha'!$D$2:$E$15921,2,FALSE)</f>
        <v>CCUDyAZA</v>
      </c>
    </row>
    <row r="274" spans="1:19" x14ac:dyDescent="0.3">
      <c r="A274" s="4">
        <v>32147</v>
      </c>
      <c r="B274" s="4" t="s">
        <v>28</v>
      </c>
      <c r="C274" s="4" t="s">
        <v>15</v>
      </c>
      <c r="D274" s="4" t="s">
        <v>16</v>
      </c>
      <c r="E274" s="4" t="s">
        <v>53</v>
      </c>
      <c r="F274" s="4" t="str">
        <f t="shared" si="4"/>
        <v>3MC</v>
      </c>
      <c r="G274" s="5">
        <v>46125</v>
      </c>
      <c r="H274" s="6">
        <v>0.66597222222222219</v>
      </c>
      <c r="I274" s="5">
        <v>46125</v>
      </c>
      <c r="J274" s="5">
        <v>46125</v>
      </c>
      <c r="K274" s="5">
        <v>46125</v>
      </c>
      <c r="L274" s="4" t="s">
        <v>186</v>
      </c>
      <c r="M274" s="4" t="s">
        <v>155</v>
      </c>
      <c r="N274" s="4" t="s">
        <v>21</v>
      </c>
      <c r="O274" s="4" t="s">
        <v>24</v>
      </c>
      <c r="P274" s="4">
        <v>27401</v>
      </c>
      <c r="Q274" s="4" t="s">
        <v>19</v>
      </c>
      <c r="R274" s="4">
        <v>39564</v>
      </c>
      <c r="S274" s="4" t="str">
        <f>VLOOKUP(L274&amp;TEXT(I274,"mmmm")&amp;YEAR(I274),'[1]Detalle C-Fecha'!$D$2:$E$15921,2,FALSE)</f>
        <v>CCUDyAZA</v>
      </c>
    </row>
    <row r="275" spans="1:19" x14ac:dyDescent="0.3">
      <c r="A275" s="4">
        <v>32148</v>
      </c>
      <c r="B275" s="4" t="s">
        <v>28</v>
      </c>
      <c r="C275" s="4" t="s">
        <v>15</v>
      </c>
      <c r="D275" s="4" t="s">
        <v>16</v>
      </c>
      <c r="E275" s="4" t="s">
        <v>111</v>
      </c>
      <c r="F275" s="4" t="str">
        <f t="shared" si="4"/>
        <v>6MC</v>
      </c>
      <c r="G275" s="5">
        <v>46125</v>
      </c>
      <c r="H275" s="6">
        <v>0.66597222222222219</v>
      </c>
      <c r="I275" s="5">
        <v>46125</v>
      </c>
      <c r="J275" s="5">
        <v>46125</v>
      </c>
      <c r="K275" s="5">
        <v>46125</v>
      </c>
      <c r="L275" s="4" t="s">
        <v>186</v>
      </c>
      <c r="M275" s="4" t="s">
        <v>155</v>
      </c>
      <c r="N275" s="4" t="s">
        <v>21</v>
      </c>
      <c r="O275" s="4" t="s">
        <v>24</v>
      </c>
      <c r="P275" s="4">
        <v>27402</v>
      </c>
      <c r="Q275" s="4" t="s">
        <v>19</v>
      </c>
      <c r="R275" s="4">
        <v>39565</v>
      </c>
      <c r="S275" s="4" t="str">
        <f>VLOOKUP(L275&amp;TEXT(I275,"mmmm")&amp;YEAR(I275),'[1]Detalle C-Fecha'!$D$2:$E$15921,2,FALSE)</f>
        <v>CCUDyAZA</v>
      </c>
    </row>
    <row r="276" spans="1:19" x14ac:dyDescent="0.3">
      <c r="A276" s="4">
        <v>32153</v>
      </c>
      <c r="B276" s="4" t="s">
        <v>28</v>
      </c>
      <c r="C276" s="4" t="s">
        <v>15</v>
      </c>
      <c r="D276" s="4" t="s">
        <v>16</v>
      </c>
      <c r="E276" s="4" t="s">
        <v>115</v>
      </c>
      <c r="F276" s="4" t="str">
        <f t="shared" si="4"/>
        <v>2ML</v>
      </c>
      <c r="G276" s="5">
        <v>46126</v>
      </c>
      <c r="H276" s="6">
        <v>0.32083333333333336</v>
      </c>
      <c r="I276" s="5">
        <v>46126</v>
      </c>
      <c r="J276" s="5">
        <v>46126</v>
      </c>
      <c r="K276" s="5">
        <v>46126</v>
      </c>
      <c r="L276" s="4" t="s">
        <v>70</v>
      </c>
      <c r="M276" s="4" t="s">
        <v>129</v>
      </c>
      <c r="N276" s="4" t="s">
        <v>21</v>
      </c>
      <c r="O276" s="4" t="s">
        <v>24</v>
      </c>
      <c r="P276" s="4">
        <v>27425</v>
      </c>
      <c r="Q276" s="4" t="s">
        <v>19</v>
      </c>
      <c r="R276" s="4">
        <v>39567</v>
      </c>
      <c r="S276" s="4" t="str">
        <f>VLOOKUP(L276&amp;TEXT(I276,"mmmm")&amp;YEAR(I276),'[1]Detalle C-Fecha'!$D$2:$E$15921,2,FALSE)</f>
        <v>ADA_CH - Danone Arg. S.A. - Chascomus</v>
      </c>
    </row>
    <row r="277" spans="1:19" x14ac:dyDescent="0.3">
      <c r="A277" s="4">
        <v>32154</v>
      </c>
      <c r="B277" s="4" t="s">
        <v>28</v>
      </c>
      <c r="C277" s="4" t="s">
        <v>15</v>
      </c>
      <c r="D277" s="4" t="s">
        <v>16</v>
      </c>
      <c r="E277" s="4" t="s">
        <v>116</v>
      </c>
      <c r="F277" s="4" t="str">
        <f t="shared" si="4"/>
        <v>3ML</v>
      </c>
      <c r="G277" s="5">
        <v>46126</v>
      </c>
      <c r="H277" s="6">
        <v>0.32083333333333336</v>
      </c>
      <c r="I277" s="5">
        <v>46126</v>
      </c>
      <c r="J277" s="5">
        <v>46126</v>
      </c>
      <c r="K277" s="5">
        <v>46126</v>
      </c>
      <c r="L277" s="4" t="s">
        <v>70</v>
      </c>
      <c r="M277" s="4" t="s">
        <v>129</v>
      </c>
      <c r="N277" s="4" t="s">
        <v>21</v>
      </c>
      <c r="O277" s="4" t="s">
        <v>24</v>
      </c>
      <c r="P277" s="4">
        <v>27426</v>
      </c>
      <c r="Q277" s="4" t="s">
        <v>19</v>
      </c>
      <c r="R277" s="4">
        <v>39568</v>
      </c>
      <c r="S277" s="4" t="str">
        <f>VLOOKUP(L277&amp;TEXT(I277,"mmmm")&amp;YEAR(I277),'[1]Detalle C-Fecha'!$D$2:$E$15921,2,FALSE)</f>
        <v>ADA_CH - Danone Arg. S.A. - Chascomus</v>
      </c>
    </row>
    <row r="278" spans="1:19" x14ac:dyDescent="0.3">
      <c r="A278" s="4">
        <v>32155</v>
      </c>
      <c r="B278" s="4" t="s">
        <v>28</v>
      </c>
      <c r="C278" s="4" t="s">
        <v>15</v>
      </c>
      <c r="D278" s="4" t="s">
        <v>16</v>
      </c>
      <c r="E278" s="4" t="s">
        <v>117</v>
      </c>
      <c r="F278" s="4" t="str">
        <f t="shared" si="4"/>
        <v>6ML</v>
      </c>
      <c r="G278" s="5">
        <v>46126</v>
      </c>
      <c r="H278" s="6">
        <v>0.32083333333333336</v>
      </c>
      <c r="I278" s="5">
        <v>46126</v>
      </c>
      <c r="J278" s="5">
        <v>46126</v>
      </c>
      <c r="K278" s="5">
        <v>46126</v>
      </c>
      <c r="L278" s="4" t="s">
        <v>70</v>
      </c>
      <c r="M278" s="4" t="s">
        <v>129</v>
      </c>
      <c r="N278" s="4" t="s">
        <v>21</v>
      </c>
      <c r="O278" s="4" t="s">
        <v>24</v>
      </c>
      <c r="P278" s="4">
        <v>27427</v>
      </c>
      <c r="Q278" s="4" t="s">
        <v>19</v>
      </c>
      <c r="R278" s="4">
        <v>39569</v>
      </c>
      <c r="S278" s="4" t="str">
        <f>VLOOKUP(L278&amp;TEXT(I278,"mmmm")&amp;YEAR(I278),'[1]Detalle C-Fecha'!$D$2:$E$15921,2,FALSE)</f>
        <v>ADA_CH - Danone Arg. S.A. - Chascomus</v>
      </c>
    </row>
    <row r="279" spans="1:19" x14ac:dyDescent="0.3">
      <c r="A279" s="4">
        <v>32177</v>
      </c>
      <c r="B279" s="4" t="s">
        <v>28</v>
      </c>
      <c r="C279" s="4" t="s">
        <v>15</v>
      </c>
      <c r="D279" s="4" t="s">
        <v>16</v>
      </c>
      <c r="E279" s="4" t="s">
        <v>51</v>
      </c>
      <c r="F279" s="4" t="str">
        <f t="shared" si="4"/>
        <v>2MC</v>
      </c>
      <c r="G279" s="5">
        <v>46126</v>
      </c>
      <c r="H279" s="6">
        <v>0.62430555555555556</v>
      </c>
      <c r="I279" s="5">
        <v>46126</v>
      </c>
      <c r="J279" s="5">
        <v>46126</v>
      </c>
      <c r="K279" s="5">
        <v>46126</v>
      </c>
      <c r="L279" s="4" t="s">
        <v>187</v>
      </c>
      <c r="M279" s="4" t="s">
        <v>163</v>
      </c>
      <c r="N279" s="4" t="s">
        <v>21</v>
      </c>
      <c r="O279" s="4" t="s">
        <v>24</v>
      </c>
      <c r="P279" s="4">
        <v>27472</v>
      </c>
      <c r="Q279" s="4" t="s">
        <v>19</v>
      </c>
      <c r="R279" s="4">
        <v>39573</v>
      </c>
      <c r="S279" s="4" t="str">
        <f>VLOOKUP(L279&amp;TEXT(I279,"mmmm")&amp;YEAR(I279),'[1]Detalle C-Fecha'!$D$2:$E$15921,2,FALSE)</f>
        <v>CCUDyAZA</v>
      </c>
    </row>
    <row r="280" spans="1:19" x14ac:dyDescent="0.3">
      <c r="A280" s="4">
        <v>32178</v>
      </c>
      <c r="B280" s="4" t="s">
        <v>28</v>
      </c>
      <c r="C280" s="4" t="s">
        <v>15</v>
      </c>
      <c r="D280" s="4" t="s">
        <v>16</v>
      </c>
      <c r="E280" s="4" t="s">
        <v>53</v>
      </c>
      <c r="F280" s="4" t="str">
        <f t="shared" si="4"/>
        <v>3MC</v>
      </c>
      <c r="G280" s="5">
        <v>46126</v>
      </c>
      <c r="H280" s="6">
        <v>0.62430555555555556</v>
      </c>
      <c r="I280" s="5">
        <v>46126</v>
      </c>
      <c r="J280" s="5">
        <v>46126</v>
      </c>
      <c r="K280" s="5">
        <v>46126</v>
      </c>
      <c r="L280" s="4" t="s">
        <v>187</v>
      </c>
      <c r="M280" s="4" t="s">
        <v>163</v>
      </c>
      <c r="N280" s="4" t="s">
        <v>21</v>
      </c>
      <c r="O280" s="4" t="s">
        <v>24</v>
      </c>
      <c r="P280" s="4">
        <v>27473</v>
      </c>
      <c r="Q280" s="4" t="s">
        <v>19</v>
      </c>
      <c r="R280" s="4">
        <v>39574</v>
      </c>
      <c r="S280" s="4" t="str">
        <f>VLOOKUP(L280&amp;TEXT(I280,"mmmm")&amp;YEAR(I280),'[1]Detalle C-Fecha'!$D$2:$E$15921,2,FALSE)</f>
        <v>CCUDyAZA</v>
      </c>
    </row>
    <row r="281" spans="1:19" x14ac:dyDescent="0.3">
      <c r="A281" s="4">
        <v>32179</v>
      </c>
      <c r="B281" s="4" t="s">
        <v>28</v>
      </c>
      <c r="C281" s="4" t="s">
        <v>15</v>
      </c>
      <c r="D281" s="4" t="s">
        <v>16</v>
      </c>
      <c r="E281" s="4" t="s">
        <v>112</v>
      </c>
      <c r="F281" s="4" t="str">
        <f t="shared" si="4"/>
        <v>6MC</v>
      </c>
      <c r="G281" s="5">
        <v>46126</v>
      </c>
      <c r="H281" s="6">
        <v>0.62430555555555556</v>
      </c>
      <c r="I281" s="5">
        <v>46126</v>
      </c>
      <c r="J281" s="5">
        <v>46126</v>
      </c>
      <c r="K281" s="5">
        <v>46126</v>
      </c>
      <c r="L281" s="4" t="s">
        <v>187</v>
      </c>
      <c r="M281" s="4" t="s">
        <v>163</v>
      </c>
      <c r="N281" s="4" t="s">
        <v>21</v>
      </c>
      <c r="O281" s="4" t="s">
        <v>24</v>
      </c>
      <c r="P281" s="4">
        <v>27474</v>
      </c>
      <c r="Q281" s="4" t="s">
        <v>19</v>
      </c>
      <c r="R281" s="4">
        <v>39575</v>
      </c>
      <c r="S281" s="4" t="str">
        <f>VLOOKUP(L281&amp;TEXT(I281,"mmmm")&amp;YEAR(I281),'[1]Detalle C-Fecha'!$D$2:$E$15921,2,FALSE)</f>
        <v>CCUDyAZA</v>
      </c>
    </row>
    <row r="282" spans="1:19" x14ac:dyDescent="0.3">
      <c r="A282" s="4">
        <v>32192</v>
      </c>
      <c r="B282" s="4" t="s">
        <v>28</v>
      </c>
      <c r="C282" s="4" t="s">
        <v>15</v>
      </c>
      <c r="D282" s="4" t="s">
        <v>16</v>
      </c>
      <c r="E282" s="4" t="s">
        <v>115</v>
      </c>
      <c r="F282" s="4" t="str">
        <f t="shared" si="4"/>
        <v>2ML</v>
      </c>
      <c r="G282" s="5">
        <v>46127</v>
      </c>
      <c r="H282" s="6">
        <v>0.33333333333333331</v>
      </c>
      <c r="I282" s="5">
        <v>46127</v>
      </c>
      <c r="J282" s="5">
        <v>46127</v>
      </c>
      <c r="K282" s="5">
        <v>46127</v>
      </c>
      <c r="L282" s="4" t="s">
        <v>92</v>
      </c>
      <c r="M282" s="4" t="s">
        <v>129</v>
      </c>
      <c r="N282" s="4" t="s">
        <v>21</v>
      </c>
      <c r="O282" s="4" t="s">
        <v>24</v>
      </c>
      <c r="P282" s="4">
        <v>27506</v>
      </c>
      <c r="Q282" s="4" t="s">
        <v>19</v>
      </c>
      <c r="R282" s="4">
        <v>39576</v>
      </c>
      <c r="S282" s="4" t="str">
        <f>VLOOKUP(L282&amp;TEXT(I282,"mmmm")&amp;YEAR(I282),'[1]Detalle C-Fecha'!$D$2:$E$15921,2,FALSE)</f>
        <v>ADA_CH - Danone Arg. S.A. - Chascomus</v>
      </c>
    </row>
    <row r="283" spans="1:19" x14ac:dyDescent="0.3">
      <c r="A283" s="4">
        <v>32193</v>
      </c>
      <c r="B283" s="4" t="s">
        <v>28</v>
      </c>
      <c r="C283" s="4" t="s">
        <v>15</v>
      </c>
      <c r="D283" s="4" t="s">
        <v>16</v>
      </c>
      <c r="E283" s="4" t="s">
        <v>116</v>
      </c>
      <c r="F283" s="4" t="str">
        <f t="shared" si="4"/>
        <v>3ML</v>
      </c>
      <c r="G283" s="5">
        <v>46127</v>
      </c>
      <c r="H283" s="6">
        <v>0.33333333333333331</v>
      </c>
      <c r="I283" s="5">
        <v>46127</v>
      </c>
      <c r="J283" s="5">
        <v>46127</v>
      </c>
      <c r="K283" s="5">
        <v>46127</v>
      </c>
      <c r="L283" s="4" t="s">
        <v>92</v>
      </c>
      <c r="M283" s="4" t="s">
        <v>129</v>
      </c>
      <c r="N283" s="4" t="s">
        <v>21</v>
      </c>
      <c r="O283" s="4" t="s">
        <v>24</v>
      </c>
      <c r="P283" s="4">
        <v>27507</v>
      </c>
      <c r="Q283" s="4" t="s">
        <v>19</v>
      </c>
      <c r="R283" s="4">
        <v>39577</v>
      </c>
      <c r="S283" s="4" t="str">
        <f>VLOOKUP(L283&amp;TEXT(I283,"mmmm")&amp;YEAR(I283),'[1]Detalle C-Fecha'!$D$2:$E$15921,2,FALSE)</f>
        <v>ADA_CH - Danone Arg. S.A. - Chascomus</v>
      </c>
    </row>
    <row r="284" spans="1:19" x14ac:dyDescent="0.3">
      <c r="A284" s="4">
        <v>32194</v>
      </c>
      <c r="B284" s="4" t="s">
        <v>28</v>
      </c>
      <c r="C284" s="4" t="s">
        <v>15</v>
      </c>
      <c r="D284" s="4" t="s">
        <v>16</v>
      </c>
      <c r="E284" s="4" t="s">
        <v>117</v>
      </c>
      <c r="F284" s="4" t="str">
        <f t="shared" si="4"/>
        <v>6ML</v>
      </c>
      <c r="G284" s="5">
        <v>46127</v>
      </c>
      <c r="H284" s="6">
        <v>0.33333333333333331</v>
      </c>
      <c r="I284" s="5">
        <v>46127</v>
      </c>
      <c r="J284" s="5">
        <v>46127</v>
      </c>
      <c r="K284" s="5">
        <v>46127</v>
      </c>
      <c r="L284" s="4" t="s">
        <v>92</v>
      </c>
      <c r="M284" s="4" t="s">
        <v>129</v>
      </c>
      <c r="N284" s="4" t="s">
        <v>21</v>
      </c>
      <c r="O284" s="4" t="s">
        <v>24</v>
      </c>
      <c r="P284" s="4">
        <v>27508</v>
      </c>
      <c r="Q284" s="4" t="s">
        <v>19</v>
      </c>
      <c r="R284" s="4">
        <v>39578</v>
      </c>
      <c r="S284" s="4" t="str">
        <f>VLOOKUP(L284&amp;TEXT(I284,"mmmm")&amp;YEAR(I284),'[1]Detalle C-Fecha'!$D$2:$E$15921,2,FALSE)</f>
        <v>ADA_CH - Danone Arg. S.A. - Chascomus</v>
      </c>
    </row>
    <row r="285" spans="1:19" x14ac:dyDescent="0.3">
      <c r="A285" s="4">
        <v>32203</v>
      </c>
      <c r="B285" s="4" t="s">
        <v>28</v>
      </c>
      <c r="C285" s="4" t="s">
        <v>15</v>
      </c>
      <c r="D285" s="4" t="s">
        <v>16</v>
      </c>
      <c r="E285" s="4" t="s">
        <v>35</v>
      </c>
      <c r="F285" s="4" t="str">
        <f t="shared" si="4"/>
        <v>2ML</v>
      </c>
      <c r="G285" s="5">
        <v>46127</v>
      </c>
      <c r="H285" s="6">
        <v>0.45069444444444445</v>
      </c>
      <c r="I285" s="5">
        <v>46127</v>
      </c>
      <c r="J285" s="5">
        <v>46127</v>
      </c>
      <c r="K285" s="5">
        <v>46127</v>
      </c>
      <c r="L285" s="4" t="s">
        <v>188</v>
      </c>
      <c r="M285" s="4" t="s">
        <v>126</v>
      </c>
      <c r="N285" s="4" t="s">
        <v>21</v>
      </c>
      <c r="O285" s="4" t="s">
        <v>27</v>
      </c>
      <c r="P285" s="4">
        <v>27544</v>
      </c>
      <c r="Q285" s="4" t="s">
        <v>19</v>
      </c>
      <c r="R285" s="4">
        <v>39654</v>
      </c>
      <c r="S285" s="4" t="str">
        <f>VLOOKUP(L285&amp;TEXT(I285,"mmmm")&amp;YEAR(I285),'[1]Detalle C-Fecha'!$D$2:$E$15921,2,FALSE)</f>
        <v>JOHNSON - SC JOHNSON DE ARGENTINA SAIC</v>
      </c>
    </row>
    <row r="286" spans="1:19" x14ac:dyDescent="0.3">
      <c r="A286" s="4">
        <v>32204</v>
      </c>
      <c r="B286" s="4" t="s">
        <v>28</v>
      </c>
      <c r="C286" s="4" t="s">
        <v>15</v>
      </c>
      <c r="D286" s="4" t="s">
        <v>16</v>
      </c>
      <c r="E286" s="4" t="s">
        <v>47</v>
      </c>
      <c r="F286" s="4" t="str">
        <f t="shared" si="4"/>
        <v>3ML</v>
      </c>
      <c r="G286" s="5">
        <v>46127</v>
      </c>
      <c r="H286" s="6">
        <v>0.45069444444444445</v>
      </c>
      <c r="I286" s="5">
        <v>46127</v>
      </c>
      <c r="J286" s="5">
        <v>46127</v>
      </c>
      <c r="K286" s="5">
        <v>46127</v>
      </c>
      <c r="L286" s="4" t="s">
        <v>188</v>
      </c>
      <c r="M286" s="4" t="s">
        <v>126</v>
      </c>
      <c r="N286" s="4" t="s">
        <v>21</v>
      </c>
      <c r="O286" s="4" t="s">
        <v>27</v>
      </c>
      <c r="P286" s="4">
        <v>27545</v>
      </c>
      <c r="Q286" s="4" t="s">
        <v>19</v>
      </c>
      <c r="R286" s="4">
        <v>39655</v>
      </c>
      <c r="S286" s="4" t="str">
        <f>VLOOKUP(L286&amp;TEXT(I286,"mmmm")&amp;YEAR(I286),'[1]Detalle C-Fecha'!$D$2:$E$15921,2,FALSE)</f>
        <v>JOHNSON - SC JOHNSON DE ARGENTINA SAIC</v>
      </c>
    </row>
    <row r="287" spans="1:19" x14ac:dyDescent="0.3">
      <c r="A287" s="4">
        <v>32205</v>
      </c>
      <c r="B287" s="4" t="s">
        <v>28</v>
      </c>
      <c r="C287" s="4" t="s">
        <v>15</v>
      </c>
      <c r="D287" s="4" t="s">
        <v>16</v>
      </c>
      <c r="E287" s="4" t="s">
        <v>46</v>
      </c>
      <c r="F287" s="4" t="str">
        <f t="shared" si="4"/>
        <v>6ML</v>
      </c>
      <c r="G287" s="5">
        <v>46127</v>
      </c>
      <c r="H287" s="6">
        <v>0.45069444444444445</v>
      </c>
      <c r="I287" s="5">
        <v>46127</v>
      </c>
      <c r="J287" s="5">
        <v>46127</v>
      </c>
      <c r="K287" s="5">
        <v>46127</v>
      </c>
      <c r="L287" s="4" t="s">
        <v>188</v>
      </c>
      <c r="M287" s="4" t="s">
        <v>126</v>
      </c>
      <c r="N287" s="4" t="s">
        <v>21</v>
      </c>
      <c r="O287" s="4" t="s">
        <v>27</v>
      </c>
      <c r="P287" s="4">
        <v>27546</v>
      </c>
      <c r="Q287" s="4" t="s">
        <v>19</v>
      </c>
      <c r="R287" s="4">
        <v>39657</v>
      </c>
      <c r="S287" s="4" t="str">
        <f>VLOOKUP(L287&amp;TEXT(I287,"mmmm")&amp;YEAR(I287),'[1]Detalle C-Fecha'!$D$2:$E$15921,2,FALSE)</f>
        <v>JOHNSON - SC JOHNSON DE ARGENTINA SAIC</v>
      </c>
    </row>
    <row r="288" spans="1:19" x14ac:dyDescent="0.3">
      <c r="A288" s="4">
        <v>32208</v>
      </c>
      <c r="B288" s="4" t="s">
        <v>28</v>
      </c>
      <c r="C288" s="4" t="s">
        <v>15</v>
      </c>
      <c r="D288" s="4" t="s">
        <v>16</v>
      </c>
      <c r="E288" s="4" t="s">
        <v>51</v>
      </c>
      <c r="F288" s="4" t="str">
        <f t="shared" si="4"/>
        <v>2MC</v>
      </c>
      <c r="G288" s="5">
        <v>46127</v>
      </c>
      <c r="H288" s="6">
        <v>0.4513888888888889</v>
      </c>
      <c r="I288" s="5">
        <v>46127</v>
      </c>
      <c r="J288" s="5">
        <v>46127</v>
      </c>
      <c r="K288" s="5">
        <v>46127</v>
      </c>
      <c r="L288" s="4" t="s">
        <v>189</v>
      </c>
      <c r="M288" s="4">
        <v>1318</v>
      </c>
      <c r="N288" s="4" t="s">
        <v>21</v>
      </c>
      <c r="O288" s="4" t="s">
        <v>27</v>
      </c>
      <c r="P288" s="4">
        <v>27549</v>
      </c>
      <c r="Q288" s="4" t="s">
        <v>19</v>
      </c>
      <c r="R288" s="4">
        <v>39661</v>
      </c>
      <c r="S288" s="4" t="str">
        <f>VLOOKUP(L288&amp;TEXT(I288,"mmmm")&amp;YEAR(I288),'[1]Detalle C-Fecha'!$D$2:$E$15921,2,FALSE)</f>
        <v>Unilever - Unilever de Arg. S.A.</v>
      </c>
    </row>
    <row r="289" spans="1:19" x14ac:dyDescent="0.3">
      <c r="A289" s="4">
        <v>32209</v>
      </c>
      <c r="B289" s="4" t="s">
        <v>28</v>
      </c>
      <c r="C289" s="4" t="s">
        <v>15</v>
      </c>
      <c r="D289" s="4" t="s">
        <v>16</v>
      </c>
      <c r="E289" s="4" t="s">
        <v>53</v>
      </c>
      <c r="F289" s="4" t="str">
        <f t="shared" si="4"/>
        <v>3MC</v>
      </c>
      <c r="G289" s="5">
        <v>46127</v>
      </c>
      <c r="H289" s="6">
        <v>0.4513888888888889</v>
      </c>
      <c r="I289" s="5">
        <v>46127</v>
      </c>
      <c r="J289" s="5">
        <v>46127</v>
      </c>
      <c r="K289" s="5">
        <v>46127</v>
      </c>
      <c r="L289" s="4" t="s">
        <v>189</v>
      </c>
      <c r="M289" s="4">
        <v>1318</v>
      </c>
      <c r="N289" s="4" t="s">
        <v>21</v>
      </c>
      <c r="O289" s="4" t="s">
        <v>27</v>
      </c>
      <c r="P289" s="4">
        <v>27550</v>
      </c>
      <c r="Q289" s="4" t="s">
        <v>19</v>
      </c>
      <c r="R289" s="4">
        <v>39662</v>
      </c>
      <c r="S289" s="4" t="str">
        <f>VLOOKUP(L289&amp;TEXT(I289,"mmmm")&amp;YEAR(I289),'[1]Detalle C-Fecha'!$D$2:$E$15921,2,FALSE)</f>
        <v>Unilever - Unilever de Arg. S.A.</v>
      </c>
    </row>
    <row r="290" spans="1:19" x14ac:dyDescent="0.3">
      <c r="A290" s="4">
        <v>32210</v>
      </c>
      <c r="B290" s="4" t="s">
        <v>28</v>
      </c>
      <c r="C290" s="4" t="s">
        <v>15</v>
      </c>
      <c r="D290" s="4" t="s">
        <v>16</v>
      </c>
      <c r="E290" s="4" t="s">
        <v>52</v>
      </c>
      <c r="F290" s="4" t="str">
        <f t="shared" si="4"/>
        <v>6MC</v>
      </c>
      <c r="G290" s="5">
        <v>46127</v>
      </c>
      <c r="H290" s="6">
        <v>0.4513888888888889</v>
      </c>
      <c r="I290" s="5">
        <v>46127</v>
      </c>
      <c r="J290" s="5">
        <v>46127</v>
      </c>
      <c r="K290" s="5">
        <v>46127</v>
      </c>
      <c r="L290" s="4" t="s">
        <v>189</v>
      </c>
      <c r="M290" s="4">
        <v>1318</v>
      </c>
      <c r="N290" s="4" t="s">
        <v>21</v>
      </c>
      <c r="O290" s="4" t="s">
        <v>27</v>
      </c>
      <c r="P290" s="4">
        <v>27551</v>
      </c>
      <c r="Q290" s="4" t="s">
        <v>19</v>
      </c>
      <c r="R290" s="4">
        <v>39663</v>
      </c>
      <c r="S290" s="4" t="str">
        <f>VLOOKUP(L290&amp;TEXT(I290,"mmmm")&amp;YEAR(I290),'[1]Detalle C-Fecha'!$D$2:$E$15921,2,FALSE)</f>
        <v>Unilever - Unilever de Arg. S.A.</v>
      </c>
    </row>
    <row r="291" spans="1:19" x14ac:dyDescent="0.3">
      <c r="A291" s="4">
        <v>32224</v>
      </c>
      <c r="B291" s="4" t="s">
        <v>28</v>
      </c>
      <c r="C291" s="4" t="s">
        <v>15</v>
      </c>
      <c r="D291" s="4" t="s">
        <v>16</v>
      </c>
      <c r="E291" s="4" t="s">
        <v>51</v>
      </c>
      <c r="F291" s="4" t="str">
        <f t="shared" si="4"/>
        <v>2MC</v>
      </c>
      <c r="G291" s="5">
        <v>46127</v>
      </c>
      <c r="H291" s="6">
        <v>0.75902777777777775</v>
      </c>
      <c r="I291" s="5">
        <v>46127</v>
      </c>
      <c r="J291" s="5">
        <v>46127</v>
      </c>
      <c r="K291" s="5">
        <v>46127</v>
      </c>
      <c r="L291" s="4" t="s">
        <v>190</v>
      </c>
      <c r="M291" s="4" t="s">
        <v>130</v>
      </c>
      <c r="N291" s="4" t="s">
        <v>21</v>
      </c>
      <c r="O291" s="4" t="s">
        <v>24</v>
      </c>
      <c r="P291" s="4">
        <v>27611</v>
      </c>
      <c r="Q291" s="4" t="s">
        <v>19</v>
      </c>
      <c r="R291" s="4">
        <v>39673</v>
      </c>
      <c r="S291" s="4" t="str">
        <f>VLOOKUP(L291&amp;TEXT(I291,"mmmm")&amp;YEAR(I291),'[1]Detalle C-Fecha'!$D$2:$E$15921,2,FALSE)</f>
        <v>CCUDyAZA</v>
      </c>
    </row>
    <row r="292" spans="1:19" x14ac:dyDescent="0.3">
      <c r="A292" s="4">
        <v>32225</v>
      </c>
      <c r="B292" s="4" t="s">
        <v>28</v>
      </c>
      <c r="C292" s="4" t="s">
        <v>15</v>
      </c>
      <c r="D292" s="4" t="s">
        <v>16</v>
      </c>
      <c r="E292" s="4" t="s">
        <v>53</v>
      </c>
      <c r="F292" s="4" t="str">
        <f t="shared" si="4"/>
        <v>3MC</v>
      </c>
      <c r="G292" s="5">
        <v>46127</v>
      </c>
      <c r="H292" s="6">
        <v>0.75902777777777775</v>
      </c>
      <c r="I292" s="5">
        <v>46127</v>
      </c>
      <c r="J292" s="5">
        <v>46127</v>
      </c>
      <c r="K292" s="5">
        <v>46127</v>
      </c>
      <c r="L292" s="4" t="s">
        <v>190</v>
      </c>
      <c r="M292" s="4" t="s">
        <v>130</v>
      </c>
      <c r="N292" s="4" t="s">
        <v>21</v>
      </c>
      <c r="O292" s="4" t="s">
        <v>24</v>
      </c>
      <c r="P292" s="4">
        <v>27612</v>
      </c>
      <c r="Q292" s="4" t="s">
        <v>19</v>
      </c>
      <c r="R292" s="4">
        <v>39674</v>
      </c>
      <c r="S292" s="4" t="str">
        <f>VLOOKUP(L292&amp;TEXT(I292,"mmmm")&amp;YEAR(I292),'[1]Detalle C-Fecha'!$D$2:$E$15921,2,FALSE)</f>
        <v>CCUDyAZA</v>
      </c>
    </row>
    <row r="293" spans="1:19" x14ac:dyDescent="0.3">
      <c r="A293" s="4">
        <v>32226</v>
      </c>
      <c r="B293" s="4" t="s">
        <v>28</v>
      </c>
      <c r="C293" s="4" t="s">
        <v>15</v>
      </c>
      <c r="D293" s="4" t="s">
        <v>16</v>
      </c>
      <c r="E293" s="4" t="s">
        <v>52</v>
      </c>
      <c r="F293" s="4" t="str">
        <f t="shared" si="4"/>
        <v>6MC</v>
      </c>
      <c r="G293" s="5">
        <v>46127</v>
      </c>
      <c r="H293" s="6">
        <v>0.7597222222222223</v>
      </c>
      <c r="I293" s="5">
        <v>46127</v>
      </c>
      <c r="J293" s="5">
        <v>46127</v>
      </c>
      <c r="K293" s="5">
        <v>46127</v>
      </c>
      <c r="L293" s="4" t="s">
        <v>190</v>
      </c>
      <c r="M293" s="4" t="s">
        <v>130</v>
      </c>
      <c r="N293" s="4" t="s">
        <v>21</v>
      </c>
      <c r="O293" s="4" t="s">
        <v>24</v>
      </c>
      <c r="P293" s="4">
        <v>27613</v>
      </c>
      <c r="Q293" s="4" t="s">
        <v>19</v>
      </c>
      <c r="R293" s="4">
        <v>39675</v>
      </c>
      <c r="S293" s="4" t="str">
        <f>VLOOKUP(L293&amp;TEXT(I293,"mmmm")&amp;YEAR(I293),'[1]Detalle C-Fecha'!$D$2:$E$15921,2,FALSE)</f>
        <v>CCUDyAZA</v>
      </c>
    </row>
    <row r="294" spans="1:19" x14ac:dyDescent="0.3">
      <c r="A294" s="4">
        <v>32274</v>
      </c>
      <c r="B294" s="4" t="s">
        <v>28</v>
      </c>
      <c r="C294" s="4" t="s">
        <v>15</v>
      </c>
      <c r="D294" s="4" t="s">
        <v>16</v>
      </c>
      <c r="E294" s="4" t="s">
        <v>51</v>
      </c>
      <c r="F294" s="4" t="str">
        <f t="shared" si="4"/>
        <v>2MC</v>
      </c>
      <c r="G294" s="5">
        <v>46127</v>
      </c>
      <c r="H294" s="6">
        <v>0.84513888888888899</v>
      </c>
      <c r="I294" s="5">
        <v>46127</v>
      </c>
      <c r="J294" s="5">
        <v>46127</v>
      </c>
      <c r="K294" s="5">
        <v>46127</v>
      </c>
      <c r="L294" s="4" t="s">
        <v>191</v>
      </c>
      <c r="M294" s="4" t="s">
        <v>192</v>
      </c>
      <c r="N294" s="4" t="s">
        <v>21</v>
      </c>
      <c r="O294" s="4" t="s">
        <v>24</v>
      </c>
      <c r="P294" s="4">
        <v>27627</v>
      </c>
      <c r="Q294" s="4" t="s">
        <v>19</v>
      </c>
      <c r="R294" s="4">
        <v>39678</v>
      </c>
      <c r="S294" s="4" t="str">
        <f>VLOOKUP(L294&amp;TEXT(I294,"mmmm")&amp;YEAR(I294),'[1]Detalle C-Fecha'!$D$2:$E$15921,2,FALSE)</f>
        <v>CCUDyAZA</v>
      </c>
    </row>
    <row r="295" spans="1:19" x14ac:dyDescent="0.3">
      <c r="A295" s="4">
        <v>32275</v>
      </c>
      <c r="B295" s="4" t="s">
        <v>28</v>
      </c>
      <c r="C295" s="4" t="s">
        <v>15</v>
      </c>
      <c r="D295" s="4" t="s">
        <v>16</v>
      </c>
      <c r="E295" s="4" t="s">
        <v>53</v>
      </c>
      <c r="F295" s="4" t="str">
        <f t="shared" si="4"/>
        <v>3MC</v>
      </c>
      <c r="G295" s="5">
        <v>46127</v>
      </c>
      <c r="H295" s="6">
        <v>0.84513888888888899</v>
      </c>
      <c r="I295" s="5">
        <v>46127</v>
      </c>
      <c r="J295" s="5">
        <v>46127</v>
      </c>
      <c r="K295" s="5">
        <v>46127</v>
      </c>
      <c r="L295" s="4" t="s">
        <v>191</v>
      </c>
      <c r="M295" s="4" t="s">
        <v>192</v>
      </c>
      <c r="N295" s="4" t="s">
        <v>21</v>
      </c>
      <c r="O295" s="4" t="s">
        <v>24</v>
      </c>
      <c r="P295" s="4">
        <v>27628</v>
      </c>
      <c r="Q295" s="4" t="s">
        <v>19</v>
      </c>
      <c r="R295" s="4">
        <v>39679</v>
      </c>
      <c r="S295" s="4" t="str">
        <f>VLOOKUP(L295&amp;TEXT(I295,"mmmm")&amp;YEAR(I295),'[1]Detalle C-Fecha'!$D$2:$E$15921,2,FALSE)</f>
        <v>CCUDyAZA</v>
      </c>
    </row>
    <row r="296" spans="1:19" x14ac:dyDescent="0.3">
      <c r="A296" s="4">
        <v>32434</v>
      </c>
      <c r="B296" s="4" t="s">
        <v>28</v>
      </c>
      <c r="C296" s="4" t="s">
        <v>15</v>
      </c>
      <c r="D296" s="4" t="s">
        <v>16</v>
      </c>
      <c r="E296" s="4" t="s">
        <v>35</v>
      </c>
      <c r="F296" s="4" t="str">
        <f t="shared" si="4"/>
        <v>2ML</v>
      </c>
      <c r="G296" s="5">
        <v>46128</v>
      </c>
      <c r="H296" s="6">
        <v>0.41388888888888892</v>
      </c>
      <c r="I296" s="5">
        <v>46128</v>
      </c>
      <c r="J296" s="5">
        <v>46128</v>
      </c>
      <c r="K296" s="5">
        <v>46128</v>
      </c>
      <c r="L296" s="4" t="s">
        <v>55</v>
      </c>
      <c r="M296" s="4" t="s">
        <v>131</v>
      </c>
      <c r="N296" s="4" t="s">
        <v>21</v>
      </c>
      <c r="O296" s="4" t="s">
        <v>25</v>
      </c>
      <c r="P296" s="4">
        <v>27639</v>
      </c>
      <c r="Q296" s="4" t="s">
        <v>19</v>
      </c>
      <c r="R296" s="4">
        <v>39680</v>
      </c>
      <c r="S296" s="4" t="str">
        <f>VLOOKUP(L296&amp;TEXT(I296,"mmmm")&amp;YEAR(I296),'[1]Detalle C-Fecha'!$D$2:$E$15921,2,FALSE)</f>
        <v>Expreso - Servicios Troncales</v>
      </c>
    </row>
    <row r="297" spans="1:19" x14ac:dyDescent="0.3">
      <c r="A297" s="4">
        <v>32435</v>
      </c>
      <c r="B297" s="4" t="s">
        <v>28</v>
      </c>
      <c r="C297" s="4" t="s">
        <v>15</v>
      </c>
      <c r="D297" s="4" t="s">
        <v>16</v>
      </c>
      <c r="E297" s="4" t="s">
        <v>47</v>
      </c>
      <c r="F297" s="4" t="str">
        <f t="shared" si="4"/>
        <v>3ML</v>
      </c>
      <c r="G297" s="5">
        <v>46128</v>
      </c>
      <c r="H297" s="6">
        <v>0.41388888888888892</v>
      </c>
      <c r="I297" s="5">
        <v>46128</v>
      </c>
      <c r="J297" s="5">
        <v>46128</v>
      </c>
      <c r="K297" s="5">
        <v>46128</v>
      </c>
      <c r="L297" s="4" t="s">
        <v>55</v>
      </c>
      <c r="M297" s="4" t="s">
        <v>131</v>
      </c>
      <c r="N297" s="4" t="s">
        <v>21</v>
      </c>
      <c r="O297" s="4" t="s">
        <v>25</v>
      </c>
      <c r="P297" s="4">
        <v>27640</v>
      </c>
      <c r="Q297" s="4" t="s">
        <v>19</v>
      </c>
      <c r="R297" s="4">
        <v>39681</v>
      </c>
      <c r="S297" s="4" t="str">
        <f>VLOOKUP(L297&amp;TEXT(I297,"mmmm")&amp;YEAR(I297),'[1]Detalle C-Fecha'!$D$2:$E$15921,2,FALSE)</f>
        <v>Expreso - Servicios Troncales</v>
      </c>
    </row>
    <row r="298" spans="1:19" x14ac:dyDescent="0.3">
      <c r="A298" s="4">
        <v>32438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46128</v>
      </c>
      <c r="H298" s="6">
        <v>0.4236111111111111</v>
      </c>
      <c r="I298" s="5">
        <v>46127</v>
      </c>
      <c r="J298" s="5">
        <v>46133</v>
      </c>
      <c r="K298" s="5">
        <v>46133</v>
      </c>
      <c r="L298" s="4" t="s">
        <v>193</v>
      </c>
      <c r="M298" s="4" t="s">
        <v>155</v>
      </c>
      <c r="N298" s="4" t="s">
        <v>17</v>
      </c>
      <c r="O298" s="4" t="s">
        <v>24</v>
      </c>
      <c r="P298" s="4">
        <v>27643</v>
      </c>
      <c r="Q298" s="4" t="s">
        <v>19</v>
      </c>
      <c r="R298" s="4">
        <v>39938</v>
      </c>
      <c r="S298" s="4" t="str">
        <f>VLOOKUP(L298&amp;TEXT(I298,"mmmm")&amp;YEAR(I298),'[1]Detalle C-Fecha'!$D$2:$E$15921,2,FALSE)</f>
        <v>CCU_MZA - Comp. Cerv. Unidas - MZA</v>
      </c>
    </row>
    <row r="299" spans="1:19" x14ac:dyDescent="0.3">
      <c r="A299" s="4">
        <v>32439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46128</v>
      </c>
      <c r="H299" s="6">
        <v>0.4236111111111111</v>
      </c>
      <c r="I299" s="5">
        <v>46127</v>
      </c>
      <c r="J299" s="5">
        <v>46133</v>
      </c>
      <c r="K299" s="5">
        <v>46133</v>
      </c>
      <c r="L299" s="4" t="s">
        <v>193</v>
      </c>
      <c r="M299" s="4" t="s">
        <v>155</v>
      </c>
      <c r="N299" s="4" t="s">
        <v>17</v>
      </c>
      <c r="O299" s="4" t="s">
        <v>24</v>
      </c>
      <c r="P299" s="4">
        <v>27644</v>
      </c>
      <c r="Q299" s="4" t="s">
        <v>19</v>
      </c>
      <c r="R299" s="4">
        <v>39936</v>
      </c>
      <c r="S299" s="4" t="str">
        <f>VLOOKUP(L299&amp;TEXT(I299,"mmmm")&amp;YEAR(I299),'[1]Detalle C-Fecha'!$D$2:$E$15921,2,FALSE)</f>
        <v>CCU_MZA - Comp. Cerv. Unidas - MZA</v>
      </c>
    </row>
    <row r="300" spans="1:19" x14ac:dyDescent="0.3">
      <c r="A300" s="4">
        <v>32440</v>
      </c>
      <c r="B300" s="4" t="s">
        <v>28</v>
      </c>
      <c r="C300" s="4" t="s">
        <v>15</v>
      </c>
      <c r="D300" s="4" t="s">
        <v>16</v>
      </c>
      <c r="E300" s="4" t="s">
        <v>111</v>
      </c>
      <c r="F300" s="4" t="str">
        <f t="shared" si="4"/>
        <v>6MC</v>
      </c>
      <c r="G300" s="5">
        <v>46128</v>
      </c>
      <c r="H300" s="6">
        <v>0.4236111111111111</v>
      </c>
      <c r="I300" s="5">
        <v>46127</v>
      </c>
      <c r="J300" s="5">
        <v>46133</v>
      </c>
      <c r="K300" s="5">
        <v>46133</v>
      </c>
      <c r="L300" s="4" t="s">
        <v>193</v>
      </c>
      <c r="M300" s="4" t="s">
        <v>155</v>
      </c>
      <c r="N300" s="4" t="s">
        <v>17</v>
      </c>
      <c r="O300" s="4" t="s">
        <v>24</v>
      </c>
      <c r="P300" s="4">
        <v>27645</v>
      </c>
      <c r="Q300" s="4" t="s">
        <v>19</v>
      </c>
      <c r="R300" s="4">
        <v>39934</v>
      </c>
      <c r="S300" s="4" t="str">
        <f>VLOOKUP(L300&amp;TEXT(I300,"mmmm")&amp;YEAR(I300),'[1]Detalle C-Fecha'!$D$2:$E$15921,2,FALSE)</f>
        <v>CCU_MZA - Comp. Cerv. Unidas - MZA</v>
      </c>
    </row>
    <row r="301" spans="1:19" x14ac:dyDescent="0.3">
      <c r="A301" s="4">
        <v>32443</v>
      </c>
      <c r="B301" s="4" t="s">
        <v>28</v>
      </c>
      <c r="C301" s="4" t="s">
        <v>15</v>
      </c>
      <c r="D301" s="4" t="s">
        <v>16</v>
      </c>
      <c r="E301" s="4" t="s">
        <v>35</v>
      </c>
      <c r="F301" s="4" t="str">
        <f t="shared" si="4"/>
        <v>2ML</v>
      </c>
      <c r="G301" s="5">
        <v>46128</v>
      </c>
      <c r="H301" s="6">
        <v>0.44791666666666669</v>
      </c>
      <c r="I301" s="5">
        <v>46127</v>
      </c>
      <c r="J301" s="5">
        <v>46127</v>
      </c>
      <c r="K301" s="5">
        <v>46127</v>
      </c>
      <c r="L301" s="4" t="s">
        <v>194</v>
      </c>
      <c r="M301" s="4" t="s">
        <v>163</v>
      </c>
      <c r="N301" s="4" t="s">
        <v>17</v>
      </c>
      <c r="O301" s="4" t="s">
        <v>24</v>
      </c>
      <c r="P301" s="4">
        <v>27647</v>
      </c>
      <c r="Q301" s="4" t="s">
        <v>19</v>
      </c>
      <c r="R301" s="4">
        <v>39932</v>
      </c>
      <c r="S301" s="4" t="str">
        <f>VLOOKUP(L301&amp;TEXT(I301,"mmmm")&amp;YEAR(I301),'[1]Detalle C-Fecha'!$D$2:$E$15921,2,FALSE)</f>
        <v>CENCOMLD - Cencosud SA - Mendoza</v>
      </c>
    </row>
    <row r="302" spans="1:19" x14ac:dyDescent="0.3">
      <c r="A302" s="4">
        <v>32444</v>
      </c>
      <c r="B302" s="4" t="s">
        <v>28</v>
      </c>
      <c r="C302" s="4" t="s">
        <v>15</v>
      </c>
      <c r="D302" s="4" t="s">
        <v>16</v>
      </c>
      <c r="E302" s="4" t="s">
        <v>47</v>
      </c>
      <c r="F302" s="4" t="str">
        <f t="shared" si="4"/>
        <v>3ML</v>
      </c>
      <c r="G302" s="5">
        <v>46128</v>
      </c>
      <c r="H302" s="6">
        <v>0.44791666666666669</v>
      </c>
      <c r="I302" s="5">
        <v>46127</v>
      </c>
      <c r="J302" s="5">
        <v>46127</v>
      </c>
      <c r="K302" s="5">
        <v>46127</v>
      </c>
      <c r="L302" s="4" t="s">
        <v>194</v>
      </c>
      <c r="M302" s="4" t="s">
        <v>163</v>
      </c>
      <c r="N302" s="4" t="s">
        <v>17</v>
      </c>
      <c r="O302" s="4" t="s">
        <v>24</v>
      </c>
      <c r="P302" s="4">
        <v>27648</v>
      </c>
      <c r="Q302" s="4" t="s">
        <v>19</v>
      </c>
      <c r="R302" s="4">
        <v>39930</v>
      </c>
      <c r="S302" s="4" t="str">
        <f>VLOOKUP(L302&amp;TEXT(I302,"mmmm")&amp;YEAR(I302),'[1]Detalle C-Fecha'!$D$2:$E$15921,2,FALSE)</f>
        <v>CENCOMLD - Cencosud SA - Mendoza</v>
      </c>
    </row>
    <row r="303" spans="1:19" x14ac:dyDescent="0.3">
      <c r="A303" s="4">
        <v>32445</v>
      </c>
      <c r="B303" s="4" t="s">
        <v>28</v>
      </c>
      <c r="C303" s="4" t="s">
        <v>15</v>
      </c>
      <c r="D303" s="4" t="s">
        <v>16</v>
      </c>
      <c r="E303" s="4" t="s">
        <v>112</v>
      </c>
      <c r="F303" s="4" t="str">
        <f t="shared" si="4"/>
        <v>6MC</v>
      </c>
      <c r="G303" s="5">
        <v>46128</v>
      </c>
      <c r="H303" s="6">
        <v>0.44791666666666669</v>
      </c>
      <c r="I303" s="5">
        <v>46127</v>
      </c>
      <c r="J303" s="5">
        <v>46127</v>
      </c>
      <c r="K303" s="5">
        <v>46127</v>
      </c>
      <c r="L303" s="4" t="s">
        <v>194</v>
      </c>
      <c r="M303" s="4" t="s">
        <v>163</v>
      </c>
      <c r="N303" s="4" t="s">
        <v>17</v>
      </c>
      <c r="O303" s="4" t="s">
        <v>24</v>
      </c>
      <c r="P303" s="4">
        <v>27649</v>
      </c>
      <c r="Q303" s="4" t="s">
        <v>19</v>
      </c>
      <c r="R303" s="4">
        <v>39928</v>
      </c>
      <c r="S303" s="4" t="str">
        <f>VLOOKUP(L303&amp;TEXT(I303,"mmmm")&amp;YEAR(I303),'[1]Detalle C-Fecha'!$D$2:$E$15921,2,FALSE)</f>
        <v>CENCOMLD - Cencosud SA - Mendoza</v>
      </c>
    </row>
    <row r="304" spans="1:19" x14ac:dyDescent="0.3">
      <c r="A304" s="4">
        <v>32496</v>
      </c>
      <c r="B304" s="4" t="s">
        <v>28</v>
      </c>
      <c r="C304" s="4" t="s">
        <v>15</v>
      </c>
      <c r="D304" s="4" t="s">
        <v>16</v>
      </c>
      <c r="E304" s="4" t="s">
        <v>51</v>
      </c>
      <c r="F304" s="4" t="str">
        <f t="shared" si="4"/>
        <v>2MC</v>
      </c>
      <c r="G304" s="5">
        <v>46128</v>
      </c>
      <c r="H304" s="6">
        <v>0.69374999999999998</v>
      </c>
      <c r="I304" s="5">
        <v>46128</v>
      </c>
      <c r="J304" s="5">
        <v>46128</v>
      </c>
      <c r="K304" s="5">
        <v>46128</v>
      </c>
      <c r="L304" s="4" t="s">
        <v>195</v>
      </c>
      <c r="M304" s="4">
        <v>1318</v>
      </c>
      <c r="N304" s="4" t="s">
        <v>21</v>
      </c>
      <c r="O304" s="4" t="s">
        <v>27</v>
      </c>
      <c r="P304" s="4">
        <v>27663</v>
      </c>
      <c r="Q304" s="4" t="s">
        <v>19</v>
      </c>
      <c r="R304" s="4">
        <v>40020</v>
      </c>
      <c r="S304" s="4" t="str">
        <f>VLOOKUP(L304&amp;TEXT(I304,"mmmm")&amp;YEAR(I304),'[1]Detalle C-Fecha'!$D$2:$E$15921,2,FALSE)</f>
        <v>CCUCoAZA</v>
      </c>
    </row>
    <row r="305" spans="1:19" x14ac:dyDescent="0.3">
      <c r="A305" s="4">
        <v>32497</v>
      </c>
      <c r="B305" s="4" t="s">
        <v>28</v>
      </c>
      <c r="C305" s="4" t="s">
        <v>15</v>
      </c>
      <c r="D305" s="4" t="s">
        <v>16</v>
      </c>
      <c r="E305" s="4" t="s">
        <v>53</v>
      </c>
      <c r="F305" s="4" t="str">
        <f t="shared" si="4"/>
        <v>3MC</v>
      </c>
      <c r="G305" s="5">
        <v>46128</v>
      </c>
      <c r="H305" s="6">
        <v>0.69374999999999998</v>
      </c>
      <c r="I305" s="5">
        <v>46128</v>
      </c>
      <c r="J305" s="5">
        <v>46128</v>
      </c>
      <c r="K305" s="5">
        <v>46128</v>
      </c>
      <c r="L305" s="4" t="s">
        <v>195</v>
      </c>
      <c r="M305" s="4">
        <v>1318</v>
      </c>
      <c r="N305" s="4" t="s">
        <v>21</v>
      </c>
      <c r="O305" s="4" t="s">
        <v>27</v>
      </c>
      <c r="P305" s="4">
        <v>27664</v>
      </c>
      <c r="Q305" s="4" t="s">
        <v>19</v>
      </c>
      <c r="R305" s="4">
        <v>40021</v>
      </c>
      <c r="S305" s="4" t="str">
        <f>VLOOKUP(L305&amp;TEXT(I305,"mmmm")&amp;YEAR(I305),'[1]Detalle C-Fecha'!$D$2:$E$15921,2,FALSE)</f>
        <v>CCUCoAZA</v>
      </c>
    </row>
    <row r="306" spans="1:19" x14ac:dyDescent="0.3">
      <c r="A306" s="4">
        <v>32498</v>
      </c>
      <c r="B306" s="4" t="s">
        <v>28</v>
      </c>
      <c r="C306" s="4" t="s">
        <v>15</v>
      </c>
      <c r="D306" s="4" t="s">
        <v>16</v>
      </c>
      <c r="E306" s="4" t="s">
        <v>52</v>
      </c>
      <c r="F306" s="4" t="str">
        <f t="shared" si="4"/>
        <v>6MC</v>
      </c>
      <c r="G306" s="5">
        <v>46128</v>
      </c>
      <c r="H306" s="6">
        <v>0.69374999999999998</v>
      </c>
      <c r="I306" s="5">
        <v>46128</v>
      </c>
      <c r="J306" s="5">
        <v>46128</v>
      </c>
      <c r="K306" s="5">
        <v>46128</v>
      </c>
      <c r="L306" s="4" t="s">
        <v>195</v>
      </c>
      <c r="M306" s="4">
        <v>1318</v>
      </c>
      <c r="N306" s="4" t="s">
        <v>21</v>
      </c>
      <c r="O306" s="4" t="s">
        <v>27</v>
      </c>
      <c r="P306" s="4">
        <v>27665</v>
      </c>
      <c r="Q306" s="4" t="s">
        <v>19</v>
      </c>
      <c r="R306" s="4">
        <v>40022</v>
      </c>
      <c r="S306" s="4" t="str">
        <f>VLOOKUP(L306&amp;TEXT(I306,"mmmm")&amp;YEAR(I306),'[1]Detalle C-Fecha'!$D$2:$E$15921,2,FALSE)</f>
        <v>CCUCoAZA</v>
      </c>
    </row>
    <row r="307" spans="1:19" x14ac:dyDescent="0.3">
      <c r="A307" s="4">
        <v>32504</v>
      </c>
      <c r="B307" s="4" t="s">
        <v>28</v>
      </c>
      <c r="C307" s="4" t="s">
        <v>15</v>
      </c>
      <c r="D307" s="4" t="s">
        <v>16</v>
      </c>
      <c r="E307" s="4" t="s">
        <v>115</v>
      </c>
      <c r="F307" s="4" t="str">
        <f t="shared" si="4"/>
        <v>2ML</v>
      </c>
      <c r="G307" s="5">
        <v>46129</v>
      </c>
      <c r="H307" s="6">
        <v>0.34722222222222227</v>
      </c>
      <c r="I307" s="5">
        <v>46129</v>
      </c>
      <c r="J307" s="5">
        <v>46129</v>
      </c>
      <c r="K307" s="5">
        <v>46129</v>
      </c>
      <c r="L307" s="4" t="s">
        <v>36</v>
      </c>
      <c r="M307" s="4" t="s">
        <v>129</v>
      </c>
      <c r="N307" s="4" t="s">
        <v>21</v>
      </c>
      <c r="O307" s="4" t="s">
        <v>24</v>
      </c>
      <c r="P307" s="4">
        <v>27671</v>
      </c>
      <c r="Q307" s="4" t="s">
        <v>19</v>
      </c>
      <c r="R307" s="4">
        <v>40026</v>
      </c>
      <c r="S307" s="4" t="str">
        <f>VLOOKUP(L307&amp;TEXT(I307,"mmmm")&amp;YEAR(I307),'[1]Detalle C-Fecha'!$D$2:$E$15921,2,FALSE)</f>
        <v>ADA_CH - Danone Arg. S.A. - Chascomus</v>
      </c>
    </row>
    <row r="308" spans="1:19" x14ac:dyDescent="0.3">
      <c r="A308" s="4">
        <v>32505</v>
      </c>
      <c r="B308" s="4" t="s">
        <v>28</v>
      </c>
      <c r="C308" s="4" t="s">
        <v>15</v>
      </c>
      <c r="D308" s="4" t="s">
        <v>16</v>
      </c>
      <c r="E308" s="4" t="s">
        <v>116</v>
      </c>
      <c r="F308" s="4" t="str">
        <f t="shared" si="4"/>
        <v>3ML</v>
      </c>
      <c r="G308" s="5">
        <v>46129</v>
      </c>
      <c r="H308" s="6">
        <v>0.34722222222222227</v>
      </c>
      <c r="I308" s="5">
        <v>46129</v>
      </c>
      <c r="J308" s="5">
        <v>46129</v>
      </c>
      <c r="K308" s="5">
        <v>46129</v>
      </c>
      <c r="L308" s="4" t="s">
        <v>36</v>
      </c>
      <c r="M308" s="4" t="s">
        <v>129</v>
      </c>
      <c r="N308" s="4" t="s">
        <v>21</v>
      </c>
      <c r="O308" s="4" t="s">
        <v>24</v>
      </c>
      <c r="P308" s="4">
        <v>27672</v>
      </c>
      <c r="Q308" s="4" t="s">
        <v>19</v>
      </c>
      <c r="R308" s="4">
        <v>40027</v>
      </c>
      <c r="S308" s="4" t="str">
        <f>VLOOKUP(L308&amp;TEXT(I308,"mmmm")&amp;YEAR(I308),'[1]Detalle C-Fecha'!$D$2:$E$15921,2,FALSE)</f>
        <v>ADA_CH - Danone Arg. S.A. - Chascomus</v>
      </c>
    </row>
    <row r="309" spans="1:19" x14ac:dyDescent="0.3">
      <c r="A309" s="4">
        <v>32506</v>
      </c>
      <c r="B309" s="4" t="s">
        <v>28</v>
      </c>
      <c r="C309" s="4" t="s">
        <v>15</v>
      </c>
      <c r="D309" s="4" t="s">
        <v>16</v>
      </c>
      <c r="E309" s="4" t="s">
        <v>117</v>
      </c>
      <c r="F309" s="4" t="str">
        <f t="shared" si="4"/>
        <v>6ML</v>
      </c>
      <c r="G309" s="5">
        <v>46129</v>
      </c>
      <c r="H309" s="6">
        <v>0.34722222222222227</v>
      </c>
      <c r="I309" s="5">
        <v>46129</v>
      </c>
      <c r="J309" s="5">
        <v>46129</v>
      </c>
      <c r="K309" s="5">
        <v>46129</v>
      </c>
      <c r="L309" s="4" t="s">
        <v>36</v>
      </c>
      <c r="M309" s="4" t="s">
        <v>129</v>
      </c>
      <c r="N309" s="4" t="s">
        <v>21</v>
      </c>
      <c r="O309" s="4" t="s">
        <v>24</v>
      </c>
      <c r="P309" s="4">
        <v>27673</v>
      </c>
      <c r="Q309" s="4" t="s">
        <v>19</v>
      </c>
      <c r="R309" s="4">
        <v>40028</v>
      </c>
      <c r="S309" s="4" t="str">
        <f>VLOOKUP(L309&amp;TEXT(I309,"mmmm")&amp;YEAR(I309),'[1]Detalle C-Fecha'!$D$2:$E$15921,2,FALSE)</f>
        <v>ADA_CH - Danone Arg. S.A. - Chascomus</v>
      </c>
    </row>
    <row r="310" spans="1:19" x14ac:dyDescent="0.3">
      <c r="A310" s="4">
        <v>32518</v>
      </c>
      <c r="B310" s="4" t="s">
        <v>28</v>
      </c>
      <c r="C310" s="4" t="s">
        <v>15</v>
      </c>
      <c r="D310" s="4" t="s">
        <v>16</v>
      </c>
      <c r="E310" s="4" t="s">
        <v>121</v>
      </c>
      <c r="F310" s="4" t="str">
        <f t="shared" si="4"/>
        <v>2MC</v>
      </c>
      <c r="G310" s="5">
        <v>46129</v>
      </c>
      <c r="H310" s="6">
        <v>0.4069444444444445</v>
      </c>
      <c r="I310" s="5">
        <v>46129</v>
      </c>
      <c r="J310" s="5">
        <v>46129</v>
      </c>
      <c r="K310" s="5">
        <v>46129</v>
      </c>
      <c r="L310" s="4" t="s">
        <v>196</v>
      </c>
      <c r="M310" s="4">
        <v>1624</v>
      </c>
      <c r="N310" s="4" t="s">
        <v>21</v>
      </c>
      <c r="O310" s="4" t="s">
        <v>27</v>
      </c>
      <c r="P310" s="4">
        <v>27685</v>
      </c>
      <c r="Q310" s="4" t="s">
        <v>19</v>
      </c>
      <c r="R310" s="4">
        <v>40029</v>
      </c>
      <c r="S310" s="4" t="str">
        <f>VLOOKUP(L310&amp;TEXT(I310,"mmmm")&amp;YEAR(I310),'[1]Detalle C-Fecha'!$D$2:$E$15921,2,FALSE)</f>
        <v>Papelera - Papelera del Plata S.A.</v>
      </c>
    </row>
    <row r="311" spans="1:19" x14ac:dyDescent="0.3">
      <c r="A311" s="4">
        <v>32519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46129</v>
      </c>
      <c r="H311" s="6">
        <v>0.4069444444444445</v>
      </c>
      <c r="I311" s="5">
        <v>46129</v>
      </c>
      <c r="J311" s="5">
        <v>46129</v>
      </c>
      <c r="K311" s="5">
        <v>46129</v>
      </c>
      <c r="L311" s="4" t="s">
        <v>196</v>
      </c>
      <c r="M311" s="4">
        <v>1624</v>
      </c>
      <c r="N311" s="4" t="s">
        <v>21</v>
      </c>
      <c r="O311" s="4" t="s">
        <v>27</v>
      </c>
      <c r="P311" s="4">
        <v>27686</v>
      </c>
      <c r="Q311" s="4" t="s">
        <v>19</v>
      </c>
      <c r="R311" s="4">
        <v>40030</v>
      </c>
      <c r="S311" s="4" t="str">
        <f>VLOOKUP(L311&amp;TEXT(I311,"mmmm")&amp;YEAR(I311),'[1]Detalle C-Fecha'!$D$2:$E$15921,2,FALSE)</f>
        <v>Papelera - Papelera del Plata S.A.</v>
      </c>
    </row>
    <row r="312" spans="1:19" x14ac:dyDescent="0.3">
      <c r="A312" s="4">
        <v>32520</v>
      </c>
      <c r="B312" s="4" t="s">
        <v>28</v>
      </c>
      <c r="C312" s="4" t="s">
        <v>15</v>
      </c>
      <c r="D312" s="4" t="s">
        <v>16</v>
      </c>
      <c r="E312" s="4" t="s">
        <v>111</v>
      </c>
      <c r="F312" s="4" t="str">
        <f t="shared" si="4"/>
        <v>6MC</v>
      </c>
      <c r="G312" s="5">
        <v>46129</v>
      </c>
      <c r="H312" s="6">
        <v>0.4069444444444445</v>
      </c>
      <c r="I312" s="5">
        <v>46129</v>
      </c>
      <c r="J312" s="5">
        <v>46129</v>
      </c>
      <c r="K312" s="5">
        <v>46129</v>
      </c>
      <c r="L312" s="4" t="s">
        <v>196</v>
      </c>
      <c r="M312" s="4">
        <v>1624</v>
      </c>
      <c r="N312" s="4" t="s">
        <v>21</v>
      </c>
      <c r="O312" s="4" t="s">
        <v>27</v>
      </c>
      <c r="P312" s="4">
        <v>27687</v>
      </c>
      <c r="Q312" s="4" t="s">
        <v>19</v>
      </c>
      <c r="R312" s="4">
        <v>40031</v>
      </c>
      <c r="S312" s="4" t="str">
        <f>VLOOKUP(L312&amp;TEXT(I312,"mmmm")&amp;YEAR(I312),'[1]Detalle C-Fecha'!$D$2:$E$15921,2,FALSE)</f>
        <v>Papelera - Papelera del Plata S.A.</v>
      </c>
    </row>
    <row r="313" spans="1:19" x14ac:dyDescent="0.3">
      <c r="A313" s="4">
        <v>32664</v>
      </c>
      <c r="B313" s="4" t="s">
        <v>28</v>
      </c>
      <c r="C313" s="4" t="s">
        <v>15</v>
      </c>
      <c r="D313" s="4" t="s">
        <v>16</v>
      </c>
      <c r="E313" s="4" t="s">
        <v>35</v>
      </c>
      <c r="F313" s="4" t="str">
        <f t="shared" si="4"/>
        <v>2ML</v>
      </c>
      <c r="G313" s="5">
        <v>46132</v>
      </c>
      <c r="H313" s="6">
        <v>0.52222222222222225</v>
      </c>
      <c r="I313" s="5">
        <v>46132</v>
      </c>
      <c r="J313" s="5">
        <v>46132</v>
      </c>
      <c r="K313" s="5">
        <v>46132</v>
      </c>
      <c r="L313" s="4" t="s">
        <v>76</v>
      </c>
      <c r="M313" s="4" t="s">
        <v>127</v>
      </c>
      <c r="N313" s="4" t="s">
        <v>17</v>
      </c>
      <c r="O313" s="4" t="s">
        <v>24</v>
      </c>
      <c r="P313" s="4">
        <v>27790</v>
      </c>
      <c r="Q313" s="4" t="s">
        <v>19</v>
      </c>
      <c r="R313" s="4">
        <v>40198</v>
      </c>
      <c r="S313" s="4" t="str">
        <f>VLOOKUP(L313&amp;TEXT(I313,"mmmm")&amp;YEAR(I313),'[1]Detalle C-Fecha'!$D$2:$E$15921,2,FALSE)</f>
        <v>CENCOMLD - Cencosud SA - Mendoza</v>
      </c>
    </row>
    <row r="314" spans="1:19" x14ac:dyDescent="0.3">
      <c r="A314" s="4">
        <v>32665</v>
      </c>
      <c r="B314" s="4" t="s">
        <v>28</v>
      </c>
      <c r="C314" s="4" t="s">
        <v>15</v>
      </c>
      <c r="D314" s="4" t="s">
        <v>16</v>
      </c>
      <c r="E314" s="4" t="s">
        <v>47</v>
      </c>
      <c r="F314" s="4" t="str">
        <f t="shared" si="4"/>
        <v>3ML</v>
      </c>
      <c r="G314" s="5">
        <v>46132</v>
      </c>
      <c r="H314" s="6">
        <v>0.52222222222222225</v>
      </c>
      <c r="I314" s="5">
        <v>46132</v>
      </c>
      <c r="J314" s="5">
        <v>46132</v>
      </c>
      <c r="K314" s="5">
        <v>46132</v>
      </c>
      <c r="L314" s="4" t="s">
        <v>76</v>
      </c>
      <c r="M314" s="4" t="s">
        <v>127</v>
      </c>
      <c r="N314" s="4" t="s">
        <v>17</v>
      </c>
      <c r="O314" s="4" t="s">
        <v>24</v>
      </c>
      <c r="P314" s="4">
        <v>27791</v>
      </c>
      <c r="Q314" s="4" t="s">
        <v>19</v>
      </c>
      <c r="R314" s="4">
        <v>40200</v>
      </c>
      <c r="S314" s="4" t="str">
        <f>VLOOKUP(L314&amp;TEXT(I314,"mmmm")&amp;YEAR(I314),'[1]Detalle C-Fecha'!$D$2:$E$15921,2,FALSE)</f>
        <v>CENCOMLD - Cencosud SA - Mendoza</v>
      </c>
    </row>
    <row r="315" spans="1:19" x14ac:dyDescent="0.3">
      <c r="A315" s="4">
        <v>32666</v>
      </c>
      <c r="B315" s="4" t="s">
        <v>28</v>
      </c>
      <c r="C315" s="4" t="s">
        <v>15</v>
      </c>
      <c r="D315" s="4" t="s">
        <v>16</v>
      </c>
      <c r="E315" s="4" t="s">
        <v>46</v>
      </c>
      <c r="F315" s="4" t="str">
        <f t="shared" si="4"/>
        <v>6ML</v>
      </c>
      <c r="G315" s="5">
        <v>46132</v>
      </c>
      <c r="H315" s="6">
        <v>0.52222222222222225</v>
      </c>
      <c r="I315" s="5">
        <v>46132</v>
      </c>
      <c r="J315" s="5">
        <v>46132</v>
      </c>
      <c r="K315" s="5">
        <v>46132</v>
      </c>
      <c r="L315" s="4" t="s">
        <v>76</v>
      </c>
      <c r="M315" s="4" t="s">
        <v>127</v>
      </c>
      <c r="N315" s="4" t="s">
        <v>17</v>
      </c>
      <c r="O315" s="4" t="s">
        <v>24</v>
      </c>
      <c r="P315" s="4">
        <v>27792</v>
      </c>
      <c r="Q315" s="4" t="s">
        <v>19</v>
      </c>
      <c r="R315" s="4">
        <v>40202</v>
      </c>
      <c r="S315" s="4" t="str">
        <f>VLOOKUP(L315&amp;TEXT(I315,"mmmm")&amp;YEAR(I315),'[1]Detalle C-Fecha'!$D$2:$E$15921,2,FALSE)</f>
        <v>CENCOMLD - Cencosud SA - Mendoza</v>
      </c>
    </row>
    <row r="316" spans="1:19" x14ac:dyDescent="0.3">
      <c r="A316" s="4">
        <v>32682</v>
      </c>
      <c r="B316" s="4" t="s">
        <v>28</v>
      </c>
      <c r="C316" s="4" t="s">
        <v>15</v>
      </c>
      <c r="D316" s="4" t="s">
        <v>16</v>
      </c>
      <c r="E316" s="4" t="s">
        <v>51</v>
      </c>
      <c r="F316" s="4" t="str">
        <f t="shared" si="4"/>
        <v>2MC</v>
      </c>
      <c r="G316" s="5">
        <v>46132</v>
      </c>
      <c r="H316" s="6">
        <v>0.70347222222222217</v>
      </c>
      <c r="I316" s="5">
        <v>46132</v>
      </c>
      <c r="J316" s="5">
        <v>46132</v>
      </c>
      <c r="K316" s="5">
        <v>46132</v>
      </c>
      <c r="L316" s="4" t="s">
        <v>197</v>
      </c>
      <c r="M316" s="4">
        <v>1620</v>
      </c>
      <c r="N316" s="4" t="s">
        <v>21</v>
      </c>
      <c r="O316" s="4" t="s">
        <v>18</v>
      </c>
      <c r="P316" s="4">
        <v>27807</v>
      </c>
      <c r="Q316" s="4" t="s">
        <v>19</v>
      </c>
      <c r="R316" s="4">
        <v>40081</v>
      </c>
      <c r="S316" s="4" t="str">
        <f>VLOOKUP(L316&amp;TEXT(I316,"mmmm")&amp;YEAR(I316),'[1]Detalle C-Fecha'!$D$2:$E$15921,2,FALSE)</f>
        <v>AGN_TTE - AGUANORT - Transporte</v>
      </c>
    </row>
    <row r="317" spans="1:19" x14ac:dyDescent="0.3">
      <c r="A317" s="4">
        <v>32683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46132</v>
      </c>
      <c r="H317" s="6">
        <v>0.70347222222222217</v>
      </c>
      <c r="I317" s="5">
        <v>46132</v>
      </c>
      <c r="J317" s="5">
        <v>46132</v>
      </c>
      <c r="K317" s="5">
        <v>46132</v>
      </c>
      <c r="L317" s="4" t="s">
        <v>197</v>
      </c>
      <c r="M317" s="4">
        <v>1620</v>
      </c>
      <c r="N317" s="4" t="s">
        <v>21</v>
      </c>
      <c r="O317" s="4" t="s">
        <v>18</v>
      </c>
      <c r="P317" s="4">
        <v>27808</v>
      </c>
      <c r="Q317" s="4" t="s">
        <v>19</v>
      </c>
      <c r="R317" s="4">
        <v>40082</v>
      </c>
      <c r="S317" s="4" t="str">
        <f>VLOOKUP(L317&amp;TEXT(I317,"mmmm")&amp;YEAR(I317),'[1]Detalle C-Fecha'!$D$2:$E$15921,2,FALSE)</f>
        <v>AGN_TTE - AGUANORT - Transporte</v>
      </c>
    </row>
    <row r="318" spans="1:19" x14ac:dyDescent="0.3">
      <c r="A318" s="4">
        <v>32767</v>
      </c>
      <c r="B318" s="4" t="s">
        <v>28</v>
      </c>
      <c r="C318" s="4" t="s">
        <v>15</v>
      </c>
      <c r="D318" s="4" t="s">
        <v>16</v>
      </c>
      <c r="E318" s="4" t="s">
        <v>111</v>
      </c>
      <c r="F318" s="4" t="str">
        <f t="shared" si="4"/>
        <v>6MC</v>
      </c>
      <c r="G318" s="5">
        <v>46133</v>
      </c>
      <c r="H318" s="6">
        <v>0.6381944444444444</v>
      </c>
      <c r="I318" s="5">
        <v>46132</v>
      </c>
      <c r="J318" s="5">
        <v>46132</v>
      </c>
      <c r="K318" s="5">
        <v>46132</v>
      </c>
      <c r="L318" s="4" t="s">
        <v>197</v>
      </c>
      <c r="M318" s="4">
        <v>1620</v>
      </c>
      <c r="N318" s="4" t="s">
        <v>21</v>
      </c>
      <c r="O318" s="4" t="s">
        <v>18</v>
      </c>
      <c r="P318" s="4">
        <v>27852</v>
      </c>
      <c r="Q318" s="4" t="s">
        <v>19</v>
      </c>
      <c r="R318" s="4">
        <v>40083</v>
      </c>
      <c r="S318" s="4" t="str">
        <f>VLOOKUP(L318&amp;TEXT(I318,"mmmm")&amp;YEAR(I318),'[1]Detalle C-Fecha'!$D$2:$E$15921,2,FALSE)</f>
        <v>AGN_TTE - AGUANORT - Transporte</v>
      </c>
    </row>
    <row r="319" spans="1:19" x14ac:dyDescent="0.3">
      <c r="A319" s="4">
        <v>32775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46133</v>
      </c>
      <c r="H319" s="6">
        <v>0.68611111111111101</v>
      </c>
      <c r="I319" s="5">
        <v>46133</v>
      </c>
      <c r="J319" s="5">
        <v>46133</v>
      </c>
      <c r="K319" s="5">
        <v>46133</v>
      </c>
      <c r="L319" s="4" t="s">
        <v>198</v>
      </c>
      <c r="M319" s="4">
        <v>1318</v>
      </c>
      <c r="N319" s="4" t="s">
        <v>21</v>
      </c>
      <c r="O319" s="4" t="s">
        <v>27</v>
      </c>
      <c r="P319" s="4">
        <v>27859</v>
      </c>
      <c r="Q319" s="4" t="s">
        <v>19</v>
      </c>
      <c r="R319" s="4">
        <v>40084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32776</v>
      </c>
      <c r="B320" s="4" t="s">
        <v>28</v>
      </c>
      <c r="C320" s="4" t="s">
        <v>15</v>
      </c>
      <c r="D320" s="4" t="s">
        <v>16</v>
      </c>
      <c r="E320" s="4" t="s">
        <v>53</v>
      </c>
      <c r="F320" s="4" t="str">
        <f t="shared" si="4"/>
        <v>3MC</v>
      </c>
      <c r="G320" s="5">
        <v>46133</v>
      </c>
      <c r="H320" s="6">
        <v>0.68611111111111101</v>
      </c>
      <c r="I320" s="5">
        <v>46133</v>
      </c>
      <c r="J320" s="5">
        <v>46133</v>
      </c>
      <c r="K320" s="5">
        <v>46133</v>
      </c>
      <c r="L320" s="4" t="s">
        <v>198</v>
      </c>
      <c r="M320" s="4">
        <v>1318</v>
      </c>
      <c r="N320" s="4" t="s">
        <v>21</v>
      </c>
      <c r="O320" s="4" t="s">
        <v>27</v>
      </c>
      <c r="P320" s="4">
        <v>27860</v>
      </c>
      <c r="Q320" s="4" t="s">
        <v>19</v>
      </c>
      <c r="R320" s="4">
        <v>40085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32777</v>
      </c>
      <c r="B321" s="4" t="s">
        <v>28</v>
      </c>
      <c r="C321" s="4" t="s">
        <v>15</v>
      </c>
      <c r="D321" s="4" t="s">
        <v>16</v>
      </c>
      <c r="E321" s="4" t="s">
        <v>52</v>
      </c>
      <c r="F321" s="4" t="str">
        <f t="shared" si="4"/>
        <v>6MC</v>
      </c>
      <c r="G321" s="5">
        <v>46133</v>
      </c>
      <c r="H321" s="6">
        <v>0.68611111111111101</v>
      </c>
      <c r="I321" s="5">
        <v>46133</v>
      </c>
      <c r="J321" s="5">
        <v>46133</v>
      </c>
      <c r="K321" s="5">
        <v>46133</v>
      </c>
      <c r="L321" s="4" t="s">
        <v>198</v>
      </c>
      <c r="M321" s="4">
        <v>1318</v>
      </c>
      <c r="N321" s="4" t="s">
        <v>21</v>
      </c>
      <c r="O321" s="4" t="s">
        <v>27</v>
      </c>
      <c r="P321" s="4">
        <v>27861</v>
      </c>
      <c r="Q321" s="4" t="s">
        <v>19</v>
      </c>
      <c r="R321" s="4">
        <v>40086</v>
      </c>
      <c r="S321" s="4" t="str">
        <f>VLOOKUP(L321&amp;TEXT(I321,"mmmm")&amp;YEAR(I321),'[1]Detalle C-Fecha'!$D$2:$E$15921,2,FALSE)</f>
        <v>Papelera - Papelera del Plata S.A.</v>
      </c>
    </row>
    <row r="322" spans="1:19" x14ac:dyDescent="0.3">
      <c r="A322" s="4">
        <v>32797</v>
      </c>
      <c r="B322" s="4" t="s">
        <v>28</v>
      </c>
      <c r="C322" s="4" t="s">
        <v>15</v>
      </c>
      <c r="D322" s="4" t="s">
        <v>16</v>
      </c>
      <c r="E322" s="4" t="s">
        <v>51</v>
      </c>
      <c r="F322" s="4" t="str">
        <f t="shared" ref="F322:F385" si="5">MID(E322,1,3)</f>
        <v>2MC</v>
      </c>
      <c r="G322" s="5">
        <v>46134</v>
      </c>
      <c r="H322" s="6">
        <v>0.64652777777777781</v>
      </c>
      <c r="I322" s="5">
        <v>46134</v>
      </c>
      <c r="J322" s="5">
        <v>46134</v>
      </c>
      <c r="K322" s="5">
        <v>46134</v>
      </c>
      <c r="L322" s="4" t="s">
        <v>199</v>
      </c>
      <c r="M322" s="4">
        <v>1318</v>
      </c>
      <c r="N322" s="4" t="s">
        <v>31</v>
      </c>
      <c r="O322" s="4" t="s">
        <v>24</v>
      </c>
      <c r="P322" s="4">
        <v>27692</v>
      </c>
      <c r="Q322" s="4" t="s">
        <v>19</v>
      </c>
      <c r="R322" s="4">
        <v>40542</v>
      </c>
      <c r="S322" s="4" t="str">
        <f>VLOOKUP(L322&amp;TEXT(I322,"mmmm")&amp;YEAR(I322),'[1]Detalle C-Fecha'!$D$2:$E$15921,2,FALSE)</f>
        <v>SUC_SRA - Sucursal San Rafael</v>
      </c>
    </row>
    <row r="323" spans="1:19" x14ac:dyDescent="0.3">
      <c r="A323" s="4">
        <v>32798</v>
      </c>
      <c r="B323" s="4" t="s">
        <v>28</v>
      </c>
      <c r="C323" s="4" t="s">
        <v>15</v>
      </c>
      <c r="D323" s="4" t="s">
        <v>16</v>
      </c>
      <c r="E323" s="4" t="s">
        <v>53</v>
      </c>
      <c r="F323" s="4" t="str">
        <f t="shared" si="5"/>
        <v>3MC</v>
      </c>
      <c r="G323" s="5">
        <v>46134</v>
      </c>
      <c r="H323" s="6">
        <v>0.64652777777777781</v>
      </c>
      <c r="I323" s="5">
        <v>46134</v>
      </c>
      <c r="J323" s="5">
        <v>46134</v>
      </c>
      <c r="K323" s="5">
        <v>46134</v>
      </c>
      <c r="L323" s="4" t="s">
        <v>199</v>
      </c>
      <c r="M323" s="4">
        <v>1318</v>
      </c>
      <c r="N323" s="4" t="s">
        <v>31</v>
      </c>
      <c r="O323" s="4" t="s">
        <v>24</v>
      </c>
      <c r="P323" s="4">
        <v>27693</v>
      </c>
      <c r="Q323" s="4" t="s">
        <v>19</v>
      </c>
      <c r="R323" s="4">
        <v>40544</v>
      </c>
      <c r="S323" s="4" t="str">
        <f>VLOOKUP(L323&amp;TEXT(I323,"mmmm")&amp;YEAR(I323),'[1]Detalle C-Fecha'!$D$2:$E$15921,2,FALSE)</f>
        <v>SUC_SRA - Sucursal San Rafael</v>
      </c>
    </row>
    <row r="324" spans="1:19" x14ac:dyDescent="0.3">
      <c r="A324" s="4">
        <v>32799</v>
      </c>
      <c r="B324" s="4" t="s">
        <v>28</v>
      </c>
      <c r="C324" s="4" t="s">
        <v>15</v>
      </c>
      <c r="D324" s="4" t="s">
        <v>16</v>
      </c>
      <c r="E324" s="4" t="s">
        <v>143</v>
      </c>
      <c r="F324" s="4" t="str">
        <f t="shared" si="5"/>
        <v>7MC</v>
      </c>
      <c r="G324" s="5">
        <v>46134</v>
      </c>
      <c r="H324" s="6">
        <v>0.64652777777777781</v>
      </c>
      <c r="I324" s="5">
        <v>46134</v>
      </c>
      <c r="J324" s="5">
        <v>46134</v>
      </c>
      <c r="K324" s="5">
        <v>46134</v>
      </c>
      <c r="L324" s="4" t="s">
        <v>199</v>
      </c>
      <c r="M324" s="4">
        <v>1318</v>
      </c>
      <c r="N324" s="4" t="s">
        <v>31</v>
      </c>
      <c r="O324" s="4" t="s">
        <v>24</v>
      </c>
      <c r="P324" s="4">
        <v>27694</v>
      </c>
      <c r="Q324" s="4" t="s">
        <v>19</v>
      </c>
      <c r="R324" s="4">
        <v>40546</v>
      </c>
      <c r="S324" s="4" t="str">
        <f>VLOOKUP(L324&amp;TEXT(I324,"mmmm")&amp;YEAR(I324),'[1]Detalle C-Fecha'!$D$2:$E$15921,2,FALSE)</f>
        <v>SUC_SRA - Sucursal San Rafael</v>
      </c>
    </row>
    <row r="325" spans="1:19" x14ac:dyDescent="0.3">
      <c r="A325" s="4">
        <v>32800</v>
      </c>
      <c r="B325" s="4" t="s">
        <v>28</v>
      </c>
      <c r="C325" s="4" t="s">
        <v>15</v>
      </c>
      <c r="D325" s="4" t="s">
        <v>16</v>
      </c>
      <c r="E325" s="4" t="s">
        <v>52</v>
      </c>
      <c r="F325" s="4" t="str">
        <f t="shared" si="5"/>
        <v>6MC</v>
      </c>
      <c r="G325" s="5">
        <v>46134</v>
      </c>
      <c r="H325" s="6">
        <v>0.64652777777777781</v>
      </c>
      <c r="I325" s="5">
        <v>46134</v>
      </c>
      <c r="J325" s="5">
        <v>46134</v>
      </c>
      <c r="K325" s="5">
        <v>46134</v>
      </c>
      <c r="L325" s="4" t="s">
        <v>199</v>
      </c>
      <c r="M325" s="4">
        <v>1318</v>
      </c>
      <c r="N325" s="4" t="s">
        <v>31</v>
      </c>
      <c r="O325" s="4" t="s">
        <v>24</v>
      </c>
      <c r="P325" s="4">
        <v>27695</v>
      </c>
      <c r="Q325" s="4" t="s">
        <v>19</v>
      </c>
      <c r="R325" s="4">
        <v>40548</v>
      </c>
      <c r="S325" s="4" t="str">
        <f>VLOOKUP(L325&amp;TEXT(I325,"mmmm")&amp;YEAR(I325),'[1]Detalle C-Fecha'!$D$2:$E$15921,2,FALSE)</f>
        <v>SUC_SRA - Sucursal San Rafael</v>
      </c>
    </row>
    <row r="326" spans="1:19" x14ac:dyDescent="0.3">
      <c r="A326" s="4">
        <v>32802</v>
      </c>
      <c r="B326" s="4" t="s">
        <v>28</v>
      </c>
      <c r="C326" s="4" t="s">
        <v>15</v>
      </c>
      <c r="D326" s="4" t="s">
        <v>16</v>
      </c>
      <c r="E326" s="4" t="s">
        <v>51</v>
      </c>
      <c r="F326" s="4" t="str">
        <f t="shared" si="5"/>
        <v>2MC</v>
      </c>
      <c r="G326" s="5">
        <v>46134</v>
      </c>
      <c r="H326" s="6">
        <v>0.76111111111111107</v>
      </c>
      <c r="I326" s="5">
        <v>46134</v>
      </c>
      <c r="J326" s="5">
        <v>46134</v>
      </c>
      <c r="K326" s="5">
        <v>46134</v>
      </c>
      <c r="L326" s="4" t="s">
        <v>201</v>
      </c>
      <c r="M326" s="4" t="s">
        <v>130</v>
      </c>
      <c r="N326" s="4" t="s">
        <v>21</v>
      </c>
      <c r="O326" s="4" t="s">
        <v>24</v>
      </c>
      <c r="P326" s="4">
        <v>27883</v>
      </c>
      <c r="Q326" s="4" t="s">
        <v>19</v>
      </c>
      <c r="R326" s="4">
        <v>40088</v>
      </c>
      <c r="S326" s="4" t="str">
        <f>VLOOKUP(L326&amp;TEXT(I326,"mmmm")&amp;YEAR(I326),'[1]Detalle C-Fecha'!$D$2:$E$15921,2,FALSE)</f>
        <v>CCUDyAZA</v>
      </c>
    </row>
    <row r="327" spans="1:19" x14ac:dyDescent="0.3">
      <c r="A327" s="4">
        <v>32803</v>
      </c>
      <c r="B327" s="4" t="s">
        <v>28</v>
      </c>
      <c r="C327" s="4" t="s">
        <v>15</v>
      </c>
      <c r="D327" s="4" t="s">
        <v>16</v>
      </c>
      <c r="E327" s="4" t="s">
        <v>53</v>
      </c>
      <c r="F327" s="4" t="str">
        <f t="shared" si="5"/>
        <v>3MC</v>
      </c>
      <c r="G327" s="5">
        <v>46134</v>
      </c>
      <c r="H327" s="6">
        <v>0.76111111111111107</v>
      </c>
      <c r="I327" s="5">
        <v>46134</v>
      </c>
      <c r="J327" s="5">
        <v>46134</v>
      </c>
      <c r="K327" s="5">
        <v>46134</v>
      </c>
      <c r="L327" s="4" t="s">
        <v>201</v>
      </c>
      <c r="M327" s="4" t="s">
        <v>130</v>
      </c>
      <c r="N327" s="4" t="s">
        <v>21</v>
      </c>
      <c r="O327" s="4" t="s">
        <v>24</v>
      </c>
      <c r="P327" s="4">
        <v>27882</v>
      </c>
      <c r="Q327" s="4" t="s">
        <v>19</v>
      </c>
      <c r="R327" s="4">
        <v>40089</v>
      </c>
      <c r="S327" s="4" t="str">
        <f>VLOOKUP(L327&amp;TEXT(I327,"mmmm")&amp;YEAR(I327),'[1]Detalle C-Fecha'!$D$2:$E$15921,2,FALSE)</f>
        <v>CCUDyAZA</v>
      </c>
    </row>
    <row r="328" spans="1:19" x14ac:dyDescent="0.3">
      <c r="A328" s="4">
        <v>32804</v>
      </c>
      <c r="B328" s="4" t="s">
        <v>28</v>
      </c>
      <c r="C328" s="4" t="s">
        <v>15</v>
      </c>
      <c r="D328" s="4" t="s">
        <v>16</v>
      </c>
      <c r="E328" s="4" t="s">
        <v>52</v>
      </c>
      <c r="F328" s="4" t="str">
        <f t="shared" si="5"/>
        <v>6MC</v>
      </c>
      <c r="G328" s="5">
        <v>46134</v>
      </c>
      <c r="H328" s="6">
        <v>0.76111111111111107</v>
      </c>
      <c r="I328" s="5">
        <v>46134</v>
      </c>
      <c r="J328" s="5">
        <v>46134</v>
      </c>
      <c r="K328" s="5">
        <v>46134</v>
      </c>
      <c r="L328" s="4" t="s">
        <v>201</v>
      </c>
      <c r="M328" s="4" t="s">
        <v>130</v>
      </c>
      <c r="N328" s="4" t="s">
        <v>21</v>
      </c>
      <c r="O328" s="4" t="s">
        <v>24</v>
      </c>
      <c r="P328" s="4">
        <v>27881</v>
      </c>
      <c r="Q328" s="4" t="s">
        <v>19</v>
      </c>
      <c r="R328" s="4">
        <v>40090</v>
      </c>
      <c r="S328" s="4" t="str">
        <f>VLOOKUP(L328&amp;TEXT(I328,"mmmm")&amp;YEAR(I328),'[1]Detalle C-Fecha'!$D$2:$E$15921,2,FALSE)</f>
        <v>CCUDyAZA</v>
      </c>
    </row>
    <row r="329" spans="1:19" x14ac:dyDescent="0.3">
      <c r="A329" s="4">
        <v>32813</v>
      </c>
      <c r="B329" s="4" t="s">
        <v>28</v>
      </c>
      <c r="C329" s="4" t="s">
        <v>15</v>
      </c>
      <c r="D329" s="4" t="s">
        <v>16</v>
      </c>
      <c r="E329" s="4" t="s">
        <v>111</v>
      </c>
      <c r="F329" s="4" t="str">
        <f t="shared" si="5"/>
        <v>6MC</v>
      </c>
      <c r="G329" s="5">
        <v>46135</v>
      </c>
      <c r="H329" s="6">
        <v>0.2986111111111111</v>
      </c>
      <c r="I329" s="5">
        <v>46135</v>
      </c>
      <c r="J329" s="5">
        <v>46135</v>
      </c>
      <c r="K329" s="5">
        <v>46135</v>
      </c>
      <c r="L329" s="4" t="s">
        <v>202</v>
      </c>
      <c r="M329" s="4">
        <v>1624</v>
      </c>
      <c r="N329" s="4" t="s">
        <v>21</v>
      </c>
      <c r="O329" s="4" t="s">
        <v>27</v>
      </c>
      <c r="P329" s="4">
        <v>27895</v>
      </c>
      <c r="Q329" s="4" t="s">
        <v>19</v>
      </c>
      <c r="R329" s="4">
        <v>40091</v>
      </c>
      <c r="S329" s="4" t="str">
        <f>VLOOKUP(L329&amp;TEXT(I329,"mmmm")&amp;YEAR(I329),'[1]Detalle C-Fecha'!$D$2:$E$15921,2,FALSE)</f>
        <v>Unilever - Unilever de Arg. S.A.</v>
      </c>
    </row>
    <row r="330" spans="1:19" x14ac:dyDescent="0.3">
      <c r="A330" s="4">
        <v>32814</v>
      </c>
      <c r="B330" s="4" t="s">
        <v>28</v>
      </c>
      <c r="C330" s="4" t="s">
        <v>15</v>
      </c>
      <c r="D330" s="4" t="s">
        <v>16</v>
      </c>
      <c r="E330" s="4" t="s">
        <v>53</v>
      </c>
      <c r="F330" s="4" t="str">
        <f t="shared" si="5"/>
        <v>3MC</v>
      </c>
      <c r="G330" s="5">
        <v>46135</v>
      </c>
      <c r="H330" s="6">
        <v>0.2986111111111111</v>
      </c>
      <c r="I330" s="5">
        <v>46135</v>
      </c>
      <c r="J330" s="5">
        <v>46135</v>
      </c>
      <c r="K330" s="5">
        <v>46135</v>
      </c>
      <c r="L330" s="4" t="s">
        <v>202</v>
      </c>
      <c r="M330" s="4">
        <v>1624</v>
      </c>
      <c r="N330" s="4" t="s">
        <v>21</v>
      </c>
      <c r="O330" s="4" t="s">
        <v>27</v>
      </c>
      <c r="P330" s="4">
        <v>27894</v>
      </c>
      <c r="Q330" s="4" t="s">
        <v>19</v>
      </c>
      <c r="R330" s="4">
        <v>40092</v>
      </c>
      <c r="S330" s="4" t="str">
        <f>VLOOKUP(L330&amp;TEXT(I330,"mmmm")&amp;YEAR(I330),'[1]Detalle C-Fecha'!$D$2:$E$15921,2,FALSE)</f>
        <v>Unilever - Unilever de Arg. S.A.</v>
      </c>
    </row>
    <row r="331" spans="1:19" x14ac:dyDescent="0.3">
      <c r="A331" s="4">
        <v>32815</v>
      </c>
      <c r="B331" s="4" t="s">
        <v>28</v>
      </c>
      <c r="C331" s="4" t="s">
        <v>15</v>
      </c>
      <c r="D331" s="4" t="s">
        <v>16</v>
      </c>
      <c r="E331" s="4" t="s">
        <v>121</v>
      </c>
      <c r="F331" s="4" t="str">
        <f t="shared" si="5"/>
        <v>2MC</v>
      </c>
      <c r="G331" s="5">
        <v>46135</v>
      </c>
      <c r="H331" s="6">
        <v>0.2986111111111111</v>
      </c>
      <c r="I331" s="5">
        <v>46135</v>
      </c>
      <c r="J331" s="5">
        <v>46135</v>
      </c>
      <c r="K331" s="5">
        <v>46135</v>
      </c>
      <c r="L331" s="4" t="s">
        <v>202</v>
      </c>
      <c r="M331" s="4">
        <v>1624</v>
      </c>
      <c r="N331" s="4" t="s">
        <v>21</v>
      </c>
      <c r="O331" s="4" t="s">
        <v>27</v>
      </c>
      <c r="P331" s="4">
        <v>27893</v>
      </c>
      <c r="Q331" s="4" t="s">
        <v>19</v>
      </c>
      <c r="R331" s="4">
        <v>40093</v>
      </c>
      <c r="S331" s="4" t="str">
        <f>VLOOKUP(L331&amp;TEXT(I331,"mmmm")&amp;YEAR(I331),'[1]Detalle C-Fecha'!$D$2:$E$15921,2,FALSE)</f>
        <v>Unilever - Unilever de Arg. S.A.</v>
      </c>
    </row>
    <row r="332" spans="1:19" x14ac:dyDescent="0.3">
      <c r="A332" s="4">
        <v>32911</v>
      </c>
      <c r="B332" s="4" t="s">
        <v>28</v>
      </c>
      <c r="C332" s="4" t="s">
        <v>15</v>
      </c>
      <c r="D332" s="4" t="s">
        <v>16</v>
      </c>
      <c r="E332" s="4" t="s">
        <v>35</v>
      </c>
      <c r="F332" s="4" t="str">
        <f t="shared" si="5"/>
        <v>2ML</v>
      </c>
      <c r="G332" s="5">
        <v>46136</v>
      </c>
      <c r="H332" s="6">
        <v>0.46319444444444446</v>
      </c>
      <c r="I332" s="5">
        <v>46134</v>
      </c>
      <c r="J332" s="5">
        <v>46142</v>
      </c>
      <c r="K332" s="5">
        <v>46142</v>
      </c>
      <c r="L332" s="4" t="s">
        <v>203</v>
      </c>
      <c r="M332" s="4" t="s">
        <v>126</v>
      </c>
      <c r="N332" s="4" t="s">
        <v>17</v>
      </c>
      <c r="O332" s="4" t="s">
        <v>24</v>
      </c>
      <c r="P332" s="4">
        <v>27960</v>
      </c>
      <c r="Q332" s="4" t="s">
        <v>19</v>
      </c>
      <c r="R332" s="4">
        <v>40328</v>
      </c>
      <c r="S332" s="4" t="str">
        <f>VLOOKUP(L332&amp;TEXT(I332,"mmmm")&amp;YEAR(I332),'[1]Detalle C-Fecha'!$D$2:$E$15921,2,FALSE)</f>
        <v>CENCOMLD - Cencosud SA - Mendoza</v>
      </c>
    </row>
    <row r="333" spans="1:19" x14ac:dyDescent="0.3">
      <c r="A333" s="4">
        <v>32912</v>
      </c>
      <c r="B333" s="4" t="s">
        <v>28</v>
      </c>
      <c r="C333" s="4" t="s">
        <v>15</v>
      </c>
      <c r="D333" s="4" t="s">
        <v>16</v>
      </c>
      <c r="E333" s="4" t="s">
        <v>47</v>
      </c>
      <c r="F333" s="4" t="str">
        <f t="shared" si="5"/>
        <v>3ML</v>
      </c>
      <c r="G333" s="5">
        <v>46136</v>
      </c>
      <c r="H333" s="6">
        <v>0.46319444444444446</v>
      </c>
      <c r="I333" s="5">
        <v>46134</v>
      </c>
      <c r="J333" s="5">
        <v>46142</v>
      </c>
      <c r="K333" s="5">
        <v>46142</v>
      </c>
      <c r="L333" s="4" t="s">
        <v>203</v>
      </c>
      <c r="M333" s="4" t="s">
        <v>126</v>
      </c>
      <c r="N333" s="4" t="s">
        <v>17</v>
      </c>
      <c r="O333" s="4" t="s">
        <v>24</v>
      </c>
      <c r="P333" s="4">
        <v>27961</v>
      </c>
      <c r="Q333" s="4" t="s">
        <v>19</v>
      </c>
      <c r="R333" s="4">
        <v>40331</v>
      </c>
      <c r="S333" s="4" t="str">
        <f>VLOOKUP(L333&amp;TEXT(I333,"mmmm")&amp;YEAR(I333),'[1]Detalle C-Fecha'!$D$2:$E$15921,2,FALSE)</f>
        <v>CENCOMLD - Cencosud SA - Mendoza</v>
      </c>
    </row>
    <row r="334" spans="1:19" x14ac:dyDescent="0.3">
      <c r="A334" s="4">
        <v>32913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46136</v>
      </c>
      <c r="H334" s="6">
        <v>0.46319444444444446</v>
      </c>
      <c r="I334" s="5">
        <v>46134</v>
      </c>
      <c r="J334" s="5">
        <v>46142</v>
      </c>
      <c r="K334" s="5">
        <v>46142</v>
      </c>
      <c r="L334" s="4" t="s">
        <v>203</v>
      </c>
      <c r="M334" s="4" t="s">
        <v>126</v>
      </c>
      <c r="N334" s="4" t="s">
        <v>17</v>
      </c>
      <c r="O334" s="4" t="s">
        <v>24</v>
      </c>
      <c r="P334" s="4">
        <v>27962</v>
      </c>
      <c r="Q334" s="4" t="s">
        <v>19</v>
      </c>
      <c r="R334" s="4">
        <v>40333</v>
      </c>
      <c r="S334" s="4" t="str">
        <f>VLOOKUP(L334&amp;TEXT(I334,"mmmm")&amp;YEAR(I334),'[1]Detalle C-Fecha'!$D$2:$E$15921,2,FALSE)</f>
        <v>CENCOMLD - Cencosud SA - Mendoza</v>
      </c>
    </row>
    <row r="335" spans="1:19" x14ac:dyDescent="0.3">
      <c r="A335" s="4">
        <v>32956</v>
      </c>
      <c r="B335" s="4" t="s">
        <v>28</v>
      </c>
      <c r="C335" s="4" t="s">
        <v>15</v>
      </c>
      <c r="D335" s="4" t="s">
        <v>16</v>
      </c>
      <c r="E335" s="4" t="s">
        <v>115</v>
      </c>
      <c r="F335" s="4" t="str">
        <f t="shared" si="5"/>
        <v>2ML</v>
      </c>
      <c r="G335" s="5">
        <v>46139</v>
      </c>
      <c r="H335" s="6">
        <v>0.65347222222222223</v>
      </c>
      <c r="I335" s="5">
        <v>46139</v>
      </c>
      <c r="J335" s="5">
        <v>46139</v>
      </c>
      <c r="K335" s="5">
        <v>46139</v>
      </c>
      <c r="L335" s="4" t="s">
        <v>73</v>
      </c>
      <c r="M335" s="4" t="s">
        <v>204</v>
      </c>
      <c r="N335" s="4" t="s">
        <v>17</v>
      </c>
      <c r="O335" s="4" t="s">
        <v>25</v>
      </c>
      <c r="P335" s="4">
        <v>28024</v>
      </c>
      <c r="Q335" s="4" t="s">
        <v>19</v>
      </c>
      <c r="R335" s="4">
        <v>40623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32958</v>
      </c>
      <c r="B336" s="4" t="s">
        <v>28</v>
      </c>
      <c r="C336" s="4" t="s">
        <v>15</v>
      </c>
      <c r="D336" s="4" t="s">
        <v>16</v>
      </c>
      <c r="E336" s="4" t="s">
        <v>116</v>
      </c>
      <c r="F336" s="4" t="str">
        <f t="shared" si="5"/>
        <v>3ML</v>
      </c>
      <c r="G336" s="5">
        <v>46139</v>
      </c>
      <c r="H336" s="6">
        <v>0.66666666666666663</v>
      </c>
      <c r="I336" s="5">
        <v>46139</v>
      </c>
      <c r="J336" s="5">
        <v>46139</v>
      </c>
      <c r="K336" s="5">
        <v>46139</v>
      </c>
      <c r="L336" s="4" t="s">
        <v>73</v>
      </c>
      <c r="M336" s="4" t="s">
        <v>204</v>
      </c>
      <c r="N336" s="4" t="s">
        <v>17</v>
      </c>
      <c r="O336" s="4" t="s">
        <v>25</v>
      </c>
      <c r="P336" s="4">
        <v>28026</v>
      </c>
      <c r="Q336" s="4" t="s">
        <v>19</v>
      </c>
      <c r="R336" s="4">
        <v>40625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32959</v>
      </c>
      <c r="B337" s="4" t="s">
        <v>28</v>
      </c>
      <c r="C337" s="4" t="s">
        <v>15</v>
      </c>
      <c r="D337" s="4" t="s">
        <v>16</v>
      </c>
      <c r="E337" s="4" t="s">
        <v>117</v>
      </c>
      <c r="F337" s="4" t="str">
        <f t="shared" si="5"/>
        <v>6ML</v>
      </c>
      <c r="G337" s="5">
        <v>46139</v>
      </c>
      <c r="H337" s="6">
        <v>0.66666666666666663</v>
      </c>
      <c r="I337" s="5">
        <v>46139</v>
      </c>
      <c r="J337" s="5">
        <v>46139</v>
      </c>
      <c r="K337" s="5">
        <v>46139</v>
      </c>
      <c r="L337" s="4" t="s">
        <v>73</v>
      </c>
      <c r="M337" s="4" t="s">
        <v>204</v>
      </c>
      <c r="N337" s="4" t="s">
        <v>17</v>
      </c>
      <c r="O337" s="4" t="s">
        <v>25</v>
      </c>
      <c r="P337" s="4">
        <v>28027</v>
      </c>
      <c r="Q337" s="4" t="s">
        <v>19</v>
      </c>
      <c r="R337" s="4">
        <v>40627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33034</v>
      </c>
      <c r="B338" s="4" t="s">
        <v>28</v>
      </c>
      <c r="C338" s="4" t="s">
        <v>15</v>
      </c>
      <c r="D338" s="4" t="s">
        <v>16</v>
      </c>
      <c r="E338" s="4" t="s">
        <v>35</v>
      </c>
      <c r="F338" s="4" t="str">
        <f t="shared" si="5"/>
        <v>2ML</v>
      </c>
      <c r="G338" s="5">
        <v>46140</v>
      </c>
      <c r="H338" s="6">
        <v>0.60833333333333328</v>
      </c>
      <c r="I338" s="5">
        <v>46140</v>
      </c>
      <c r="J338" s="5">
        <v>46140</v>
      </c>
      <c r="K338" s="5">
        <v>46140</v>
      </c>
      <c r="L338" s="4" t="s">
        <v>56</v>
      </c>
      <c r="M338" s="4" t="s">
        <v>142</v>
      </c>
      <c r="N338" s="4" t="s">
        <v>31</v>
      </c>
      <c r="O338" s="4" t="s">
        <v>25</v>
      </c>
      <c r="P338" s="4">
        <v>28050</v>
      </c>
      <c r="Q338" s="4" t="s">
        <v>19</v>
      </c>
      <c r="R338" s="4">
        <v>40651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33035</v>
      </c>
      <c r="B339" s="4" t="s">
        <v>28</v>
      </c>
      <c r="C339" s="4" t="s">
        <v>15</v>
      </c>
      <c r="D339" s="4" t="s">
        <v>16</v>
      </c>
      <c r="E339" s="4" t="s">
        <v>47</v>
      </c>
      <c r="F339" s="4" t="str">
        <f t="shared" si="5"/>
        <v>3ML</v>
      </c>
      <c r="G339" s="5">
        <v>46140</v>
      </c>
      <c r="H339" s="6">
        <v>0.60833333333333328</v>
      </c>
      <c r="I339" s="5">
        <v>46140</v>
      </c>
      <c r="J339" s="5">
        <v>46140</v>
      </c>
      <c r="K339" s="5">
        <v>46140</v>
      </c>
      <c r="L339" s="4" t="s">
        <v>56</v>
      </c>
      <c r="M339" s="4" t="s">
        <v>142</v>
      </c>
      <c r="N339" s="4" t="s">
        <v>31</v>
      </c>
      <c r="O339" s="4" t="s">
        <v>25</v>
      </c>
      <c r="P339" s="4">
        <v>28051</v>
      </c>
      <c r="Q339" s="4" t="s">
        <v>19</v>
      </c>
      <c r="R339" s="4">
        <v>40654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33036</v>
      </c>
      <c r="B340" s="4" t="s">
        <v>28</v>
      </c>
      <c r="C340" s="4" t="s">
        <v>15</v>
      </c>
      <c r="D340" s="4" t="s">
        <v>16</v>
      </c>
      <c r="E340" s="4" t="s">
        <v>46</v>
      </c>
      <c r="F340" s="4" t="str">
        <f t="shared" si="5"/>
        <v>6ML</v>
      </c>
      <c r="G340" s="5">
        <v>46140</v>
      </c>
      <c r="H340" s="6">
        <v>0.60833333333333328</v>
      </c>
      <c r="I340" s="5">
        <v>46140</v>
      </c>
      <c r="J340" s="5">
        <v>46140</v>
      </c>
      <c r="K340" s="5">
        <v>46140</v>
      </c>
      <c r="L340" s="4" t="s">
        <v>56</v>
      </c>
      <c r="M340" s="4" t="s">
        <v>142</v>
      </c>
      <c r="N340" s="4" t="s">
        <v>31</v>
      </c>
      <c r="O340" s="4" t="s">
        <v>25</v>
      </c>
      <c r="P340" s="4">
        <v>28052</v>
      </c>
      <c r="Q340" s="4" t="s">
        <v>19</v>
      </c>
      <c r="R340" s="4">
        <v>40657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33037</v>
      </c>
      <c r="B341" s="4" t="s">
        <v>28</v>
      </c>
      <c r="C341" s="4" t="s">
        <v>15</v>
      </c>
      <c r="D341" s="4" t="s">
        <v>16</v>
      </c>
      <c r="E341" s="4" t="s">
        <v>137</v>
      </c>
      <c r="F341" s="4" t="str">
        <f t="shared" si="5"/>
        <v>7ML</v>
      </c>
      <c r="G341" s="5">
        <v>46140</v>
      </c>
      <c r="H341" s="6">
        <v>0.60833333333333328</v>
      </c>
      <c r="I341" s="5">
        <v>46140</v>
      </c>
      <c r="J341" s="5">
        <v>46140</v>
      </c>
      <c r="K341" s="5">
        <v>46140</v>
      </c>
      <c r="L341" s="4" t="s">
        <v>56</v>
      </c>
      <c r="M341" s="4" t="s">
        <v>142</v>
      </c>
      <c r="N341" s="4" t="s">
        <v>31</v>
      </c>
      <c r="O341" s="4" t="s">
        <v>25</v>
      </c>
      <c r="P341" s="4">
        <v>28053</v>
      </c>
      <c r="Q341" s="4" t="s">
        <v>19</v>
      </c>
      <c r="R341" s="4">
        <v>42047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33134</v>
      </c>
      <c r="B342" s="4" t="s">
        <v>28</v>
      </c>
      <c r="C342" s="4" t="s">
        <v>15</v>
      </c>
      <c r="D342" s="4" t="s">
        <v>16</v>
      </c>
      <c r="E342" s="4" t="s">
        <v>108</v>
      </c>
      <c r="F342" s="4" t="str">
        <f t="shared" si="5"/>
        <v>2MU</v>
      </c>
      <c r="G342" s="5">
        <v>46141</v>
      </c>
      <c r="H342" s="6">
        <v>0.65625</v>
      </c>
      <c r="I342" s="5">
        <v>46141</v>
      </c>
      <c r="J342" s="5">
        <v>46141</v>
      </c>
      <c r="K342" s="5">
        <v>46141</v>
      </c>
      <c r="L342" s="4" t="s">
        <v>205</v>
      </c>
      <c r="M342" s="4" t="s">
        <v>95</v>
      </c>
      <c r="N342" s="4" t="s">
        <v>17</v>
      </c>
      <c r="O342" s="4" t="s">
        <v>25</v>
      </c>
      <c r="P342" s="4">
        <v>28139</v>
      </c>
      <c r="Q342" s="4" t="s">
        <v>19</v>
      </c>
      <c r="R342" s="4">
        <v>40760</v>
      </c>
      <c r="S342" s="4" t="str">
        <f>VLOOKUP(L342&amp;TEXT(I342,"mmmm")&amp;YEAR(I342),'[1]Detalle C-Fecha'!$D$2:$E$15921,2,FALSE)</f>
        <v>SUC_MEN - Sucursal Mendoza</v>
      </c>
    </row>
    <row r="343" spans="1:19" x14ac:dyDescent="0.3">
      <c r="A343" s="4">
        <v>33135</v>
      </c>
      <c r="B343" s="4" t="s">
        <v>28</v>
      </c>
      <c r="C343" s="4" t="s">
        <v>15</v>
      </c>
      <c r="D343" s="4" t="s">
        <v>16</v>
      </c>
      <c r="E343" s="4" t="s">
        <v>109</v>
      </c>
      <c r="F343" s="4" t="str">
        <f t="shared" si="5"/>
        <v>3MU</v>
      </c>
      <c r="G343" s="5">
        <v>46141</v>
      </c>
      <c r="H343" s="6">
        <v>0.65625</v>
      </c>
      <c r="I343" s="5">
        <v>46141</v>
      </c>
      <c r="J343" s="5">
        <v>46141</v>
      </c>
      <c r="K343" s="5">
        <v>46141</v>
      </c>
      <c r="L343" s="4" t="s">
        <v>205</v>
      </c>
      <c r="M343" s="4" t="s">
        <v>95</v>
      </c>
      <c r="N343" s="4" t="s">
        <v>17</v>
      </c>
      <c r="O343" s="4" t="s">
        <v>25</v>
      </c>
      <c r="P343" s="4">
        <v>28141</v>
      </c>
      <c r="Q343" s="4" t="s">
        <v>19</v>
      </c>
      <c r="R343" s="4">
        <v>40762</v>
      </c>
      <c r="S343" s="4" t="str">
        <f>VLOOKUP(L343&amp;TEXT(I343,"mmmm")&amp;YEAR(I343),'[1]Detalle C-Fecha'!$D$2:$E$15921,2,FALSE)</f>
        <v>SUC_MEN - Sucursal Mendoza</v>
      </c>
    </row>
    <row r="344" spans="1:19" x14ac:dyDescent="0.3">
      <c r="A344" s="4">
        <v>33136</v>
      </c>
      <c r="B344" s="4" t="s">
        <v>28</v>
      </c>
      <c r="C344" s="4" t="s">
        <v>15</v>
      </c>
      <c r="D344" s="4" t="s">
        <v>16</v>
      </c>
      <c r="E344" s="4" t="s">
        <v>107</v>
      </c>
      <c r="F344" s="4" t="str">
        <f t="shared" si="5"/>
        <v>4MU</v>
      </c>
      <c r="G344" s="5">
        <v>46141</v>
      </c>
      <c r="H344" s="6">
        <v>0.65625</v>
      </c>
      <c r="I344" s="5">
        <v>46141</v>
      </c>
      <c r="J344" s="5">
        <v>46141</v>
      </c>
      <c r="K344" s="5">
        <v>46141</v>
      </c>
      <c r="L344" s="4" t="s">
        <v>205</v>
      </c>
      <c r="M344" s="4" t="s">
        <v>95</v>
      </c>
      <c r="N344" s="4" t="s">
        <v>17</v>
      </c>
      <c r="O344" s="4" t="s">
        <v>25</v>
      </c>
      <c r="P344" s="4">
        <v>28142</v>
      </c>
      <c r="Q344" s="4" t="s">
        <v>19</v>
      </c>
      <c r="R344" s="4">
        <v>40764</v>
      </c>
      <c r="S344" s="4" t="str">
        <f>VLOOKUP(L344&amp;TEXT(I344,"mmmm")&amp;YEAR(I344),'[1]Detalle C-Fecha'!$D$2:$E$15921,2,FALSE)</f>
        <v>SUC_MEN - Sucursal Mendoza</v>
      </c>
    </row>
    <row r="345" spans="1:19" x14ac:dyDescent="0.3">
      <c r="A345" s="4">
        <v>33273</v>
      </c>
      <c r="B345" s="4" t="s">
        <v>28</v>
      </c>
      <c r="C345" s="4" t="s">
        <v>15</v>
      </c>
      <c r="D345" s="4" t="s">
        <v>16</v>
      </c>
      <c r="E345" s="4" t="s">
        <v>35</v>
      </c>
      <c r="F345" s="4" t="str">
        <f t="shared" si="5"/>
        <v>2ML</v>
      </c>
      <c r="G345" s="5">
        <v>46146</v>
      </c>
      <c r="H345" s="6">
        <v>0.45347222222222222</v>
      </c>
      <c r="I345" s="5">
        <v>46146</v>
      </c>
      <c r="J345" s="5">
        <v>46146</v>
      </c>
      <c r="K345" s="5">
        <v>46146</v>
      </c>
      <c r="L345" s="4" t="s">
        <v>61</v>
      </c>
      <c r="M345" s="4" t="s">
        <v>204</v>
      </c>
      <c r="N345" s="4" t="s">
        <v>31</v>
      </c>
      <c r="O345" s="4" t="s">
        <v>25</v>
      </c>
      <c r="P345" s="4">
        <v>28238</v>
      </c>
      <c r="Q345" s="4" t="s">
        <v>19</v>
      </c>
      <c r="R345" s="4">
        <v>40901</v>
      </c>
      <c r="S345" s="4" t="str">
        <f>VLOOKUP(L345&amp;TEXT(I345,"mmmm")&amp;YEAR(I345),'[1]Detalle C-Fecha'!$D$2:$E$15921,2,FALSE)</f>
        <v>Expreso - Servicios Troncales</v>
      </c>
    </row>
    <row r="346" spans="1:19" x14ac:dyDescent="0.3">
      <c r="A346" s="4">
        <v>33274</v>
      </c>
      <c r="B346" s="4" t="s">
        <v>28</v>
      </c>
      <c r="C346" s="4" t="s">
        <v>15</v>
      </c>
      <c r="D346" s="4" t="s">
        <v>16</v>
      </c>
      <c r="E346" s="4" t="s">
        <v>47</v>
      </c>
      <c r="F346" s="4" t="str">
        <f t="shared" si="5"/>
        <v>3ML</v>
      </c>
      <c r="G346" s="5">
        <v>46146</v>
      </c>
      <c r="H346" s="6">
        <v>0.45347222222222222</v>
      </c>
      <c r="I346" s="5">
        <v>46146</v>
      </c>
      <c r="J346" s="5">
        <v>46146</v>
      </c>
      <c r="K346" s="5">
        <v>46146</v>
      </c>
      <c r="L346" s="4" t="s">
        <v>61</v>
      </c>
      <c r="M346" s="4" t="s">
        <v>204</v>
      </c>
      <c r="N346" s="4" t="s">
        <v>31</v>
      </c>
      <c r="O346" s="4" t="s">
        <v>25</v>
      </c>
      <c r="P346" s="4">
        <v>28239</v>
      </c>
      <c r="Q346" s="4" t="s">
        <v>19</v>
      </c>
      <c r="R346" s="4">
        <v>40953</v>
      </c>
      <c r="S346" s="4" t="str">
        <f>VLOOKUP(L346&amp;TEXT(I346,"mmmm")&amp;YEAR(I346),'[1]Detalle C-Fecha'!$D$2:$E$15921,2,FALSE)</f>
        <v>Expreso - Servicios Troncales</v>
      </c>
    </row>
    <row r="347" spans="1:19" x14ac:dyDescent="0.3">
      <c r="A347" s="4">
        <v>33275</v>
      </c>
      <c r="B347" s="4" t="s">
        <v>28</v>
      </c>
      <c r="C347" s="4" t="s">
        <v>15</v>
      </c>
      <c r="D347" s="4" t="s">
        <v>16</v>
      </c>
      <c r="E347" s="4" t="s">
        <v>137</v>
      </c>
      <c r="F347" s="4" t="str">
        <f t="shared" si="5"/>
        <v>7ML</v>
      </c>
      <c r="G347" s="5">
        <v>46146</v>
      </c>
      <c r="H347" s="6">
        <v>0.45347222222222222</v>
      </c>
      <c r="I347" s="5">
        <v>46146</v>
      </c>
      <c r="J347" s="5">
        <v>46146</v>
      </c>
      <c r="K347" s="5">
        <v>46146</v>
      </c>
      <c r="L347" s="4" t="s">
        <v>61</v>
      </c>
      <c r="M347" s="4" t="s">
        <v>204</v>
      </c>
      <c r="N347" s="4" t="s">
        <v>31</v>
      </c>
      <c r="O347" s="4" t="s">
        <v>25</v>
      </c>
      <c r="P347" s="4">
        <v>28240</v>
      </c>
      <c r="Q347" s="4" t="s">
        <v>19</v>
      </c>
      <c r="R347" s="4">
        <v>40955</v>
      </c>
      <c r="S347" s="4" t="str">
        <f>VLOOKUP(L347&amp;TEXT(I347,"mmmm")&amp;YEAR(I347),'[1]Detalle C-Fecha'!$D$2:$E$15921,2,FALSE)</f>
        <v>Expreso - Servicios Troncales</v>
      </c>
    </row>
    <row r="348" spans="1:19" x14ac:dyDescent="0.3">
      <c r="A348" s="4">
        <v>33276</v>
      </c>
      <c r="B348" s="4" t="s">
        <v>28</v>
      </c>
      <c r="C348" s="4" t="s">
        <v>15</v>
      </c>
      <c r="D348" s="4" t="s">
        <v>16</v>
      </c>
      <c r="E348" s="4" t="s">
        <v>46</v>
      </c>
      <c r="F348" s="4" t="str">
        <f t="shared" si="5"/>
        <v>6ML</v>
      </c>
      <c r="G348" s="5">
        <v>46146</v>
      </c>
      <c r="H348" s="6">
        <v>0.45347222222222222</v>
      </c>
      <c r="I348" s="5">
        <v>46146</v>
      </c>
      <c r="J348" s="5">
        <v>46146</v>
      </c>
      <c r="K348" s="5">
        <v>46146</v>
      </c>
      <c r="L348" s="4" t="s">
        <v>61</v>
      </c>
      <c r="M348" s="4" t="s">
        <v>204</v>
      </c>
      <c r="N348" s="4" t="s">
        <v>31</v>
      </c>
      <c r="O348" s="4" t="s">
        <v>25</v>
      </c>
      <c r="P348" s="4">
        <v>28241</v>
      </c>
      <c r="Q348" s="4" t="s">
        <v>19</v>
      </c>
      <c r="R348" s="4">
        <v>40965</v>
      </c>
      <c r="S348" s="4" t="str">
        <f>VLOOKUP(L348&amp;TEXT(I348,"mmmm")&amp;YEAR(I348),'[1]Detalle C-Fecha'!$D$2:$E$15921,2,FALSE)</f>
        <v>Expreso - Servicios Troncales</v>
      </c>
    </row>
    <row r="349" spans="1:19" x14ac:dyDescent="0.3">
      <c r="A349" s="4">
        <v>33419</v>
      </c>
      <c r="B349" s="4" t="s">
        <v>28</v>
      </c>
      <c r="C349" s="4" t="s">
        <v>15</v>
      </c>
      <c r="D349" s="4" t="s">
        <v>16</v>
      </c>
      <c r="E349" s="4" t="s">
        <v>140</v>
      </c>
      <c r="F349" s="4" t="str">
        <f t="shared" si="5"/>
        <v>4ML</v>
      </c>
      <c r="G349" s="5">
        <v>46146</v>
      </c>
      <c r="H349" s="6">
        <v>0.62291666666666667</v>
      </c>
      <c r="I349" s="5">
        <v>46146</v>
      </c>
      <c r="J349" s="5">
        <v>46146</v>
      </c>
      <c r="K349" s="5">
        <v>46146</v>
      </c>
      <c r="L349" s="4" t="s">
        <v>206</v>
      </c>
      <c r="M349" s="4" t="s">
        <v>149</v>
      </c>
      <c r="N349" s="4" t="s">
        <v>31</v>
      </c>
      <c r="O349" s="4" t="s">
        <v>25</v>
      </c>
      <c r="P349" s="4">
        <v>28288</v>
      </c>
      <c r="Q349" s="4" t="s">
        <v>19</v>
      </c>
      <c r="R349" s="4">
        <v>42105</v>
      </c>
      <c r="S349" s="4" t="str">
        <f>VLOOKUP(L349&amp;TEXT(I349,"mmmm")&amp;YEAR(I349),'[1]Detalle C-Fecha'!$D$2:$E$15921,2,FALSE)</f>
        <v>Expreso - Servicios Troncales</v>
      </c>
    </row>
    <row r="350" spans="1:19" x14ac:dyDescent="0.3">
      <c r="A350" s="4">
        <v>33420</v>
      </c>
      <c r="B350" s="4" t="s">
        <v>28</v>
      </c>
      <c r="C350" s="4" t="s">
        <v>15</v>
      </c>
      <c r="D350" s="4" t="s">
        <v>16</v>
      </c>
      <c r="E350" s="4" t="s">
        <v>141</v>
      </c>
      <c r="F350" s="4" t="str">
        <f t="shared" si="5"/>
        <v>5ML</v>
      </c>
      <c r="G350" s="5">
        <v>46146</v>
      </c>
      <c r="H350" s="6">
        <v>0.62291666666666667</v>
      </c>
      <c r="I350" s="5">
        <v>46146</v>
      </c>
      <c r="J350" s="5">
        <v>46146</v>
      </c>
      <c r="K350" s="5">
        <v>46146</v>
      </c>
      <c r="L350" s="4" t="s">
        <v>206</v>
      </c>
      <c r="M350" s="4" t="s">
        <v>149</v>
      </c>
      <c r="N350" s="4" t="s">
        <v>31</v>
      </c>
      <c r="O350" s="4" t="s">
        <v>25</v>
      </c>
      <c r="P350" s="4">
        <v>28289</v>
      </c>
      <c r="Q350" s="4" t="s">
        <v>19</v>
      </c>
      <c r="R350" s="4">
        <v>42107</v>
      </c>
      <c r="S350" s="4" t="str">
        <f>VLOOKUP(L350&amp;TEXT(I350,"mmmm")&amp;YEAR(I350),'[1]Detalle C-Fecha'!$D$2:$E$15921,2,FALSE)</f>
        <v>Expreso - Servicios Troncales</v>
      </c>
    </row>
    <row r="351" spans="1:19" x14ac:dyDescent="0.3">
      <c r="A351" s="4">
        <v>33423</v>
      </c>
      <c r="B351" s="4" t="s">
        <v>28</v>
      </c>
      <c r="C351" s="4" t="s">
        <v>15</v>
      </c>
      <c r="D351" s="4" t="s">
        <v>16</v>
      </c>
      <c r="E351" s="4" t="s">
        <v>121</v>
      </c>
      <c r="F351" s="4" t="str">
        <f t="shared" si="5"/>
        <v>2MC</v>
      </c>
      <c r="G351" s="5">
        <v>46146</v>
      </c>
      <c r="H351" s="6">
        <v>0.77708333333333324</v>
      </c>
      <c r="I351" s="5">
        <v>46146</v>
      </c>
      <c r="J351" s="5">
        <v>46146</v>
      </c>
      <c r="K351" s="5">
        <v>46146</v>
      </c>
      <c r="L351" s="4" t="s">
        <v>207</v>
      </c>
      <c r="M351" s="4" t="s">
        <v>163</v>
      </c>
      <c r="N351" s="4" t="s">
        <v>208</v>
      </c>
      <c r="O351" s="4" t="s">
        <v>24</v>
      </c>
      <c r="P351" s="4">
        <v>28293</v>
      </c>
      <c r="Q351" s="4" t="s">
        <v>19</v>
      </c>
      <c r="R351" s="4">
        <v>41044</v>
      </c>
      <c r="S351" s="4" t="str">
        <f>VLOOKUP(L351&amp;TEXT(I351,"mmmm")&amp;YEAR(I351),'[1]Detalle C-Fecha'!$D$2:$E$15921,2,FALSE)</f>
        <v>CCUDyAZA</v>
      </c>
    </row>
    <row r="352" spans="1:19" x14ac:dyDescent="0.3">
      <c r="A352" s="4">
        <v>33424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46146</v>
      </c>
      <c r="H352" s="6">
        <v>0.77708333333333324</v>
      </c>
      <c r="I352" s="5">
        <v>46146</v>
      </c>
      <c r="J352" s="5">
        <v>46146</v>
      </c>
      <c r="K352" s="5">
        <v>46146</v>
      </c>
      <c r="L352" s="4" t="s">
        <v>207</v>
      </c>
      <c r="M352" s="4" t="s">
        <v>163</v>
      </c>
      <c r="N352" s="4" t="s">
        <v>208</v>
      </c>
      <c r="O352" s="4" t="s">
        <v>24</v>
      </c>
      <c r="P352" s="4">
        <v>28294</v>
      </c>
      <c r="Q352" s="4" t="s">
        <v>19</v>
      </c>
      <c r="R352" s="4">
        <v>41045</v>
      </c>
      <c r="S352" s="4" t="str">
        <f>VLOOKUP(L352&amp;TEXT(I352,"mmmm")&amp;YEAR(I352),'[1]Detalle C-Fecha'!$D$2:$E$15921,2,FALSE)</f>
        <v>CCUDyAZA</v>
      </c>
    </row>
    <row r="353" spans="1:19" x14ac:dyDescent="0.3">
      <c r="A353" s="4">
        <v>33425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46146</v>
      </c>
      <c r="H353" s="6">
        <v>0.77708333333333324</v>
      </c>
      <c r="I353" s="5">
        <v>46146</v>
      </c>
      <c r="J353" s="5">
        <v>46146</v>
      </c>
      <c r="K353" s="5">
        <v>46146</v>
      </c>
      <c r="L353" s="4" t="s">
        <v>207</v>
      </c>
      <c r="M353" s="4" t="s">
        <v>163</v>
      </c>
      <c r="N353" s="4" t="s">
        <v>208</v>
      </c>
      <c r="O353" s="4" t="s">
        <v>24</v>
      </c>
      <c r="P353" s="4">
        <v>28295</v>
      </c>
      <c r="Q353" s="4" t="s">
        <v>19</v>
      </c>
      <c r="R353" s="4">
        <v>41046</v>
      </c>
      <c r="S353" s="4" t="str">
        <f>VLOOKUP(L353&amp;TEXT(I353,"mmmm")&amp;YEAR(I353),'[1]Detalle C-Fecha'!$D$2:$E$15921,2,FALSE)</f>
        <v>CCUDyAZA</v>
      </c>
    </row>
    <row r="354" spans="1:19" x14ac:dyDescent="0.3">
      <c r="A354" s="4">
        <v>33442</v>
      </c>
      <c r="B354" s="4" t="s">
        <v>28</v>
      </c>
      <c r="C354" s="4" t="s">
        <v>15</v>
      </c>
      <c r="D354" s="4" t="s">
        <v>16</v>
      </c>
      <c r="E354" s="4" t="s">
        <v>121</v>
      </c>
      <c r="F354" s="4" t="str">
        <f t="shared" si="5"/>
        <v>2MC</v>
      </c>
      <c r="G354" s="5">
        <v>46147</v>
      </c>
      <c r="H354" s="6">
        <v>0.44097222222222227</v>
      </c>
      <c r="I354" s="5">
        <v>46147</v>
      </c>
      <c r="J354" s="5">
        <v>46147</v>
      </c>
      <c r="K354" s="5">
        <v>46147</v>
      </c>
      <c r="L354" s="4" t="s">
        <v>209</v>
      </c>
      <c r="M354" s="4">
        <v>1624</v>
      </c>
      <c r="N354" s="4" t="s">
        <v>208</v>
      </c>
      <c r="O354" s="4" t="s">
        <v>27</v>
      </c>
      <c r="P354" s="4">
        <v>28309</v>
      </c>
      <c r="Q354" s="4" t="s">
        <v>19</v>
      </c>
      <c r="R354" s="4">
        <v>41055</v>
      </c>
      <c r="S354" s="4" t="str">
        <f>VLOOKUP(L354&amp;TEXT(I354,"mmmm")&amp;YEAR(I354),'[1]Detalle C-Fecha'!$D$2:$E$15921,2,FALSE)</f>
        <v>JOHNSON - SC JOHNSON DE ARGENTINA SAIC</v>
      </c>
    </row>
    <row r="355" spans="1:19" x14ac:dyDescent="0.3">
      <c r="A355" s="4">
        <v>33443</v>
      </c>
      <c r="B355" s="4" t="s">
        <v>28</v>
      </c>
      <c r="C355" s="4" t="s">
        <v>15</v>
      </c>
      <c r="D355" s="4" t="s">
        <v>16</v>
      </c>
      <c r="E355" s="4" t="s">
        <v>53</v>
      </c>
      <c r="F355" s="4" t="str">
        <f t="shared" si="5"/>
        <v>3MC</v>
      </c>
      <c r="G355" s="5">
        <v>46147</v>
      </c>
      <c r="H355" s="6">
        <v>0.44097222222222227</v>
      </c>
      <c r="I355" s="5">
        <v>46147</v>
      </c>
      <c r="J355" s="5">
        <v>46147</v>
      </c>
      <c r="K355" s="5">
        <v>46147</v>
      </c>
      <c r="L355" s="4" t="s">
        <v>209</v>
      </c>
      <c r="M355" s="4">
        <v>1624</v>
      </c>
      <c r="N355" s="4" t="s">
        <v>208</v>
      </c>
      <c r="O355" s="4" t="s">
        <v>27</v>
      </c>
      <c r="P355" s="4">
        <v>28310</v>
      </c>
      <c r="Q355" s="4" t="s">
        <v>19</v>
      </c>
      <c r="R355" s="4">
        <v>41056</v>
      </c>
      <c r="S355" s="4" t="str">
        <f>VLOOKUP(L355&amp;TEXT(I355,"mmmm")&amp;YEAR(I355),'[1]Detalle C-Fecha'!$D$2:$E$15921,2,FALSE)</f>
        <v>JOHNSON - SC JOHNSON DE ARGENTINA SAIC</v>
      </c>
    </row>
    <row r="356" spans="1:19" x14ac:dyDescent="0.3">
      <c r="A356" s="4">
        <v>33444</v>
      </c>
      <c r="B356" s="4" t="s">
        <v>28</v>
      </c>
      <c r="C356" s="4" t="s">
        <v>15</v>
      </c>
      <c r="D356" s="4" t="s">
        <v>16</v>
      </c>
      <c r="E356" s="4" t="s">
        <v>111</v>
      </c>
      <c r="F356" s="4" t="str">
        <f t="shared" si="5"/>
        <v>6MC</v>
      </c>
      <c r="G356" s="5">
        <v>46147</v>
      </c>
      <c r="H356" s="6">
        <v>0.44097222222222227</v>
      </c>
      <c r="I356" s="5">
        <v>46147</v>
      </c>
      <c r="J356" s="5">
        <v>46147</v>
      </c>
      <c r="K356" s="5">
        <v>46147</v>
      </c>
      <c r="L356" s="4" t="s">
        <v>209</v>
      </c>
      <c r="M356" s="4">
        <v>1624</v>
      </c>
      <c r="N356" s="4" t="s">
        <v>208</v>
      </c>
      <c r="O356" s="4" t="s">
        <v>27</v>
      </c>
      <c r="P356" s="4">
        <v>28311</v>
      </c>
      <c r="Q356" s="4" t="s">
        <v>19</v>
      </c>
      <c r="R356" s="4">
        <v>41057</v>
      </c>
      <c r="S356" s="4" t="str">
        <f>VLOOKUP(L356&amp;TEXT(I356,"mmmm")&amp;YEAR(I356),'[1]Detalle C-Fecha'!$D$2:$E$15921,2,FALSE)</f>
        <v>JOHNSON - SC JOHNSON DE ARGENTINA SAIC</v>
      </c>
    </row>
    <row r="357" spans="1:19" x14ac:dyDescent="0.3">
      <c r="A357" s="4">
        <v>33484</v>
      </c>
      <c r="B357" s="4" t="s">
        <v>28</v>
      </c>
      <c r="C357" s="4" t="s">
        <v>15</v>
      </c>
      <c r="D357" s="4" t="s">
        <v>16</v>
      </c>
      <c r="E357" s="4" t="s">
        <v>35</v>
      </c>
      <c r="F357" s="4" t="str">
        <f t="shared" si="5"/>
        <v>2ML</v>
      </c>
      <c r="G357" s="5">
        <v>46148</v>
      </c>
      <c r="H357" s="6">
        <v>0.42569444444444443</v>
      </c>
      <c r="I357" s="5">
        <v>46148</v>
      </c>
      <c r="J357" s="5">
        <v>46148</v>
      </c>
      <c r="K357" s="5">
        <v>46148</v>
      </c>
      <c r="L357" s="4" t="s">
        <v>210</v>
      </c>
      <c r="M357" s="4" t="s">
        <v>146</v>
      </c>
      <c r="N357" s="4" t="s">
        <v>208</v>
      </c>
      <c r="O357" s="4" t="s">
        <v>27</v>
      </c>
      <c r="P357" s="4">
        <v>28347</v>
      </c>
      <c r="Q357" s="4" t="s">
        <v>19</v>
      </c>
      <c r="R357" s="4">
        <v>41069</v>
      </c>
      <c r="S357" s="4" t="str">
        <f>VLOOKUP(L357&amp;TEXT(I357,"mmmm")&amp;YEAR(I357),'[1]Detalle C-Fecha'!$D$2:$E$15921,2,FALSE)</f>
        <v>Arcor S.A.I.C.</v>
      </c>
    </row>
    <row r="358" spans="1:19" x14ac:dyDescent="0.3">
      <c r="A358" s="4">
        <v>33485</v>
      </c>
      <c r="B358" s="4" t="s">
        <v>28</v>
      </c>
      <c r="C358" s="4" t="s">
        <v>15</v>
      </c>
      <c r="D358" s="4" t="s">
        <v>16</v>
      </c>
      <c r="E358" s="4" t="s">
        <v>47</v>
      </c>
      <c r="F358" s="4" t="str">
        <f t="shared" si="5"/>
        <v>3ML</v>
      </c>
      <c r="G358" s="5">
        <v>46148</v>
      </c>
      <c r="H358" s="6">
        <v>0.42569444444444443</v>
      </c>
      <c r="I358" s="5">
        <v>46148</v>
      </c>
      <c r="J358" s="5">
        <v>46148</v>
      </c>
      <c r="K358" s="5">
        <v>46148</v>
      </c>
      <c r="L358" s="4" t="s">
        <v>210</v>
      </c>
      <c r="M358" s="4" t="s">
        <v>146</v>
      </c>
      <c r="N358" s="4" t="s">
        <v>208</v>
      </c>
      <c r="O358" s="4" t="s">
        <v>27</v>
      </c>
      <c r="P358" s="4">
        <v>28348</v>
      </c>
      <c r="Q358" s="4" t="s">
        <v>19</v>
      </c>
      <c r="R358" s="4">
        <v>41070</v>
      </c>
      <c r="S358" s="4" t="str">
        <f>VLOOKUP(L358&amp;TEXT(I358,"mmmm")&amp;YEAR(I358),'[1]Detalle C-Fecha'!$D$2:$E$15921,2,FALSE)</f>
        <v>Arcor S.A.I.C.</v>
      </c>
    </row>
    <row r="359" spans="1:19" x14ac:dyDescent="0.3">
      <c r="A359" s="4">
        <v>33486</v>
      </c>
      <c r="B359" s="4" t="s">
        <v>28</v>
      </c>
      <c r="C359" s="4" t="s">
        <v>15</v>
      </c>
      <c r="D359" s="4" t="s">
        <v>16</v>
      </c>
      <c r="E359" s="4" t="s">
        <v>46</v>
      </c>
      <c r="F359" s="4" t="str">
        <f t="shared" si="5"/>
        <v>6ML</v>
      </c>
      <c r="G359" s="5">
        <v>46148</v>
      </c>
      <c r="H359" s="6">
        <v>0.42569444444444443</v>
      </c>
      <c r="I359" s="5">
        <v>46148</v>
      </c>
      <c r="J359" s="5">
        <v>46148</v>
      </c>
      <c r="K359" s="5">
        <v>46148</v>
      </c>
      <c r="L359" s="4" t="s">
        <v>210</v>
      </c>
      <c r="M359" s="4" t="s">
        <v>146</v>
      </c>
      <c r="N359" s="4" t="s">
        <v>208</v>
      </c>
      <c r="O359" s="4" t="s">
        <v>27</v>
      </c>
      <c r="P359" s="4">
        <v>28350</v>
      </c>
      <c r="Q359" s="4" t="s">
        <v>19</v>
      </c>
      <c r="R359" s="4">
        <v>41071</v>
      </c>
      <c r="S359" s="4" t="str">
        <f>VLOOKUP(L359&amp;TEXT(I359,"mmmm")&amp;YEAR(I359),'[1]Detalle C-Fecha'!$D$2:$E$15921,2,FALSE)</f>
        <v>Arcor S.A.I.C.</v>
      </c>
    </row>
    <row r="360" spans="1:19" x14ac:dyDescent="0.3">
      <c r="A360" s="4">
        <v>33498</v>
      </c>
      <c r="B360" s="4" t="s">
        <v>28</v>
      </c>
      <c r="C360" s="4" t="s">
        <v>15</v>
      </c>
      <c r="D360" s="4" t="s">
        <v>16</v>
      </c>
      <c r="E360" s="4" t="s">
        <v>118</v>
      </c>
      <c r="F360" s="4" t="str">
        <f t="shared" si="5"/>
        <v>2ML</v>
      </c>
      <c r="G360" s="5">
        <v>46148</v>
      </c>
      <c r="H360" s="6">
        <v>0.4777777777777778</v>
      </c>
      <c r="I360" s="5">
        <v>46146</v>
      </c>
      <c r="J360" s="5">
        <v>46146</v>
      </c>
      <c r="K360" s="5">
        <v>46146</v>
      </c>
      <c r="L360" s="4" t="s">
        <v>65</v>
      </c>
      <c r="M360" s="4" t="s">
        <v>142</v>
      </c>
      <c r="N360" s="4" t="s">
        <v>17</v>
      </c>
      <c r="O360" s="4" t="s">
        <v>25</v>
      </c>
      <c r="P360" s="4">
        <v>28361</v>
      </c>
      <c r="Q360" s="4" t="s">
        <v>19</v>
      </c>
      <c r="R360" s="4">
        <v>41572</v>
      </c>
      <c r="S360" s="4" t="str">
        <f>VLOOKUP(L360&amp;TEXT(I360,"mmmm")&amp;YEAR(I360),'[1]Detalle C-Fecha'!$D$2:$E$15921,2,FALSE)</f>
        <v>Expreso - Servicios Troncales</v>
      </c>
    </row>
    <row r="361" spans="1:19" x14ac:dyDescent="0.3">
      <c r="A361" s="4">
        <v>33499</v>
      </c>
      <c r="B361" s="4" t="s">
        <v>28</v>
      </c>
      <c r="C361" s="4" t="s">
        <v>15</v>
      </c>
      <c r="D361" s="4" t="s">
        <v>16</v>
      </c>
      <c r="E361" s="4" t="s">
        <v>119</v>
      </c>
      <c r="F361" s="4" t="str">
        <f t="shared" si="5"/>
        <v>3ML</v>
      </c>
      <c r="G361" s="5">
        <v>46148</v>
      </c>
      <c r="H361" s="6">
        <v>0.4777777777777778</v>
      </c>
      <c r="I361" s="5">
        <v>46146</v>
      </c>
      <c r="J361" s="5">
        <v>46146</v>
      </c>
      <c r="K361" s="5">
        <v>46146</v>
      </c>
      <c r="L361" s="4" t="s">
        <v>65</v>
      </c>
      <c r="M361" s="4" t="s">
        <v>142</v>
      </c>
      <c r="N361" s="4" t="s">
        <v>17</v>
      </c>
      <c r="O361" s="4" t="s">
        <v>25</v>
      </c>
      <c r="P361" s="4">
        <v>28362</v>
      </c>
      <c r="Q361" s="4" t="s">
        <v>19</v>
      </c>
      <c r="R361" s="4">
        <v>41574</v>
      </c>
      <c r="S361" s="4" t="str">
        <f>VLOOKUP(L361&amp;TEXT(I361,"mmmm")&amp;YEAR(I361),'[1]Detalle C-Fecha'!$D$2:$E$15921,2,FALSE)</f>
        <v>Expreso - Servicios Troncales</v>
      </c>
    </row>
    <row r="362" spans="1:19" x14ac:dyDescent="0.3">
      <c r="A362" s="4">
        <v>33500</v>
      </c>
      <c r="B362" s="4" t="s">
        <v>28</v>
      </c>
      <c r="C362" s="4" t="s">
        <v>15</v>
      </c>
      <c r="D362" s="4" t="s">
        <v>16</v>
      </c>
      <c r="E362" s="4" t="s">
        <v>120</v>
      </c>
      <c r="F362" s="4" t="str">
        <f t="shared" si="5"/>
        <v>6ML</v>
      </c>
      <c r="G362" s="5">
        <v>46148</v>
      </c>
      <c r="H362" s="6">
        <v>0.4777777777777778</v>
      </c>
      <c r="I362" s="5">
        <v>46146</v>
      </c>
      <c r="J362" s="5">
        <v>46146</v>
      </c>
      <c r="K362" s="5">
        <v>46146</v>
      </c>
      <c r="L362" s="4" t="s">
        <v>65</v>
      </c>
      <c r="M362" s="4" t="s">
        <v>142</v>
      </c>
      <c r="N362" s="4" t="s">
        <v>17</v>
      </c>
      <c r="O362" s="4" t="s">
        <v>25</v>
      </c>
      <c r="P362" s="4">
        <v>28363</v>
      </c>
      <c r="Q362" s="4" t="s">
        <v>19</v>
      </c>
      <c r="R362" s="4">
        <v>41576</v>
      </c>
      <c r="S362" s="4" t="str">
        <f>VLOOKUP(L362&amp;TEXT(I362,"mmmm")&amp;YEAR(I362),'[1]Detalle C-Fecha'!$D$2:$E$15921,2,FALSE)</f>
        <v>Expreso - Servicios Troncales</v>
      </c>
    </row>
    <row r="363" spans="1:19" x14ac:dyDescent="0.3">
      <c r="A363" s="4">
        <v>33514</v>
      </c>
      <c r="B363" s="4" t="s">
        <v>28</v>
      </c>
      <c r="C363" s="4" t="s">
        <v>15</v>
      </c>
      <c r="D363" s="4" t="s">
        <v>16</v>
      </c>
      <c r="E363" s="4" t="s">
        <v>51</v>
      </c>
      <c r="F363" s="4" t="str">
        <f t="shared" si="5"/>
        <v>2MC</v>
      </c>
      <c r="G363" s="5">
        <v>46148</v>
      </c>
      <c r="H363" s="6">
        <v>0.51874999999999993</v>
      </c>
      <c r="I363" s="5">
        <v>46148</v>
      </c>
      <c r="J363" s="5">
        <v>46148</v>
      </c>
      <c r="K363" s="5">
        <v>46148</v>
      </c>
      <c r="L363" s="4" t="s">
        <v>211</v>
      </c>
      <c r="M363" s="4" t="s">
        <v>192</v>
      </c>
      <c r="N363" s="4" t="s">
        <v>208</v>
      </c>
      <c r="O363" s="4" t="s">
        <v>24</v>
      </c>
      <c r="P363" s="4">
        <v>28375</v>
      </c>
      <c r="Q363" s="4" t="s">
        <v>19</v>
      </c>
      <c r="R363" s="4">
        <v>41074</v>
      </c>
      <c r="S363" s="4" t="str">
        <f>VLOOKUP(L363&amp;TEXT(I363,"mmmm")&amp;YEAR(I363),'[1]Detalle C-Fecha'!$D$2:$E$15921,2,FALSE)</f>
        <v>CCUDyAZA</v>
      </c>
    </row>
    <row r="364" spans="1:19" x14ac:dyDescent="0.3">
      <c r="A364" s="4">
        <v>33515</v>
      </c>
      <c r="B364" s="4" t="s">
        <v>28</v>
      </c>
      <c r="C364" s="4" t="s">
        <v>15</v>
      </c>
      <c r="D364" s="4" t="s">
        <v>16</v>
      </c>
      <c r="E364" s="4" t="s">
        <v>53</v>
      </c>
      <c r="F364" s="4" t="str">
        <f t="shared" si="5"/>
        <v>3MC</v>
      </c>
      <c r="G364" s="5">
        <v>46148</v>
      </c>
      <c r="H364" s="6">
        <v>0.51874999999999993</v>
      </c>
      <c r="I364" s="5">
        <v>46148</v>
      </c>
      <c r="J364" s="5">
        <v>46148</v>
      </c>
      <c r="K364" s="5">
        <v>46148</v>
      </c>
      <c r="L364" s="4" t="s">
        <v>211</v>
      </c>
      <c r="M364" s="4" t="s">
        <v>192</v>
      </c>
      <c r="N364" s="4" t="s">
        <v>208</v>
      </c>
      <c r="O364" s="4" t="s">
        <v>24</v>
      </c>
      <c r="P364" s="4">
        <v>28377</v>
      </c>
      <c r="Q364" s="4" t="s">
        <v>19</v>
      </c>
      <c r="R364" s="4">
        <v>41075</v>
      </c>
      <c r="S364" s="4" t="str">
        <f>VLOOKUP(L364&amp;TEXT(I364,"mmmm")&amp;YEAR(I364),'[1]Detalle C-Fecha'!$D$2:$E$15921,2,FALSE)</f>
        <v>CCUDyAZA</v>
      </c>
    </row>
    <row r="365" spans="1:19" x14ac:dyDescent="0.3">
      <c r="A365" s="4">
        <v>33516</v>
      </c>
      <c r="B365" s="4" t="s">
        <v>28</v>
      </c>
      <c r="C365" s="4" t="s">
        <v>15</v>
      </c>
      <c r="D365" s="4" t="s">
        <v>16</v>
      </c>
      <c r="E365" s="4" t="s">
        <v>52</v>
      </c>
      <c r="F365" s="4" t="str">
        <f t="shared" si="5"/>
        <v>6MC</v>
      </c>
      <c r="G365" s="5">
        <v>46148</v>
      </c>
      <c r="H365" s="6">
        <v>0.51874999999999993</v>
      </c>
      <c r="I365" s="5">
        <v>46148</v>
      </c>
      <c r="J365" s="5">
        <v>46148</v>
      </c>
      <c r="K365" s="5">
        <v>46148</v>
      </c>
      <c r="L365" s="4" t="s">
        <v>211</v>
      </c>
      <c r="M365" s="4" t="s">
        <v>192</v>
      </c>
      <c r="N365" s="4" t="s">
        <v>208</v>
      </c>
      <c r="O365" s="4" t="s">
        <v>24</v>
      </c>
      <c r="P365" s="4">
        <v>28379</v>
      </c>
      <c r="Q365" s="4" t="s">
        <v>19</v>
      </c>
      <c r="R365" s="4">
        <v>41076</v>
      </c>
      <c r="S365" s="4" t="str">
        <f>VLOOKUP(L365&amp;TEXT(I365,"mmmm")&amp;YEAR(I365),'[1]Detalle C-Fecha'!$D$2:$E$15921,2,FALSE)</f>
        <v>CCUDyAZA</v>
      </c>
    </row>
    <row r="366" spans="1:19" x14ac:dyDescent="0.3">
      <c r="A366" s="4">
        <v>33531</v>
      </c>
      <c r="B366" s="4" t="s">
        <v>28</v>
      </c>
      <c r="C366" s="4" t="s">
        <v>15</v>
      </c>
      <c r="D366" s="4" t="s">
        <v>16</v>
      </c>
      <c r="E366" s="4" t="s">
        <v>121</v>
      </c>
      <c r="F366" s="4" t="str">
        <f t="shared" si="5"/>
        <v>2MC</v>
      </c>
      <c r="G366" s="5">
        <v>46148</v>
      </c>
      <c r="H366" s="6">
        <v>0.70347222222222217</v>
      </c>
      <c r="I366" s="5">
        <v>46148</v>
      </c>
      <c r="J366" s="5">
        <v>46148</v>
      </c>
      <c r="K366" s="5">
        <v>46148</v>
      </c>
      <c r="L366" s="4" t="s">
        <v>212</v>
      </c>
      <c r="M366" s="4">
        <v>1624</v>
      </c>
      <c r="N366" s="4" t="s">
        <v>208</v>
      </c>
      <c r="O366" s="4" t="s">
        <v>27</v>
      </c>
      <c r="P366" s="4">
        <v>28396</v>
      </c>
      <c r="Q366" s="4" t="s">
        <v>19</v>
      </c>
      <c r="R366" s="4">
        <v>41082</v>
      </c>
      <c r="S366" s="4" t="str">
        <f>VLOOKUP(L366&amp;TEXT(I366,"mmmm")&amp;YEAR(I366),'[1]Detalle C-Fecha'!$D$2:$E$15921,2,FALSE)</f>
        <v>Papelera - Papelera del Plata S.A.</v>
      </c>
    </row>
    <row r="367" spans="1:19" x14ac:dyDescent="0.3">
      <c r="A367" s="4">
        <v>33532</v>
      </c>
      <c r="B367" s="4" t="s">
        <v>28</v>
      </c>
      <c r="C367" s="4" t="s">
        <v>15</v>
      </c>
      <c r="D367" s="4" t="s">
        <v>16</v>
      </c>
      <c r="E367" s="4" t="s">
        <v>53</v>
      </c>
      <c r="F367" s="4" t="str">
        <f t="shared" si="5"/>
        <v>3MC</v>
      </c>
      <c r="G367" s="5">
        <v>46148</v>
      </c>
      <c r="H367" s="6">
        <v>0.70347222222222217</v>
      </c>
      <c r="I367" s="5">
        <v>46148</v>
      </c>
      <c r="J367" s="5">
        <v>46148</v>
      </c>
      <c r="K367" s="5">
        <v>46148</v>
      </c>
      <c r="L367" s="4" t="s">
        <v>212</v>
      </c>
      <c r="M367" s="4">
        <v>1624</v>
      </c>
      <c r="N367" s="4" t="s">
        <v>208</v>
      </c>
      <c r="O367" s="4" t="s">
        <v>27</v>
      </c>
      <c r="P367" s="4">
        <v>28397</v>
      </c>
      <c r="Q367" s="4" t="s">
        <v>19</v>
      </c>
      <c r="R367" s="4">
        <v>41083</v>
      </c>
      <c r="S367" s="4" t="str">
        <f>VLOOKUP(L367&amp;TEXT(I367,"mmmm")&amp;YEAR(I367),'[1]Detalle C-Fecha'!$D$2:$E$15921,2,FALSE)</f>
        <v>Papelera - Papelera del Plata S.A.</v>
      </c>
    </row>
    <row r="368" spans="1:19" x14ac:dyDescent="0.3">
      <c r="A368" s="4">
        <v>33533</v>
      </c>
      <c r="B368" s="4" t="s">
        <v>28</v>
      </c>
      <c r="C368" s="4" t="s">
        <v>15</v>
      </c>
      <c r="D368" s="4" t="s">
        <v>16</v>
      </c>
      <c r="E368" s="4" t="s">
        <v>111</v>
      </c>
      <c r="F368" s="4" t="str">
        <f t="shared" si="5"/>
        <v>6MC</v>
      </c>
      <c r="G368" s="5">
        <v>46148</v>
      </c>
      <c r="H368" s="6">
        <v>0.70347222222222217</v>
      </c>
      <c r="I368" s="5">
        <v>46148</v>
      </c>
      <c r="J368" s="5">
        <v>46148</v>
      </c>
      <c r="K368" s="5">
        <v>46148</v>
      </c>
      <c r="L368" s="4" t="s">
        <v>212</v>
      </c>
      <c r="M368" s="4">
        <v>1624</v>
      </c>
      <c r="N368" s="4" t="s">
        <v>208</v>
      </c>
      <c r="O368" s="4" t="s">
        <v>27</v>
      </c>
      <c r="P368" s="4">
        <v>28398</v>
      </c>
      <c r="Q368" s="4" t="s">
        <v>19</v>
      </c>
      <c r="R368" s="4">
        <v>41084</v>
      </c>
      <c r="S368" s="4" t="str">
        <f>VLOOKUP(L368&amp;TEXT(I368,"mmmm")&amp;YEAR(I368),'[1]Detalle C-Fecha'!$D$2:$E$15921,2,FALSE)</f>
        <v>Papelera - Papelera del Plata S.A.</v>
      </c>
    </row>
    <row r="369" spans="1:19" x14ac:dyDescent="0.3">
      <c r="A369" s="4">
        <v>33538</v>
      </c>
      <c r="B369" s="4" t="s">
        <v>28</v>
      </c>
      <c r="C369" s="4" t="s">
        <v>15</v>
      </c>
      <c r="D369" s="4" t="s">
        <v>16</v>
      </c>
      <c r="E369" s="4" t="s">
        <v>51</v>
      </c>
      <c r="F369" s="4" t="str">
        <f t="shared" si="5"/>
        <v>2MC</v>
      </c>
      <c r="G369" s="5">
        <v>46148</v>
      </c>
      <c r="H369" s="6">
        <v>0.81388888888888899</v>
      </c>
      <c r="I369" s="5">
        <v>46148</v>
      </c>
      <c r="J369" s="5">
        <v>46148</v>
      </c>
      <c r="K369" s="5">
        <v>46148</v>
      </c>
      <c r="L369" s="4" t="s">
        <v>213</v>
      </c>
      <c r="M369" s="4" t="s">
        <v>130</v>
      </c>
      <c r="N369" s="4" t="s">
        <v>21</v>
      </c>
      <c r="O369" s="4" t="s">
        <v>24</v>
      </c>
      <c r="P369" s="4">
        <v>28401</v>
      </c>
      <c r="Q369" s="4" t="s">
        <v>19</v>
      </c>
      <c r="R369" s="4">
        <v>41087</v>
      </c>
      <c r="S369" s="4" t="str">
        <f>VLOOKUP(L369&amp;TEXT(I369,"mmmm")&amp;YEAR(I369),'[1]Detalle C-Fecha'!$D$2:$E$15921,2,FALSE)</f>
        <v>CCUDyAZA</v>
      </c>
    </row>
    <row r="370" spans="1:19" x14ac:dyDescent="0.3">
      <c r="A370" s="4">
        <v>33539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46148</v>
      </c>
      <c r="H370" s="6">
        <v>0.81388888888888899</v>
      </c>
      <c r="I370" s="5">
        <v>46148</v>
      </c>
      <c r="J370" s="5">
        <v>46148</v>
      </c>
      <c r="K370" s="5">
        <v>46148</v>
      </c>
      <c r="L370" s="4" t="s">
        <v>213</v>
      </c>
      <c r="M370" s="4" t="s">
        <v>130</v>
      </c>
      <c r="N370" s="4" t="s">
        <v>21</v>
      </c>
      <c r="O370" s="4" t="s">
        <v>24</v>
      </c>
      <c r="P370" s="4">
        <v>28402</v>
      </c>
      <c r="Q370" s="4" t="s">
        <v>19</v>
      </c>
      <c r="R370" s="4">
        <v>41088</v>
      </c>
      <c r="S370" s="4" t="str">
        <f>VLOOKUP(L370&amp;TEXT(I370,"mmmm")&amp;YEAR(I370),'[1]Detalle C-Fecha'!$D$2:$E$15921,2,FALSE)</f>
        <v>CCUDyAZA</v>
      </c>
    </row>
    <row r="371" spans="1:19" x14ac:dyDescent="0.3">
      <c r="A371" s="4">
        <v>33552</v>
      </c>
      <c r="B371" s="4" t="s">
        <v>28</v>
      </c>
      <c r="C371" s="4" t="s">
        <v>15</v>
      </c>
      <c r="D371" s="4" t="s">
        <v>16</v>
      </c>
      <c r="E371" s="4" t="s">
        <v>121</v>
      </c>
      <c r="F371" s="4" t="str">
        <f t="shared" si="5"/>
        <v>2MC</v>
      </c>
      <c r="G371" s="5">
        <v>46149</v>
      </c>
      <c r="H371" s="6">
        <v>0.41597222222222219</v>
      </c>
      <c r="I371" s="5">
        <v>46149</v>
      </c>
      <c r="J371" s="5">
        <v>46149</v>
      </c>
      <c r="K371" s="5">
        <v>46149</v>
      </c>
      <c r="L371" s="4" t="s">
        <v>214</v>
      </c>
      <c r="M371" s="4">
        <v>1624</v>
      </c>
      <c r="N371" s="4" t="s">
        <v>208</v>
      </c>
      <c r="O371" s="4" t="s">
        <v>27</v>
      </c>
      <c r="P371" s="4">
        <v>28436</v>
      </c>
      <c r="Q371" s="4" t="s">
        <v>19</v>
      </c>
      <c r="R371" s="4">
        <v>41092</v>
      </c>
      <c r="S371" s="4" t="str">
        <f>VLOOKUP(L371&amp;TEXT(I371,"mmmm")&amp;YEAR(I371),'[1]Detalle C-Fecha'!$D$2:$E$15921,2,FALSE)</f>
        <v>Papelera - Papelera del Plata S.A.</v>
      </c>
    </row>
    <row r="372" spans="1:19" x14ac:dyDescent="0.3">
      <c r="A372" s="4">
        <v>33553</v>
      </c>
      <c r="B372" s="4" t="s">
        <v>28</v>
      </c>
      <c r="C372" s="4" t="s">
        <v>15</v>
      </c>
      <c r="D372" s="4" t="s">
        <v>16</v>
      </c>
      <c r="E372" s="4" t="s">
        <v>53</v>
      </c>
      <c r="F372" s="4" t="str">
        <f t="shared" si="5"/>
        <v>3MC</v>
      </c>
      <c r="G372" s="5">
        <v>46149</v>
      </c>
      <c r="H372" s="6">
        <v>0.41597222222222219</v>
      </c>
      <c r="I372" s="5">
        <v>46149</v>
      </c>
      <c r="J372" s="5">
        <v>46149</v>
      </c>
      <c r="K372" s="5">
        <v>46149</v>
      </c>
      <c r="L372" s="4" t="s">
        <v>214</v>
      </c>
      <c r="M372" s="4">
        <v>1624</v>
      </c>
      <c r="N372" s="4" t="s">
        <v>208</v>
      </c>
      <c r="O372" s="4" t="s">
        <v>27</v>
      </c>
      <c r="P372" s="4">
        <v>28435</v>
      </c>
      <c r="Q372" s="4" t="s">
        <v>19</v>
      </c>
      <c r="R372" s="4">
        <v>41093</v>
      </c>
      <c r="S372" s="4" t="str">
        <f>VLOOKUP(L372&amp;TEXT(I372,"mmmm")&amp;YEAR(I372),'[1]Detalle C-Fecha'!$D$2:$E$15921,2,FALSE)</f>
        <v>Papelera - Papelera del Plata S.A.</v>
      </c>
    </row>
    <row r="373" spans="1:19" x14ac:dyDescent="0.3">
      <c r="A373" s="4">
        <v>33554</v>
      </c>
      <c r="B373" s="4" t="s">
        <v>28</v>
      </c>
      <c r="C373" s="4" t="s">
        <v>15</v>
      </c>
      <c r="D373" s="4" t="s">
        <v>16</v>
      </c>
      <c r="E373" s="4" t="s">
        <v>111</v>
      </c>
      <c r="F373" s="4" t="str">
        <f t="shared" si="5"/>
        <v>6MC</v>
      </c>
      <c r="G373" s="5">
        <v>46149</v>
      </c>
      <c r="H373" s="6">
        <v>0.41597222222222219</v>
      </c>
      <c r="I373" s="5">
        <v>46149</v>
      </c>
      <c r="J373" s="5">
        <v>46149</v>
      </c>
      <c r="K373" s="5">
        <v>46149</v>
      </c>
      <c r="L373" s="4" t="s">
        <v>214</v>
      </c>
      <c r="M373" s="4">
        <v>1624</v>
      </c>
      <c r="N373" s="4" t="s">
        <v>208</v>
      </c>
      <c r="O373" s="4" t="s">
        <v>27</v>
      </c>
      <c r="P373" s="4">
        <v>28432</v>
      </c>
      <c r="Q373" s="4" t="s">
        <v>19</v>
      </c>
      <c r="R373" s="4">
        <v>41094</v>
      </c>
      <c r="S373" s="4" t="str">
        <f>VLOOKUP(L373&amp;TEXT(I373,"mmmm")&amp;YEAR(I373),'[1]Detalle C-Fecha'!$D$2:$E$15921,2,FALSE)</f>
        <v>Papelera - Papelera del Plata S.A.</v>
      </c>
    </row>
    <row r="374" spans="1:19" x14ac:dyDescent="0.3">
      <c r="A374" s="4">
        <v>33557</v>
      </c>
      <c r="B374" s="4" t="s">
        <v>28</v>
      </c>
      <c r="C374" s="4" t="s">
        <v>15</v>
      </c>
      <c r="D374" s="4" t="s">
        <v>16</v>
      </c>
      <c r="E374" s="4" t="s">
        <v>35</v>
      </c>
      <c r="F374" s="4" t="str">
        <f t="shared" si="5"/>
        <v>2ML</v>
      </c>
      <c r="G374" s="5">
        <v>46149</v>
      </c>
      <c r="H374" s="6">
        <v>0.43055555555555558</v>
      </c>
      <c r="I374" s="5">
        <v>46149</v>
      </c>
      <c r="J374" s="5">
        <v>46149</v>
      </c>
      <c r="K374" s="5">
        <v>46150</v>
      </c>
      <c r="L374" s="4" t="s">
        <v>215</v>
      </c>
      <c r="M374" s="4" t="s">
        <v>126</v>
      </c>
      <c r="N374" s="4" t="s">
        <v>31</v>
      </c>
      <c r="O374" s="4" t="s">
        <v>25</v>
      </c>
      <c r="P374" s="4">
        <v>28442</v>
      </c>
      <c r="Q374" s="4" t="s">
        <v>19</v>
      </c>
      <c r="R374" s="4">
        <v>42141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33558</v>
      </c>
      <c r="B375" s="4" t="s">
        <v>28</v>
      </c>
      <c r="C375" s="4" t="s">
        <v>15</v>
      </c>
      <c r="D375" s="4" t="s">
        <v>16</v>
      </c>
      <c r="E375" s="4" t="s">
        <v>47</v>
      </c>
      <c r="F375" s="4" t="str">
        <f t="shared" si="5"/>
        <v>3ML</v>
      </c>
      <c r="G375" s="5">
        <v>46149</v>
      </c>
      <c r="H375" s="6">
        <v>0.43055555555555558</v>
      </c>
      <c r="I375" s="5">
        <v>46149</v>
      </c>
      <c r="J375" s="5">
        <v>46149</v>
      </c>
      <c r="K375" s="5">
        <v>46150</v>
      </c>
      <c r="L375" s="4" t="s">
        <v>215</v>
      </c>
      <c r="M375" s="4" t="s">
        <v>126</v>
      </c>
      <c r="N375" s="4" t="s">
        <v>31</v>
      </c>
      <c r="O375" s="4" t="s">
        <v>25</v>
      </c>
      <c r="P375" s="4">
        <v>28443</v>
      </c>
      <c r="Q375" s="4" t="s">
        <v>19</v>
      </c>
      <c r="R375" s="4">
        <v>42145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33559</v>
      </c>
      <c r="B376" s="4" t="s">
        <v>28</v>
      </c>
      <c r="C376" s="4" t="s">
        <v>15</v>
      </c>
      <c r="D376" s="4" t="s">
        <v>16</v>
      </c>
      <c r="E376" s="4" t="s">
        <v>216</v>
      </c>
      <c r="F376" s="4" t="str">
        <f t="shared" si="5"/>
        <v>8ML</v>
      </c>
      <c r="G376" s="5">
        <v>46149</v>
      </c>
      <c r="H376" s="6">
        <v>0.43055555555555558</v>
      </c>
      <c r="I376" s="5">
        <v>46149</v>
      </c>
      <c r="J376" s="5">
        <v>46149</v>
      </c>
      <c r="K376" s="5">
        <v>46150</v>
      </c>
      <c r="L376" s="4" t="s">
        <v>215</v>
      </c>
      <c r="M376" s="4" t="s">
        <v>126</v>
      </c>
      <c r="N376" s="4" t="s">
        <v>31</v>
      </c>
      <c r="O376" s="4" t="s">
        <v>25</v>
      </c>
      <c r="P376" s="4">
        <v>28444</v>
      </c>
      <c r="Q376" s="4" t="s">
        <v>19</v>
      </c>
      <c r="R376" s="4">
        <v>42147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33560</v>
      </c>
      <c r="B377" s="4" t="s">
        <v>28</v>
      </c>
      <c r="C377" s="4" t="s">
        <v>15</v>
      </c>
      <c r="D377" s="4" t="s">
        <v>16</v>
      </c>
      <c r="E377" s="4" t="s">
        <v>46</v>
      </c>
      <c r="F377" s="4" t="str">
        <f t="shared" si="5"/>
        <v>6ML</v>
      </c>
      <c r="G377" s="5">
        <v>46149</v>
      </c>
      <c r="H377" s="6">
        <v>0.43055555555555558</v>
      </c>
      <c r="I377" s="5">
        <v>46149</v>
      </c>
      <c r="J377" s="5">
        <v>46149</v>
      </c>
      <c r="K377" s="5">
        <v>46150</v>
      </c>
      <c r="L377" s="4" t="s">
        <v>215</v>
      </c>
      <c r="M377" s="4" t="s">
        <v>126</v>
      </c>
      <c r="N377" s="4" t="s">
        <v>31</v>
      </c>
      <c r="O377" s="4" t="s">
        <v>25</v>
      </c>
      <c r="P377" s="4">
        <v>28445</v>
      </c>
      <c r="Q377" s="4" t="s">
        <v>19</v>
      </c>
      <c r="R377" s="4">
        <v>42149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33561</v>
      </c>
      <c r="B378" s="4" t="s">
        <v>28</v>
      </c>
      <c r="C378" s="4" t="s">
        <v>15</v>
      </c>
      <c r="D378" s="4" t="s">
        <v>16</v>
      </c>
      <c r="E378" s="4" t="s">
        <v>137</v>
      </c>
      <c r="F378" s="4" t="str">
        <f t="shared" si="5"/>
        <v>7ML</v>
      </c>
      <c r="G378" s="5">
        <v>46149</v>
      </c>
      <c r="H378" s="6">
        <v>0.43055555555555558</v>
      </c>
      <c r="I378" s="5">
        <v>46149</v>
      </c>
      <c r="J378" s="5">
        <v>46149</v>
      </c>
      <c r="K378" s="5">
        <v>46150</v>
      </c>
      <c r="L378" s="4" t="s">
        <v>215</v>
      </c>
      <c r="M378" s="4" t="s">
        <v>126</v>
      </c>
      <c r="N378" s="4" t="s">
        <v>31</v>
      </c>
      <c r="O378" s="4" t="s">
        <v>25</v>
      </c>
      <c r="P378" s="4">
        <v>28447</v>
      </c>
      <c r="Q378" s="4" t="s">
        <v>19</v>
      </c>
      <c r="R378" s="4">
        <v>42151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33564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46149</v>
      </c>
      <c r="H379" s="6">
        <v>0.45624999999999999</v>
      </c>
      <c r="I379" s="5">
        <v>46149</v>
      </c>
      <c r="J379" s="5">
        <v>46149</v>
      </c>
      <c r="K379" s="5">
        <v>46149</v>
      </c>
      <c r="L379" s="4" t="s">
        <v>217</v>
      </c>
      <c r="M379" s="4" t="s">
        <v>218</v>
      </c>
      <c r="N379" s="4" t="s">
        <v>208</v>
      </c>
      <c r="O379" s="4" t="s">
        <v>24</v>
      </c>
      <c r="P379" s="4">
        <v>28453</v>
      </c>
      <c r="Q379" s="4" t="s">
        <v>19</v>
      </c>
      <c r="R379" s="4">
        <v>41096</v>
      </c>
      <c r="S379" s="4" t="str">
        <f>VLOOKUP(L379&amp;TEXT(I379,"mmmm")&amp;YEAR(I379),'[1]Detalle C-Fecha'!$D$2:$E$15921,2,FALSE)</f>
        <v>CCUDyAZA</v>
      </c>
    </row>
    <row r="380" spans="1:19" x14ac:dyDescent="0.3">
      <c r="A380" s="4">
        <v>33565</v>
      </c>
      <c r="B380" s="4" t="s">
        <v>28</v>
      </c>
      <c r="C380" s="4" t="s">
        <v>15</v>
      </c>
      <c r="D380" s="4" t="s">
        <v>16</v>
      </c>
      <c r="E380" s="4" t="s">
        <v>51</v>
      </c>
      <c r="F380" s="4" t="str">
        <f t="shared" si="5"/>
        <v>2MC</v>
      </c>
      <c r="G380" s="5">
        <v>46149</v>
      </c>
      <c r="H380" s="6">
        <v>0.45624999999999999</v>
      </c>
      <c r="I380" s="5">
        <v>46149</v>
      </c>
      <c r="J380" s="5">
        <v>46149</v>
      </c>
      <c r="K380" s="5">
        <v>46149</v>
      </c>
      <c r="L380" s="4" t="s">
        <v>217</v>
      </c>
      <c r="M380" s="4" t="s">
        <v>218</v>
      </c>
      <c r="N380" s="4" t="s">
        <v>208</v>
      </c>
      <c r="O380" s="4" t="s">
        <v>24</v>
      </c>
      <c r="P380" s="4">
        <v>28452</v>
      </c>
      <c r="Q380" s="4" t="s">
        <v>19</v>
      </c>
      <c r="R380" s="4">
        <v>41097</v>
      </c>
      <c r="S380" s="4" t="str">
        <f>VLOOKUP(L380&amp;TEXT(I380,"mmmm")&amp;YEAR(I380),'[1]Detalle C-Fecha'!$D$2:$E$15921,2,FALSE)</f>
        <v>CCUDyAZA</v>
      </c>
    </row>
    <row r="381" spans="1:19" x14ac:dyDescent="0.3">
      <c r="A381" s="4">
        <v>33641</v>
      </c>
      <c r="B381" s="4" t="s">
        <v>28</v>
      </c>
      <c r="C381" s="4" t="s">
        <v>15</v>
      </c>
      <c r="D381" s="4" t="s">
        <v>16</v>
      </c>
      <c r="E381" s="4" t="s">
        <v>35</v>
      </c>
      <c r="F381" s="4" t="str">
        <f t="shared" si="5"/>
        <v>2ML</v>
      </c>
      <c r="G381" s="5">
        <v>46150</v>
      </c>
      <c r="H381" s="6">
        <v>0.45694444444444443</v>
      </c>
      <c r="I381" s="5">
        <v>46150</v>
      </c>
      <c r="J381" s="5">
        <v>46150</v>
      </c>
      <c r="K381" s="5">
        <v>46150</v>
      </c>
      <c r="L381" s="4" t="s">
        <v>219</v>
      </c>
      <c r="M381" s="4" t="s">
        <v>126</v>
      </c>
      <c r="N381" s="4" t="s">
        <v>208</v>
      </c>
      <c r="O381" s="4" t="s">
        <v>25</v>
      </c>
      <c r="P381" s="4">
        <v>28543</v>
      </c>
      <c r="Q381" s="4" t="s">
        <v>19</v>
      </c>
      <c r="R381" s="4">
        <v>41143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33642</v>
      </c>
      <c r="B382" s="4" t="s">
        <v>28</v>
      </c>
      <c r="C382" s="4" t="s">
        <v>15</v>
      </c>
      <c r="D382" s="4" t="s">
        <v>16</v>
      </c>
      <c r="E382" s="4" t="s">
        <v>47</v>
      </c>
      <c r="F382" s="4" t="str">
        <f t="shared" si="5"/>
        <v>3ML</v>
      </c>
      <c r="G382" s="5">
        <v>46150</v>
      </c>
      <c r="H382" s="6">
        <v>0.45694444444444443</v>
      </c>
      <c r="I382" s="5">
        <v>46150</v>
      </c>
      <c r="J382" s="5">
        <v>46150</v>
      </c>
      <c r="K382" s="5">
        <v>46150</v>
      </c>
      <c r="L382" s="4" t="s">
        <v>219</v>
      </c>
      <c r="M382" s="4" t="s">
        <v>126</v>
      </c>
      <c r="N382" s="4" t="s">
        <v>208</v>
      </c>
      <c r="O382" s="4" t="s">
        <v>25</v>
      </c>
      <c r="P382" s="4">
        <v>28544</v>
      </c>
      <c r="Q382" s="4" t="s">
        <v>19</v>
      </c>
      <c r="R382" s="4">
        <v>41144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33643</v>
      </c>
      <c r="B383" s="4" t="s">
        <v>28</v>
      </c>
      <c r="C383" s="4" t="s">
        <v>15</v>
      </c>
      <c r="D383" s="4" t="s">
        <v>16</v>
      </c>
      <c r="E383" s="4" t="s">
        <v>46</v>
      </c>
      <c r="F383" s="4" t="str">
        <f t="shared" si="5"/>
        <v>6ML</v>
      </c>
      <c r="G383" s="5">
        <v>46150</v>
      </c>
      <c r="H383" s="6">
        <v>0.45694444444444443</v>
      </c>
      <c r="I383" s="5">
        <v>46150</v>
      </c>
      <c r="J383" s="5">
        <v>46150</v>
      </c>
      <c r="K383" s="5">
        <v>46150</v>
      </c>
      <c r="L383" s="4" t="s">
        <v>219</v>
      </c>
      <c r="M383" s="4" t="s">
        <v>126</v>
      </c>
      <c r="N383" s="4" t="s">
        <v>208</v>
      </c>
      <c r="O383" s="4" t="s">
        <v>25</v>
      </c>
      <c r="P383" s="4">
        <v>28545</v>
      </c>
      <c r="Q383" s="4" t="s">
        <v>19</v>
      </c>
      <c r="R383" s="4">
        <v>41145</v>
      </c>
      <c r="S383" s="4" t="str">
        <f>VLOOKUP(L383&amp;TEXT(I383,"mmmm")&amp;YEAR(I383),'[1]Detalle C-Fecha'!$D$2:$E$15921,2,FALSE)</f>
        <v>Expreso - Servicios Troncales</v>
      </c>
    </row>
    <row r="384" spans="1:19" x14ac:dyDescent="0.3">
      <c r="A384" s="4">
        <v>33646</v>
      </c>
      <c r="B384" s="4" t="s">
        <v>28</v>
      </c>
      <c r="C384" s="4" t="s">
        <v>15</v>
      </c>
      <c r="D384" s="4" t="s">
        <v>16</v>
      </c>
      <c r="E384" s="4" t="s">
        <v>51</v>
      </c>
      <c r="F384" s="4" t="str">
        <f t="shared" si="5"/>
        <v>2MC</v>
      </c>
      <c r="G384" s="5">
        <v>46150</v>
      </c>
      <c r="H384" s="6">
        <v>0.46527777777777773</v>
      </c>
      <c r="I384" s="5">
        <v>46150</v>
      </c>
      <c r="J384" s="5">
        <v>46150</v>
      </c>
      <c r="K384" s="5">
        <v>46150</v>
      </c>
      <c r="L384" s="4" t="s">
        <v>220</v>
      </c>
      <c r="M384" s="4">
        <v>712</v>
      </c>
      <c r="N384" s="4" t="s">
        <v>208</v>
      </c>
      <c r="O384" s="4" t="s">
        <v>27</v>
      </c>
      <c r="P384" s="4">
        <v>28548</v>
      </c>
      <c r="Q384" s="4" t="s">
        <v>19</v>
      </c>
      <c r="R384" s="4">
        <v>41148</v>
      </c>
      <c r="S384" s="4" t="str">
        <f>VLOOKUP(L384&amp;TEXT(I384,"mmmm")&amp;YEAR(I384),'[1]Detalle C-Fecha'!$D$2:$E$15921,2,FALSE)</f>
        <v>JOHNSON - SC JOHNSON DE ARGENTINA SAIC</v>
      </c>
    </row>
    <row r="385" spans="1:19" x14ac:dyDescent="0.3">
      <c r="A385" s="4">
        <v>33647</v>
      </c>
      <c r="B385" s="4" t="s">
        <v>28</v>
      </c>
      <c r="C385" s="4" t="s">
        <v>15</v>
      </c>
      <c r="D385" s="4" t="s">
        <v>16</v>
      </c>
      <c r="E385" s="4" t="s">
        <v>53</v>
      </c>
      <c r="F385" s="4" t="str">
        <f t="shared" si="5"/>
        <v>3MC</v>
      </c>
      <c r="G385" s="5">
        <v>46150</v>
      </c>
      <c r="H385" s="6">
        <v>0.46527777777777773</v>
      </c>
      <c r="I385" s="5">
        <v>46150</v>
      </c>
      <c r="J385" s="5">
        <v>46150</v>
      </c>
      <c r="K385" s="5">
        <v>46150</v>
      </c>
      <c r="L385" s="4" t="s">
        <v>220</v>
      </c>
      <c r="M385" s="4">
        <v>712</v>
      </c>
      <c r="N385" s="4" t="s">
        <v>208</v>
      </c>
      <c r="O385" s="4" t="s">
        <v>27</v>
      </c>
      <c r="P385" s="4">
        <v>28549</v>
      </c>
      <c r="Q385" s="4" t="s">
        <v>19</v>
      </c>
      <c r="R385" s="4">
        <v>41149</v>
      </c>
      <c r="S385" s="4" t="str">
        <f>VLOOKUP(L385&amp;TEXT(I385,"mmmm")&amp;YEAR(I385),'[1]Detalle C-Fecha'!$D$2:$E$15921,2,FALSE)</f>
        <v>JOHNSON - SC JOHNSON DE ARGENTINA SAIC</v>
      </c>
    </row>
    <row r="386" spans="1:19" x14ac:dyDescent="0.3">
      <c r="A386" s="4">
        <v>33648</v>
      </c>
      <c r="B386" s="4" t="s">
        <v>28</v>
      </c>
      <c r="C386" s="4" t="s">
        <v>15</v>
      </c>
      <c r="D386" s="4" t="s">
        <v>16</v>
      </c>
      <c r="E386" s="4" t="s">
        <v>52</v>
      </c>
      <c r="F386" s="4" t="str">
        <f t="shared" ref="F386:F449" si="6">MID(E386,1,3)</f>
        <v>6MC</v>
      </c>
      <c r="G386" s="5">
        <v>46150</v>
      </c>
      <c r="H386" s="6">
        <v>0.46527777777777773</v>
      </c>
      <c r="I386" s="5">
        <v>46150</v>
      </c>
      <c r="J386" s="5">
        <v>46150</v>
      </c>
      <c r="K386" s="5">
        <v>46150</v>
      </c>
      <c r="L386" s="4" t="s">
        <v>220</v>
      </c>
      <c r="M386" s="4">
        <v>712</v>
      </c>
      <c r="N386" s="4" t="s">
        <v>208</v>
      </c>
      <c r="O386" s="4" t="s">
        <v>27</v>
      </c>
      <c r="P386" s="4">
        <v>28550</v>
      </c>
      <c r="Q386" s="4" t="s">
        <v>19</v>
      </c>
      <c r="R386" s="4">
        <v>41150</v>
      </c>
      <c r="S386" s="4" t="str">
        <f>VLOOKUP(L386&amp;TEXT(I386,"mmmm")&amp;YEAR(I386),'[1]Detalle C-Fecha'!$D$2:$E$15921,2,FALSE)</f>
        <v>JOHNSON - SC JOHNSON DE ARGENTINA SAIC</v>
      </c>
    </row>
    <row r="387" spans="1:19" x14ac:dyDescent="0.3">
      <c r="A387" s="4">
        <v>33651</v>
      </c>
      <c r="B387" s="4" t="s">
        <v>28</v>
      </c>
      <c r="C387" s="4" t="s">
        <v>15</v>
      </c>
      <c r="D387" s="4" t="s">
        <v>16</v>
      </c>
      <c r="E387" s="4" t="s">
        <v>121</v>
      </c>
      <c r="F387" s="4" t="str">
        <f t="shared" si="6"/>
        <v>2MC</v>
      </c>
      <c r="G387" s="5">
        <v>46150</v>
      </c>
      <c r="H387" s="6">
        <v>0.47291666666666665</v>
      </c>
      <c r="I387" s="5">
        <v>46150</v>
      </c>
      <c r="J387" s="5">
        <v>46150</v>
      </c>
      <c r="K387" s="5">
        <v>46150</v>
      </c>
      <c r="L387" s="4" t="s">
        <v>221</v>
      </c>
      <c r="M387" s="4">
        <v>1624</v>
      </c>
      <c r="N387" s="4" t="s">
        <v>208</v>
      </c>
      <c r="O387" s="4" t="s">
        <v>27</v>
      </c>
      <c r="P387" s="4">
        <v>28553</v>
      </c>
      <c r="Q387" s="4" t="s">
        <v>19</v>
      </c>
      <c r="R387" s="4">
        <v>41151</v>
      </c>
      <c r="S387" s="4" t="str">
        <f>VLOOKUP(L387&amp;TEXT(I387,"mmmm")&amp;YEAR(I387),'[1]Detalle C-Fecha'!$D$2:$E$15921,2,FALSE)</f>
        <v>Papelera - Papelera del Plata S.A.</v>
      </c>
    </row>
    <row r="388" spans="1:19" x14ac:dyDescent="0.3">
      <c r="A388" s="4">
        <v>33652</v>
      </c>
      <c r="B388" s="4" t="s">
        <v>28</v>
      </c>
      <c r="C388" s="4" t="s">
        <v>15</v>
      </c>
      <c r="D388" s="4" t="s">
        <v>16</v>
      </c>
      <c r="E388" s="4" t="s">
        <v>53</v>
      </c>
      <c r="F388" s="4" t="str">
        <f t="shared" si="6"/>
        <v>3MC</v>
      </c>
      <c r="G388" s="5">
        <v>46150</v>
      </c>
      <c r="H388" s="6">
        <v>0.47291666666666665</v>
      </c>
      <c r="I388" s="5">
        <v>46150</v>
      </c>
      <c r="J388" s="5">
        <v>46150</v>
      </c>
      <c r="K388" s="5">
        <v>46150</v>
      </c>
      <c r="L388" s="4" t="s">
        <v>221</v>
      </c>
      <c r="M388" s="4">
        <v>1624</v>
      </c>
      <c r="N388" s="4" t="s">
        <v>208</v>
      </c>
      <c r="O388" s="4" t="s">
        <v>27</v>
      </c>
      <c r="P388" s="4">
        <v>28554</v>
      </c>
      <c r="Q388" s="4" t="s">
        <v>19</v>
      </c>
      <c r="R388" s="4">
        <v>41152</v>
      </c>
      <c r="S388" s="4" t="str">
        <f>VLOOKUP(L388&amp;TEXT(I388,"mmmm")&amp;YEAR(I388),'[1]Detalle C-Fecha'!$D$2:$E$15921,2,FALSE)</f>
        <v>Papelera - Papelera del Plata S.A.</v>
      </c>
    </row>
    <row r="389" spans="1:19" x14ac:dyDescent="0.3">
      <c r="A389" s="4">
        <v>33653</v>
      </c>
      <c r="B389" s="4" t="s">
        <v>28</v>
      </c>
      <c r="C389" s="4" t="s">
        <v>15</v>
      </c>
      <c r="D389" s="4" t="s">
        <v>16</v>
      </c>
      <c r="E389" s="4" t="s">
        <v>111</v>
      </c>
      <c r="F389" s="4" t="str">
        <f t="shared" si="6"/>
        <v>6MC</v>
      </c>
      <c r="G389" s="5">
        <v>46150</v>
      </c>
      <c r="H389" s="6">
        <v>0.47291666666666665</v>
      </c>
      <c r="I389" s="5">
        <v>46150</v>
      </c>
      <c r="J389" s="5">
        <v>46150</v>
      </c>
      <c r="K389" s="5">
        <v>46150</v>
      </c>
      <c r="L389" s="4" t="s">
        <v>221</v>
      </c>
      <c r="M389" s="4">
        <v>1624</v>
      </c>
      <c r="N389" s="4" t="s">
        <v>208</v>
      </c>
      <c r="O389" s="4" t="s">
        <v>27</v>
      </c>
      <c r="P389" s="4">
        <v>28555</v>
      </c>
      <c r="Q389" s="4" t="s">
        <v>19</v>
      </c>
      <c r="R389" s="4">
        <v>41153</v>
      </c>
      <c r="S389" s="4" t="str">
        <f>VLOOKUP(L389&amp;TEXT(I389,"mmmm")&amp;YEAR(I389),'[1]Detalle C-Fecha'!$D$2:$E$15921,2,FALSE)</f>
        <v>Papelera - Papelera del Plata S.A.</v>
      </c>
    </row>
    <row r="390" spans="1:19" x14ac:dyDescent="0.3">
      <c r="A390" s="4">
        <v>33657</v>
      </c>
      <c r="B390" s="4" t="s">
        <v>28</v>
      </c>
      <c r="C390" s="4" t="s">
        <v>15</v>
      </c>
      <c r="D390" s="4" t="s">
        <v>16</v>
      </c>
      <c r="E390" s="4" t="s">
        <v>51</v>
      </c>
      <c r="F390" s="4" t="str">
        <f t="shared" si="6"/>
        <v>2MC</v>
      </c>
      <c r="G390" s="5">
        <v>46150</v>
      </c>
      <c r="H390" s="6">
        <v>0.51388888888888895</v>
      </c>
      <c r="I390" s="5">
        <v>46150</v>
      </c>
      <c r="J390" s="5">
        <v>46150</v>
      </c>
      <c r="K390" s="5">
        <v>46150</v>
      </c>
      <c r="L390" s="4" t="s">
        <v>222</v>
      </c>
      <c r="M390" s="4" t="s">
        <v>130</v>
      </c>
      <c r="N390" s="4" t="s">
        <v>208</v>
      </c>
      <c r="O390" s="4" t="s">
        <v>27</v>
      </c>
      <c r="P390" s="4">
        <v>28561</v>
      </c>
      <c r="Q390" s="4" t="s">
        <v>19</v>
      </c>
      <c r="R390" s="4">
        <v>41156</v>
      </c>
      <c r="S390" s="4" t="str">
        <f>VLOOKUP(L390&amp;TEXT(I390,"mmmm")&amp;YEAR(I390),'[1]Detalle C-Fecha'!$D$2:$E$15921,2,FALSE)</f>
        <v>Papelera - Papelera del Plata S.A.</v>
      </c>
    </row>
    <row r="391" spans="1:19" x14ac:dyDescent="0.3">
      <c r="A391" s="4">
        <v>33658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46150</v>
      </c>
      <c r="H391" s="6">
        <v>0.51388888888888895</v>
      </c>
      <c r="I391" s="5">
        <v>46150</v>
      </c>
      <c r="J391" s="5">
        <v>46150</v>
      </c>
      <c r="K391" s="5">
        <v>46150</v>
      </c>
      <c r="L391" s="4" t="s">
        <v>222</v>
      </c>
      <c r="M391" s="4" t="s">
        <v>130</v>
      </c>
      <c r="N391" s="4" t="s">
        <v>208</v>
      </c>
      <c r="O391" s="4" t="s">
        <v>27</v>
      </c>
      <c r="P391" s="4">
        <v>28562</v>
      </c>
      <c r="Q391" s="4" t="s">
        <v>19</v>
      </c>
      <c r="R391" s="4">
        <v>41157</v>
      </c>
      <c r="S391" s="4" t="str">
        <f>VLOOKUP(L391&amp;TEXT(I391,"mmmm")&amp;YEAR(I391),'[1]Detalle C-Fecha'!$D$2:$E$15921,2,FALSE)</f>
        <v>Papelera - Papelera del Plata S.A.</v>
      </c>
    </row>
    <row r="392" spans="1:19" x14ac:dyDescent="0.3">
      <c r="A392" s="4">
        <v>33724</v>
      </c>
      <c r="B392" s="4" t="s">
        <v>28</v>
      </c>
      <c r="C392" s="4" t="s">
        <v>15</v>
      </c>
      <c r="D392" s="4" t="s">
        <v>16</v>
      </c>
      <c r="E392" s="4" t="s">
        <v>51</v>
      </c>
      <c r="F392" s="4" t="str">
        <f t="shared" si="6"/>
        <v>2MC</v>
      </c>
      <c r="G392" s="5">
        <v>46150</v>
      </c>
      <c r="H392" s="6">
        <v>0.79861111111111116</v>
      </c>
      <c r="I392" s="5">
        <v>46150</v>
      </c>
      <c r="J392" s="5">
        <v>46150</v>
      </c>
      <c r="K392" s="5">
        <v>46150</v>
      </c>
      <c r="L392" s="4" t="s">
        <v>223</v>
      </c>
      <c r="M392" s="4" t="s">
        <v>178</v>
      </c>
      <c r="N392" s="4" t="s">
        <v>208</v>
      </c>
      <c r="O392" s="4" t="s">
        <v>18</v>
      </c>
      <c r="P392" s="4">
        <v>28574</v>
      </c>
      <c r="Q392" s="4" t="s">
        <v>19</v>
      </c>
      <c r="R392" s="4">
        <v>41168</v>
      </c>
      <c r="S392" s="4" t="str">
        <f>VLOOKUP(L392&amp;TEXT(I392,"mmmm")&amp;YEAR(I392),'[1]Detalle C-Fecha'!$D$2:$E$15921,2,FALSE)</f>
        <v>AGN_TTE - AGUANORT - Transporte</v>
      </c>
    </row>
    <row r="393" spans="1:19" x14ac:dyDescent="0.3">
      <c r="A393" s="4">
        <v>33725</v>
      </c>
      <c r="B393" s="4" t="s">
        <v>28</v>
      </c>
      <c r="C393" s="4" t="s">
        <v>15</v>
      </c>
      <c r="D393" s="4" t="s">
        <v>16</v>
      </c>
      <c r="E393" s="4" t="s">
        <v>53</v>
      </c>
      <c r="F393" s="4" t="str">
        <f t="shared" si="6"/>
        <v>3MC</v>
      </c>
      <c r="G393" s="5">
        <v>46150</v>
      </c>
      <c r="H393" s="6">
        <v>0.79861111111111116</v>
      </c>
      <c r="I393" s="5">
        <v>46150</v>
      </c>
      <c r="J393" s="5">
        <v>46150</v>
      </c>
      <c r="K393" s="5">
        <v>46150</v>
      </c>
      <c r="L393" s="4" t="s">
        <v>223</v>
      </c>
      <c r="M393" s="4" t="s">
        <v>178</v>
      </c>
      <c r="N393" s="4" t="s">
        <v>208</v>
      </c>
      <c r="O393" s="4" t="s">
        <v>18</v>
      </c>
      <c r="P393" s="4">
        <v>28575</v>
      </c>
      <c r="Q393" s="4" t="s">
        <v>19</v>
      </c>
      <c r="R393" s="4">
        <v>41169</v>
      </c>
      <c r="S393" s="4" t="str">
        <f>VLOOKUP(L393&amp;TEXT(I393,"mmmm")&amp;YEAR(I393),'[1]Detalle C-Fecha'!$D$2:$E$15921,2,FALSE)</f>
        <v>AGN_TTE - AGUANORT - Transporte</v>
      </c>
    </row>
    <row r="394" spans="1:19" x14ac:dyDescent="0.3">
      <c r="A394" s="4">
        <v>33726</v>
      </c>
      <c r="B394" s="4" t="s">
        <v>28</v>
      </c>
      <c r="C394" s="4" t="s">
        <v>15</v>
      </c>
      <c r="D394" s="4" t="s">
        <v>16</v>
      </c>
      <c r="E394" s="4" t="s">
        <v>112</v>
      </c>
      <c r="F394" s="4" t="str">
        <f t="shared" si="6"/>
        <v>6MC</v>
      </c>
      <c r="G394" s="5">
        <v>46150</v>
      </c>
      <c r="H394" s="6">
        <v>0.79861111111111116</v>
      </c>
      <c r="I394" s="5">
        <v>46150</v>
      </c>
      <c r="J394" s="5">
        <v>46150</v>
      </c>
      <c r="K394" s="5">
        <v>46150</v>
      </c>
      <c r="L394" s="4" t="s">
        <v>223</v>
      </c>
      <c r="M394" s="4" t="s">
        <v>178</v>
      </c>
      <c r="N394" s="4" t="s">
        <v>208</v>
      </c>
      <c r="O394" s="4" t="s">
        <v>18</v>
      </c>
      <c r="P394" s="4">
        <v>28576</v>
      </c>
      <c r="Q394" s="4" t="s">
        <v>19</v>
      </c>
      <c r="R394" s="4">
        <v>41170</v>
      </c>
      <c r="S394" s="4" t="str">
        <f>VLOOKUP(L394&amp;TEXT(I394,"mmmm")&amp;YEAR(I394),'[1]Detalle C-Fecha'!$D$2:$E$15921,2,FALSE)</f>
        <v>AGN_TTE - AGUANORT - Transporte</v>
      </c>
    </row>
    <row r="395" spans="1:19" x14ac:dyDescent="0.3">
      <c r="A395" s="4">
        <v>33736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46153</v>
      </c>
      <c r="H395" s="6">
        <v>0.44305555555555554</v>
      </c>
      <c r="I395" s="5">
        <v>46153</v>
      </c>
      <c r="J395" s="5">
        <v>46153</v>
      </c>
      <c r="K395" s="5">
        <v>46153</v>
      </c>
      <c r="L395" s="4" t="s">
        <v>225</v>
      </c>
      <c r="M395" s="4" t="s">
        <v>161</v>
      </c>
      <c r="N395" s="4" t="s">
        <v>21</v>
      </c>
      <c r="O395" s="4" t="s">
        <v>27</v>
      </c>
      <c r="P395" s="4">
        <v>28586</v>
      </c>
      <c r="Q395" s="4" t="s">
        <v>19</v>
      </c>
      <c r="R395" s="4">
        <v>41525</v>
      </c>
      <c r="S395" s="4" t="str">
        <f>VLOOKUP(L395&amp;TEXT(I395,"mmmm")&amp;YEAR(I395),'[1]Detalle C-Fecha'!$D$2:$E$15921,2,FALSE)</f>
        <v>Unilever - Unilever de Arg. S.A.</v>
      </c>
    </row>
    <row r="396" spans="1:19" x14ac:dyDescent="0.3">
      <c r="A396" s="4">
        <v>33737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46153</v>
      </c>
      <c r="H396" s="6">
        <v>0.44305555555555554</v>
      </c>
      <c r="I396" s="5">
        <v>46153</v>
      </c>
      <c r="J396" s="5">
        <v>46153</v>
      </c>
      <c r="K396" s="5">
        <v>46153</v>
      </c>
      <c r="L396" s="4" t="s">
        <v>225</v>
      </c>
      <c r="M396" s="4" t="s">
        <v>161</v>
      </c>
      <c r="N396" s="4" t="s">
        <v>21</v>
      </c>
      <c r="O396" s="4" t="s">
        <v>27</v>
      </c>
      <c r="P396" s="4">
        <v>28587</v>
      </c>
      <c r="Q396" s="4" t="s">
        <v>19</v>
      </c>
      <c r="R396" s="4">
        <v>41526</v>
      </c>
      <c r="S396" s="4" t="str">
        <f>VLOOKUP(L396&amp;TEXT(I396,"mmmm")&amp;YEAR(I396),'[1]Detalle C-Fecha'!$D$2:$E$15921,2,FALSE)</f>
        <v>Unilever - Unilever de Arg. S.A.</v>
      </c>
    </row>
    <row r="397" spans="1:19" x14ac:dyDescent="0.3">
      <c r="A397" s="4">
        <v>33738</v>
      </c>
      <c r="B397" s="4" t="s">
        <v>28</v>
      </c>
      <c r="C397" s="4" t="s">
        <v>15</v>
      </c>
      <c r="D397" s="4" t="s">
        <v>16</v>
      </c>
      <c r="E397" s="4" t="s">
        <v>107</v>
      </c>
      <c r="F397" s="4" t="str">
        <f t="shared" si="6"/>
        <v>4MU</v>
      </c>
      <c r="G397" s="5">
        <v>46153</v>
      </c>
      <c r="H397" s="6">
        <v>0.44305555555555554</v>
      </c>
      <c r="I397" s="5">
        <v>46153</v>
      </c>
      <c r="J397" s="5">
        <v>46153</v>
      </c>
      <c r="K397" s="5">
        <v>46153</v>
      </c>
      <c r="L397" s="4" t="s">
        <v>225</v>
      </c>
      <c r="M397" s="4" t="s">
        <v>161</v>
      </c>
      <c r="N397" s="4" t="s">
        <v>21</v>
      </c>
      <c r="O397" s="4" t="s">
        <v>27</v>
      </c>
      <c r="P397" s="4">
        <v>28588</v>
      </c>
      <c r="Q397" s="4" t="s">
        <v>19</v>
      </c>
      <c r="R397" s="4">
        <v>41527</v>
      </c>
      <c r="S397" s="4" t="str">
        <f>VLOOKUP(L397&amp;TEXT(I397,"mmmm")&amp;YEAR(I397),'[1]Detalle C-Fecha'!$D$2:$E$15921,2,FALSE)</f>
        <v>Unilever - Unilever de Arg. S.A.</v>
      </c>
    </row>
    <row r="398" spans="1:19" x14ac:dyDescent="0.3">
      <c r="A398" s="4">
        <v>33785</v>
      </c>
      <c r="B398" s="4" t="s">
        <v>28</v>
      </c>
      <c r="C398" s="4" t="s">
        <v>15</v>
      </c>
      <c r="D398" s="4" t="s">
        <v>16</v>
      </c>
      <c r="E398" s="4" t="s">
        <v>121</v>
      </c>
      <c r="F398" s="4" t="str">
        <f t="shared" si="6"/>
        <v>2MC</v>
      </c>
      <c r="G398" s="5">
        <v>46154</v>
      </c>
      <c r="H398" s="6">
        <v>0.39652777777777781</v>
      </c>
      <c r="I398" s="5">
        <v>46154</v>
      </c>
      <c r="J398" s="5">
        <v>46154</v>
      </c>
      <c r="K398" s="5">
        <v>46154</v>
      </c>
      <c r="L398" s="4" t="s">
        <v>226</v>
      </c>
      <c r="M398" s="4">
        <v>1624</v>
      </c>
      <c r="N398" s="4" t="s">
        <v>208</v>
      </c>
      <c r="O398" s="4" t="s">
        <v>25</v>
      </c>
      <c r="P398" s="4">
        <v>28662</v>
      </c>
      <c r="Q398" s="4" t="s">
        <v>19</v>
      </c>
      <c r="R398" s="4">
        <v>41553</v>
      </c>
      <c r="S398" s="4" t="str">
        <f>VLOOKUP(L398&amp;TEXT(I398,"mmmm")&amp;YEAR(I398),'[1]Detalle C-Fecha'!$D$2:$E$15921,2,FALSE)</f>
        <v>SUC_CTC - Sucursal Buenos Aires</v>
      </c>
    </row>
    <row r="399" spans="1:19" x14ac:dyDescent="0.3">
      <c r="A399" s="4">
        <v>33786</v>
      </c>
      <c r="B399" s="4" t="s">
        <v>28</v>
      </c>
      <c r="C399" s="4" t="s">
        <v>15</v>
      </c>
      <c r="D399" s="4" t="s">
        <v>16</v>
      </c>
      <c r="E399" s="4" t="s">
        <v>53</v>
      </c>
      <c r="F399" s="4" t="str">
        <f t="shared" si="6"/>
        <v>3MC</v>
      </c>
      <c r="G399" s="5">
        <v>46154</v>
      </c>
      <c r="H399" s="6">
        <v>0.39652777777777781</v>
      </c>
      <c r="I399" s="5">
        <v>46154</v>
      </c>
      <c r="J399" s="5">
        <v>46154</v>
      </c>
      <c r="K399" s="5">
        <v>46154</v>
      </c>
      <c r="L399" s="4" t="s">
        <v>226</v>
      </c>
      <c r="M399" s="4">
        <v>1624</v>
      </c>
      <c r="N399" s="4" t="s">
        <v>208</v>
      </c>
      <c r="O399" s="4" t="s">
        <v>25</v>
      </c>
      <c r="P399" s="4">
        <v>28663</v>
      </c>
      <c r="Q399" s="4" t="s">
        <v>19</v>
      </c>
      <c r="R399" s="4">
        <v>41376</v>
      </c>
      <c r="S399" s="4" t="str">
        <f>VLOOKUP(L399&amp;TEXT(I399,"mmmm")&amp;YEAR(I399),'[1]Detalle C-Fecha'!$D$2:$E$15921,2,FALSE)</f>
        <v>SUC_CTC - Sucursal Buenos Aires</v>
      </c>
    </row>
    <row r="400" spans="1:19" x14ac:dyDescent="0.3">
      <c r="A400" s="4">
        <v>33787</v>
      </c>
      <c r="B400" s="4" t="s">
        <v>28</v>
      </c>
      <c r="C400" s="4" t="s">
        <v>15</v>
      </c>
      <c r="D400" s="4" t="s">
        <v>16</v>
      </c>
      <c r="E400" s="4" t="s">
        <v>111</v>
      </c>
      <c r="F400" s="4" t="str">
        <f t="shared" si="6"/>
        <v>6MC</v>
      </c>
      <c r="G400" s="5">
        <v>46154</v>
      </c>
      <c r="H400" s="6">
        <v>0.39652777777777781</v>
      </c>
      <c r="I400" s="5">
        <v>46154</v>
      </c>
      <c r="J400" s="5">
        <v>46154</v>
      </c>
      <c r="K400" s="5">
        <v>46154</v>
      </c>
      <c r="L400" s="4" t="s">
        <v>226</v>
      </c>
      <c r="M400" s="4">
        <v>1624</v>
      </c>
      <c r="N400" s="4" t="s">
        <v>208</v>
      </c>
      <c r="O400" s="4" t="s">
        <v>25</v>
      </c>
      <c r="P400" s="4">
        <v>28664</v>
      </c>
      <c r="Q400" s="4" t="s">
        <v>19</v>
      </c>
      <c r="R400" s="4">
        <v>41377</v>
      </c>
      <c r="S400" s="4" t="str">
        <f>VLOOKUP(L400&amp;TEXT(I400,"mmmm")&amp;YEAR(I400),'[1]Detalle C-Fecha'!$D$2:$E$15921,2,FALSE)</f>
        <v>SUC_CTC - Sucursal Buenos Aires</v>
      </c>
    </row>
    <row r="401" spans="1:19" x14ac:dyDescent="0.3">
      <c r="A401" s="4">
        <v>33922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46156</v>
      </c>
      <c r="H401" s="6">
        <v>0.31527777777777777</v>
      </c>
      <c r="I401" s="5">
        <v>46156</v>
      </c>
      <c r="J401" s="5">
        <v>46156</v>
      </c>
      <c r="K401" s="5">
        <v>46156</v>
      </c>
      <c r="L401" s="4" t="s">
        <v>227</v>
      </c>
      <c r="M401" s="4">
        <v>1624</v>
      </c>
      <c r="N401" s="4" t="s">
        <v>208</v>
      </c>
      <c r="O401" s="4" t="s">
        <v>27</v>
      </c>
      <c r="P401" s="4">
        <v>28808</v>
      </c>
      <c r="Q401" s="4" t="s">
        <v>19</v>
      </c>
      <c r="R401" s="4">
        <v>41386</v>
      </c>
      <c r="S401" s="4" t="str">
        <f>VLOOKUP(L401&amp;TEXT(I401,"mmmm")&amp;YEAR(I401),'[1]Detalle C-Fecha'!$D$2:$E$15921,2,FALSE)</f>
        <v>CCUCoAZA</v>
      </c>
    </row>
    <row r="402" spans="1:19" x14ac:dyDescent="0.3">
      <c r="A402" s="4">
        <v>33923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46156</v>
      </c>
      <c r="H402" s="6">
        <v>0.31527777777777777</v>
      </c>
      <c r="I402" s="5">
        <v>46156</v>
      </c>
      <c r="J402" s="5">
        <v>46156</v>
      </c>
      <c r="K402" s="5">
        <v>46156</v>
      </c>
      <c r="L402" s="4" t="s">
        <v>227</v>
      </c>
      <c r="M402" s="4">
        <v>1624</v>
      </c>
      <c r="N402" s="4" t="s">
        <v>208</v>
      </c>
      <c r="O402" s="4" t="s">
        <v>27</v>
      </c>
      <c r="P402" s="4">
        <v>28809</v>
      </c>
      <c r="Q402" s="4" t="s">
        <v>19</v>
      </c>
      <c r="R402" s="4">
        <v>41387</v>
      </c>
      <c r="S402" s="4" t="str">
        <f>VLOOKUP(L402&amp;TEXT(I402,"mmmm")&amp;YEAR(I402),'[1]Detalle C-Fecha'!$D$2:$E$15921,2,FALSE)</f>
        <v>CCUCoAZA</v>
      </c>
    </row>
    <row r="403" spans="1:19" x14ac:dyDescent="0.3">
      <c r="A403" s="4">
        <v>33924</v>
      </c>
      <c r="B403" s="4" t="s">
        <v>28</v>
      </c>
      <c r="C403" s="4" t="s">
        <v>15</v>
      </c>
      <c r="D403" s="4" t="s">
        <v>16</v>
      </c>
      <c r="E403" s="4" t="s">
        <v>111</v>
      </c>
      <c r="F403" s="4" t="str">
        <f t="shared" si="6"/>
        <v>6MC</v>
      </c>
      <c r="G403" s="5">
        <v>46156</v>
      </c>
      <c r="H403" s="6">
        <v>0.31527777777777777</v>
      </c>
      <c r="I403" s="5">
        <v>46156</v>
      </c>
      <c r="J403" s="5">
        <v>46156</v>
      </c>
      <c r="K403" s="5">
        <v>46156</v>
      </c>
      <c r="L403" s="4" t="s">
        <v>227</v>
      </c>
      <c r="M403" s="4">
        <v>1624</v>
      </c>
      <c r="N403" s="4" t="s">
        <v>208</v>
      </c>
      <c r="O403" s="4" t="s">
        <v>27</v>
      </c>
      <c r="P403" s="4">
        <v>28810</v>
      </c>
      <c r="Q403" s="4" t="s">
        <v>19</v>
      </c>
      <c r="R403" s="4">
        <v>41388</v>
      </c>
      <c r="S403" s="4" t="str">
        <f>VLOOKUP(L403&amp;TEXT(I403,"mmmm")&amp;YEAR(I403),'[1]Detalle C-Fecha'!$D$2:$E$15921,2,FALSE)</f>
        <v>CCUCoAZA</v>
      </c>
    </row>
    <row r="404" spans="1:19" x14ac:dyDescent="0.3">
      <c r="A404" s="4">
        <v>33929</v>
      </c>
      <c r="B404" s="4" t="s">
        <v>28</v>
      </c>
      <c r="C404" s="4" t="s">
        <v>15</v>
      </c>
      <c r="D404" s="4" t="s">
        <v>16</v>
      </c>
      <c r="E404" s="4" t="s">
        <v>121</v>
      </c>
      <c r="F404" s="4" t="str">
        <f t="shared" si="6"/>
        <v>2MC</v>
      </c>
      <c r="G404" s="5">
        <v>46156</v>
      </c>
      <c r="H404" s="6">
        <v>0.37708333333333338</v>
      </c>
      <c r="I404" s="5">
        <v>46156</v>
      </c>
      <c r="J404" s="5">
        <v>46156</v>
      </c>
      <c r="K404" s="5">
        <v>46156</v>
      </c>
      <c r="L404" s="4" t="s">
        <v>228</v>
      </c>
      <c r="M404" s="4">
        <v>1624</v>
      </c>
      <c r="N404" s="4" t="s">
        <v>208</v>
      </c>
      <c r="O404" s="4" t="s">
        <v>27</v>
      </c>
      <c r="P404" s="4">
        <v>28829</v>
      </c>
      <c r="Q404" s="4" t="s">
        <v>19</v>
      </c>
      <c r="R404" s="4">
        <v>41612</v>
      </c>
      <c r="S404" s="4" t="str">
        <f>VLOOKUP(L404&amp;TEXT(I404,"mmmm")&amp;YEAR(I404),'[1]Detalle C-Fecha'!$D$2:$E$15921,2,FALSE)</f>
        <v>Papelera - Papelera del Plata S.A.</v>
      </c>
    </row>
    <row r="405" spans="1:19" x14ac:dyDescent="0.3">
      <c r="A405" s="4">
        <v>33930</v>
      </c>
      <c r="B405" s="4" t="s">
        <v>28</v>
      </c>
      <c r="C405" s="4" t="s">
        <v>15</v>
      </c>
      <c r="D405" s="4" t="s">
        <v>16</v>
      </c>
      <c r="E405" s="4" t="s">
        <v>53</v>
      </c>
      <c r="F405" s="4" t="str">
        <f t="shared" si="6"/>
        <v>3MC</v>
      </c>
      <c r="G405" s="5">
        <v>46156</v>
      </c>
      <c r="H405" s="6">
        <v>0.37708333333333338</v>
      </c>
      <c r="I405" s="5">
        <v>46156</v>
      </c>
      <c r="J405" s="5">
        <v>46156</v>
      </c>
      <c r="K405" s="5">
        <v>46156</v>
      </c>
      <c r="L405" s="4" t="s">
        <v>228</v>
      </c>
      <c r="M405" s="4">
        <v>1624</v>
      </c>
      <c r="N405" s="4" t="s">
        <v>208</v>
      </c>
      <c r="O405" s="4" t="s">
        <v>27</v>
      </c>
      <c r="P405" s="4">
        <v>28830</v>
      </c>
      <c r="Q405" s="4" t="s">
        <v>19</v>
      </c>
      <c r="R405" s="4">
        <v>41378</v>
      </c>
      <c r="S405" s="4" t="str">
        <f>VLOOKUP(L405&amp;TEXT(I405,"mmmm")&amp;YEAR(I405),'[1]Detalle C-Fecha'!$D$2:$E$15921,2,FALSE)</f>
        <v>Papelera - Papelera del Plata S.A.</v>
      </c>
    </row>
    <row r="406" spans="1:19" x14ac:dyDescent="0.3">
      <c r="A406" s="4">
        <v>33931</v>
      </c>
      <c r="B406" s="4" t="s">
        <v>28</v>
      </c>
      <c r="C406" s="4" t="s">
        <v>15</v>
      </c>
      <c r="D406" s="4" t="s">
        <v>16</v>
      </c>
      <c r="E406" s="4" t="s">
        <v>111</v>
      </c>
      <c r="F406" s="4" t="str">
        <f t="shared" si="6"/>
        <v>6MC</v>
      </c>
      <c r="G406" s="5">
        <v>46156</v>
      </c>
      <c r="H406" s="6">
        <v>0.37708333333333338</v>
      </c>
      <c r="I406" s="5">
        <v>46156</v>
      </c>
      <c r="J406" s="5">
        <v>46156</v>
      </c>
      <c r="K406" s="5">
        <v>46156</v>
      </c>
      <c r="L406" s="4" t="s">
        <v>228</v>
      </c>
      <c r="M406" s="4">
        <v>1624</v>
      </c>
      <c r="N406" s="4" t="s">
        <v>208</v>
      </c>
      <c r="O406" s="4" t="s">
        <v>27</v>
      </c>
      <c r="P406" s="4">
        <v>28832</v>
      </c>
      <c r="Q406" s="4" t="s">
        <v>19</v>
      </c>
      <c r="R406" s="4">
        <v>41379</v>
      </c>
      <c r="S406" s="4" t="str">
        <f>VLOOKUP(L406&amp;TEXT(I406,"mmmm")&amp;YEAR(I406),'[1]Detalle C-Fecha'!$D$2:$E$15921,2,FALSE)</f>
        <v>Papelera - Papelera del Plata S.A.</v>
      </c>
    </row>
    <row r="407" spans="1:19" x14ac:dyDescent="0.3">
      <c r="A407" s="4">
        <v>33933</v>
      </c>
      <c r="B407" s="4" t="s">
        <v>28</v>
      </c>
      <c r="C407" s="4" t="s">
        <v>15</v>
      </c>
      <c r="D407" s="4" t="s">
        <v>16</v>
      </c>
      <c r="E407" s="4" t="s">
        <v>108</v>
      </c>
      <c r="F407" s="4" t="str">
        <f t="shared" si="6"/>
        <v>2MU</v>
      </c>
      <c r="G407" s="5">
        <v>46156</v>
      </c>
      <c r="H407" s="6">
        <v>0.39305555555555555</v>
      </c>
      <c r="I407" s="5">
        <v>46156</v>
      </c>
      <c r="J407" s="5">
        <v>46156</v>
      </c>
      <c r="K407" s="5">
        <v>46156</v>
      </c>
      <c r="L407" s="4" t="s">
        <v>229</v>
      </c>
      <c r="M407" s="4" t="s">
        <v>161</v>
      </c>
      <c r="N407" s="4" t="s">
        <v>208</v>
      </c>
      <c r="O407" s="4" t="s">
        <v>25</v>
      </c>
      <c r="P407" s="4">
        <v>28846</v>
      </c>
      <c r="Q407" s="4" t="s">
        <v>19</v>
      </c>
      <c r="R407" s="4">
        <v>41614</v>
      </c>
      <c r="S407" s="4" t="str">
        <f>VLOOKUP(L407&amp;TEXT(I407,"mmmm")&amp;YEAR(I407),'[1]Detalle C-Fecha'!$D$2:$E$15921,2,FALSE)</f>
        <v>SUC_CTC - Sucursal Buenos Aires</v>
      </c>
    </row>
    <row r="408" spans="1:19" x14ac:dyDescent="0.3">
      <c r="A408" s="4">
        <v>33934</v>
      </c>
      <c r="B408" s="4" t="s">
        <v>28</v>
      </c>
      <c r="C408" s="4" t="s">
        <v>15</v>
      </c>
      <c r="D408" s="4" t="s">
        <v>16</v>
      </c>
      <c r="E408" s="4" t="s">
        <v>109</v>
      </c>
      <c r="F408" s="4" t="str">
        <f t="shared" si="6"/>
        <v>3MU</v>
      </c>
      <c r="G408" s="5">
        <v>46156</v>
      </c>
      <c r="H408" s="6">
        <v>0.39305555555555555</v>
      </c>
      <c r="I408" s="5">
        <v>46156</v>
      </c>
      <c r="J408" s="5">
        <v>46156</v>
      </c>
      <c r="K408" s="5">
        <v>46156</v>
      </c>
      <c r="L408" s="4" t="s">
        <v>229</v>
      </c>
      <c r="M408" s="4" t="s">
        <v>161</v>
      </c>
      <c r="N408" s="4" t="s">
        <v>208</v>
      </c>
      <c r="O408" s="4" t="s">
        <v>25</v>
      </c>
      <c r="P408" s="4">
        <v>28847</v>
      </c>
      <c r="Q408" s="4" t="s">
        <v>19</v>
      </c>
      <c r="R408" s="4">
        <v>41380</v>
      </c>
      <c r="S408" s="4" t="str">
        <f>VLOOKUP(L408&amp;TEXT(I408,"mmmm")&amp;YEAR(I408),'[1]Detalle C-Fecha'!$D$2:$E$15921,2,FALSE)</f>
        <v>SUC_CTC - Sucursal Buenos Aires</v>
      </c>
    </row>
    <row r="409" spans="1:19" x14ac:dyDescent="0.3">
      <c r="A409" s="4">
        <v>33935</v>
      </c>
      <c r="B409" s="4" t="s">
        <v>28</v>
      </c>
      <c r="C409" s="4" t="s">
        <v>15</v>
      </c>
      <c r="D409" s="4" t="s">
        <v>16</v>
      </c>
      <c r="E409" s="4" t="s">
        <v>107</v>
      </c>
      <c r="F409" s="4" t="str">
        <f t="shared" si="6"/>
        <v>4MU</v>
      </c>
      <c r="G409" s="5">
        <v>46156</v>
      </c>
      <c r="H409" s="6">
        <v>0.39305555555555555</v>
      </c>
      <c r="I409" s="5">
        <v>46156</v>
      </c>
      <c r="J409" s="5">
        <v>46156</v>
      </c>
      <c r="K409" s="5">
        <v>46156</v>
      </c>
      <c r="L409" s="4" t="s">
        <v>229</v>
      </c>
      <c r="M409" s="4" t="s">
        <v>161</v>
      </c>
      <c r="N409" s="4" t="s">
        <v>208</v>
      </c>
      <c r="O409" s="4" t="s">
        <v>25</v>
      </c>
      <c r="P409" s="4">
        <v>28848</v>
      </c>
      <c r="Q409" s="4" t="s">
        <v>19</v>
      </c>
      <c r="R409" s="4">
        <v>41381</v>
      </c>
      <c r="S409" s="4" t="str">
        <f>VLOOKUP(L409&amp;TEXT(I409,"mmmm")&amp;YEAR(I409),'[1]Detalle C-Fecha'!$D$2:$E$15921,2,FALSE)</f>
        <v>SUC_CTC - Sucursal Buenos Aires</v>
      </c>
    </row>
    <row r="410" spans="1:19" x14ac:dyDescent="0.3">
      <c r="A410" s="4">
        <v>33936</v>
      </c>
      <c r="B410" s="4" t="s">
        <v>28</v>
      </c>
      <c r="C410" s="4" t="s">
        <v>15</v>
      </c>
      <c r="D410" s="4" t="s">
        <v>16</v>
      </c>
      <c r="E410" s="4" t="s">
        <v>140</v>
      </c>
      <c r="F410" s="4" t="str">
        <f t="shared" si="6"/>
        <v>4ML</v>
      </c>
      <c r="G410" s="5">
        <v>46156</v>
      </c>
      <c r="H410" s="6">
        <v>0.39305555555555555</v>
      </c>
      <c r="I410" s="5">
        <v>46156</v>
      </c>
      <c r="J410" s="5">
        <v>46156</v>
      </c>
      <c r="K410" s="5">
        <v>46156</v>
      </c>
      <c r="L410" s="4" t="s">
        <v>61</v>
      </c>
      <c r="M410" s="4" t="s">
        <v>204</v>
      </c>
      <c r="N410" s="4" t="s">
        <v>31</v>
      </c>
      <c r="O410" s="4" t="s">
        <v>25</v>
      </c>
      <c r="P410" s="4">
        <v>28821</v>
      </c>
      <c r="Q410" s="4" t="s">
        <v>19</v>
      </c>
      <c r="R410" s="4">
        <v>42190</v>
      </c>
      <c r="S410" s="4" t="str">
        <f>VLOOKUP(L410&amp;TEXT(I410,"mmmm")&amp;YEAR(I410),'[1]Detalle C-Fecha'!$D$2:$E$15921,2,FALSE)</f>
        <v>Expreso - Servicios Troncales</v>
      </c>
    </row>
    <row r="411" spans="1:19" x14ac:dyDescent="0.3">
      <c r="A411" s="4">
        <v>33937</v>
      </c>
      <c r="B411" s="4" t="s">
        <v>28</v>
      </c>
      <c r="C411" s="4" t="s">
        <v>15</v>
      </c>
      <c r="D411" s="4" t="s">
        <v>16</v>
      </c>
      <c r="E411" s="4" t="s">
        <v>110</v>
      </c>
      <c r="F411" s="4" t="str">
        <f t="shared" si="6"/>
        <v>5MU</v>
      </c>
      <c r="G411" s="5">
        <v>46156</v>
      </c>
      <c r="H411" s="6">
        <v>0.39305555555555555</v>
      </c>
      <c r="I411" s="5">
        <v>46156</v>
      </c>
      <c r="J411" s="5">
        <v>46156</v>
      </c>
      <c r="K411" s="5">
        <v>46156</v>
      </c>
      <c r="L411" s="4" t="s">
        <v>229</v>
      </c>
      <c r="M411" s="4" t="s">
        <v>161</v>
      </c>
      <c r="N411" s="4" t="s">
        <v>208</v>
      </c>
      <c r="O411" s="4" t="s">
        <v>25</v>
      </c>
      <c r="P411" s="4">
        <v>28849</v>
      </c>
      <c r="Q411" s="4" t="s">
        <v>19</v>
      </c>
      <c r="R411" s="4">
        <v>41382</v>
      </c>
      <c r="S411" s="4" t="str">
        <f>VLOOKUP(L411&amp;TEXT(I411,"mmmm")&amp;YEAR(I411),'[1]Detalle C-Fecha'!$D$2:$E$15921,2,FALSE)</f>
        <v>SUC_CTC - Sucursal Buenos Aires</v>
      </c>
    </row>
    <row r="412" spans="1:19" x14ac:dyDescent="0.3">
      <c r="A412" s="4">
        <v>33938</v>
      </c>
      <c r="B412" s="4" t="s">
        <v>28</v>
      </c>
      <c r="C412" s="4" t="s">
        <v>15</v>
      </c>
      <c r="D412" s="4" t="s">
        <v>16</v>
      </c>
      <c r="E412" s="4" t="s">
        <v>141</v>
      </c>
      <c r="F412" s="4" t="str">
        <f t="shared" si="6"/>
        <v>5ML</v>
      </c>
      <c r="G412" s="5">
        <v>46156</v>
      </c>
      <c r="H412" s="6">
        <v>0.39305555555555555</v>
      </c>
      <c r="I412" s="5">
        <v>46156</v>
      </c>
      <c r="J412" s="5">
        <v>46156</v>
      </c>
      <c r="K412" s="5">
        <v>46156</v>
      </c>
      <c r="L412" s="4" t="s">
        <v>61</v>
      </c>
      <c r="M412" s="4" t="s">
        <v>204</v>
      </c>
      <c r="N412" s="4" t="s">
        <v>31</v>
      </c>
      <c r="O412" s="4" t="s">
        <v>25</v>
      </c>
      <c r="P412" s="4">
        <v>28822</v>
      </c>
      <c r="Q412" s="4" t="s">
        <v>19</v>
      </c>
      <c r="R412" s="4">
        <v>42194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33960</v>
      </c>
      <c r="B413" s="4" t="s">
        <v>28</v>
      </c>
      <c r="C413" s="4" t="s">
        <v>15</v>
      </c>
      <c r="D413" s="4" t="s">
        <v>16</v>
      </c>
      <c r="E413" s="4" t="s">
        <v>51</v>
      </c>
      <c r="F413" s="4" t="str">
        <f t="shared" si="6"/>
        <v>2MC</v>
      </c>
      <c r="G413" s="5">
        <v>46156</v>
      </c>
      <c r="H413" s="6">
        <v>0.57986111111111105</v>
      </c>
      <c r="I413" s="5">
        <v>46156</v>
      </c>
      <c r="J413" s="5">
        <v>46156</v>
      </c>
      <c r="K413" s="5">
        <v>46156</v>
      </c>
      <c r="L413" s="4" t="s">
        <v>230</v>
      </c>
      <c r="M413" s="4">
        <v>1218</v>
      </c>
      <c r="N413" s="4" t="s">
        <v>208</v>
      </c>
      <c r="O413" s="4" t="s">
        <v>27</v>
      </c>
      <c r="P413" s="4">
        <v>28944</v>
      </c>
      <c r="Q413" s="4" t="s">
        <v>19</v>
      </c>
      <c r="R413" s="4">
        <v>41383</v>
      </c>
      <c r="S413" s="4" t="str">
        <f>VLOOKUP(L413&amp;TEXT(I413,"mmmm")&amp;YEAR(I413),'[1]Detalle C-Fecha'!$D$2:$E$15921,2,FALSE)</f>
        <v>CCUCoAZA</v>
      </c>
    </row>
    <row r="414" spans="1:19" x14ac:dyDescent="0.3">
      <c r="A414" s="4">
        <v>33961</v>
      </c>
      <c r="B414" s="4" t="s">
        <v>28</v>
      </c>
      <c r="C414" s="4" t="s">
        <v>15</v>
      </c>
      <c r="D414" s="4" t="s">
        <v>16</v>
      </c>
      <c r="E414" s="4" t="s">
        <v>53</v>
      </c>
      <c r="F414" s="4" t="str">
        <f t="shared" si="6"/>
        <v>3MC</v>
      </c>
      <c r="G414" s="5">
        <v>46156</v>
      </c>
      <c r="H414" s="6">
        <v>0.57986111111111105</v>
      </c>
      <c r="I414" s="5">
        <v>46156</v>
      </c>
      <c r="J414" s="5">
        <v>46156</v>
      </c>
      <c r="K414" s="5">
        <v>46156</v>
      </c>
      <c r="L414" s="4" t="s">
        <v>230</v>
      </c>
      <c r="M414" s="4">
        <v>1218</v>
      </c>
      <c r="N414" s="4" t="s">
        <v>208</v>
      </c>
      <c r="O414" s="4" t="s">
        <v>27</v>
      </c>
      <c r="P414" s="4">
        <v>28945</v>
      </c>
      <c r="Q414" s="4" t="s">
        <v>19</v>
      </c>
      <c r="R414" s="4">
        <v>41384</v>
      </c>
      <c r="S414" s="4" t="str">
        <f>VLOOKUP(L414&amp;TEXT(I414,"mmmm")&amp;YEAR(I414),'[1]Detalle C-Fecha'!$D$2:$E$15921,2,FALSE)</f>
        <v>CCUCoAZA</v>
      </c>
    </row>
    <row r="415" spans="1:19" x14ac:dyDescent="0.3">
      <c r="A415" s="4">
        <v>33962</v>
      </c>
      <c r="B415" s="4" t="s">
        <v>28</v>
      </c>
      <c r="C415" s="4" t="s">
        <v>15</v>
      </c>
      <c r="D415" s="4" t="s">
        <v>16</v>
      </c>
      <c r="E415" s="4" t="s">
        <v>52</v>
      </c>
      <c r="F415" s="4" t="str">
        <f t="shared" si="6"/>
        <v>6MC</v>
      </c>
      <c r="G415" s="5">
        <v>46156</v>
      </c>
      <c r="H415" s="6">
        <v>0.57986111111111105</v>
      </c>
      <c r="I415" s="5">
        <v>46156</v>
      </c>
      <c r="J415" s="5">
        <v>46156</v>
      </c>
      <c r="K415" s="5">
        <v>46156</v>
      </c>
      <c r="L415" s="4" t="s">
        <v>230</v>
      </c>
      <c r="M415" s="4">
        <v>1218</v>
      </c>
      <c r="N415" s="4" t="s">
        <v>208</v>
      </c>
      <c r="O415" s="4" t="s">
        <v>27</v>
      </c>
      <c r="P415" s="4">
        <v>28946</v>
      </c>
      <c r="Q415" s="4" t="s">
        <v>19</v>
      </c>
      <c r="R415" s="4">
        <v>41385</v>
      </c>
      <c r="S415" s="4" t="str">
        <f>VLOOKUP(L415&amp;TEXT(I415,"mmmm")&amp;YEAR(I415),'[1]Detalle C-Fecha'!$D$2:$E$15921,2,FALSE)</f>
        <v>CCUCoAZA</v>
      </c>
    </row>
    <row r="416" spans="1:19" x14ac:dyDescent="0.3">
      <c r="A416" s="4">
        <v>34158</v>
      </c>
      <c r="B416" s="4" t="s">
        <v>28</v>
      </c>
      <c r="C416" s="4" t="s">
        <v>15</v>
      </c>
      <c r="D416" s="4" t="s">
        <v>16</v>
      </c>
      <c r="E416" s="4" t="s">
        <v>121</v>
      </c>
      <c r="F416" s="4" t="str">
        <f t="shared" si="6"/>
        <v>2MC</v>
      </c>
      <c r="G416" s="5">
        <v>46157</v>
      </c>
      <c r="H416" s="6">
        <v>0.45208333333333334</v>
      </c>
      <c r="I416" s="5">
        <v>46157</v>
      </c>
      <c r="J416" s="5">
        <v>46157</v>
      </c>
      <c r="K416" s="5">
        <v>46168</v>
      </c>
      <c r="L416" s="4" t="s">
        <v>231</v>
      </c>
      <c r="M416" s="4">
        <v>1624</v>
      </c>
      <c r="N416" s="4" t="s">
        <v>208</v>
      </c>
      <c r="O416" s="4" t="s">
        <v>27</v>
      </c>
      <c r="P416" s="4">
        <v>28974</v>
      </c>
      <c r="Q416" s="4" t="s">
        <v>123</v>
      </c>
      <c r="S416" s="4" t="str">
        <f>VLOOKUP(L416&amp;TEXT(I416,"mmmm")&amp;YEAR(I416),'[1]Detalle C-Fecha'!$D$2:$E$15921,2,FALSE)</f>
        <v>Unilever - Unilever de Arg. S.A.</v>
      </c>
    </row>
    <row r="417" spans="1:19" x14ac:dyDescent="0.3">
      <c r="A417" s="4">
        <v>34159</v>
      </c>
      <c r="B417" s="4" t="s">
        <v>28</v>
      </c>
      <c r="C417" s="4" t="s">
        <v>15</v>
      </c>
      <c r="D417" s="4" t="s">
        <v>16</v>
      </c>
      <c r="E417" s="4" t="s">
        <v>53</v>
      </c>
      <c r="F417" s="4" t="str">
        <f t="shared" si="6"/>
        <v>3MC</v>
      </c>
      <c r="G417" s="5">
        <v>46157</v>
      </c>
      <c r="H417" s="6">
        <v>0.45208333333333334</v>
      </c>
      <c r="I417" s="5">
        <v>46157</v>
      </c>
      <c r="K417" s="5">
        <v>46164</v>
      </c>
      <c r="L417" s="4" t="s">
        <v>231</v>
      </c>
      <c r="M417" s="4">
        <v>1624</v>
      </c>
      <c r="N417" s="4" t="s">
        <v>208</v>
      </c>
      <c r="O417" s="4" t="s">
        <v>27</v>
      </c>
      <c r="P417" s="4">
        <v>28975</v>
      </c>
      <c r="Q417" s="4" t="s">
        <v>19</v>
      </c>
      <c r="R417" s="4">
        <v>41888</v>
      </c>
      <c r="S417" s="4" t="str">
        <f>VLOOKUP(L417&amp;TEXT(I417,"mmmm")&amp;YEAR(I417),'[1]Detalle C-Fecha'!$D$2:$E$15921,2,FALSE)</f>
        <v>Unilever - Unilever de Arg. S.A.</v>
      </c>
    </row>
    <row r="418" spans="1:19" x14ac:dyDescent="0.3">
      <c r="A418" s="4">
        <v>34160</v>
      </c>
      <c r="B418" s="4" t="s">
        <v>28</v>
      </c>
      <c r="C418" s="4" t="s">
        <v>15</v>
      </c>
      <c r="D418" s="4" t="s">
        <v>16</v>
      </c>
      <c r="E418" s="4" t="s">
        <v>111</v>
      </c>
      <c r="F418" s="4" t="str">
        <f t="shared" si="6"/>
        <v>6MC</v>
      </c>
      <c r="G418" s="5">
        <v>46157</v>
      </c>
      <c r="H418" s="6">
        <v>0.45208333333333334</v>
      </c>
      <c r="I418" s="5">
        <v>46157</v>
      </c>
      <c r="J418" s="5">
        <v>46157</v>
      </c>
      <c r="K418" s="5">
        <v>46168</v>
      </c>
      <c r="L418" s="4" t="s">
        <v>231</v>
      </c>
      <c r="M418" s="4">
        <v>1624</v>
      </c>
      <c r="N418" s="4" t="s">
        <v>208</v>
      </c>
      <c r="O418" s="4" t="s">
        <v>27</v>
      </c>
      <c r="P418" s="4">
        <v>28976</v>
      </c>
      <c r="Q418" s="4" t="s">
        <v>123</v>
      </c>
      <c r="S418" s="4" t="str">
        <f>VLOOKUP(L418&amp;TEXT(I418,"mmmm")&amp;YEAR(I418),'[1]Detalle C-Fecha'!$D$2:$E$15921,2,FALSE)</f>
        <v>Unilever - Unilever de Arg. S.A.</v>
      </c>
    </row>
    <row r="419" spans="1:19" x14ac:dyDescent="0.3">
      <c r="A419" s="4">
        <v>34189</v>
      </c>
      <c r="B419" s="4" t="s">
        <v>28</v>
      </c>
      <c r="C419" s="4" t="s">
        <v>15</v>
      </c>
      <c r="D419" s="4" t="s">
        <v>16</v>
      </c>
      <c r="E419" s="4" t="s">
        <v>51</v>
      </c>
      <c r="F419" s="4" t="str">
        <f t="shared" si="6"/>
        <v>2MC</v>
      </c>
      <c r="G419" s="5">
        <v>46158</v>
      </c>
      <c r="H419" s="6">
        <v>0.38750000000000001</v>
      </c>
      <c r="I419" s="5">
        <v>46156</v>
      </c>
      <c r="J419" s="5">
        <v>46156</v>
      </c>
      <c r="K419" s="5">
        <v>46156</v>
      </c>
      <c r="L419" s="4" t="s">
        <v>232</v>
      </c>
      <c r="M419" s="4" t="s">
        <v>155</v>
      </c>
      <c r="N419" s="4" t="s">
        <v>17</v>
      </c>
      <c r="O419" s="4" t="s">
        <v>24</v>
      </c>
      <c r="P419" s="4">
        <v>29004</v>
      </c>
      <c r="Q419" s="4" t="s">
        <v>19</v>
      </c>
      <c r="R419" s="4">
        <v>42079</v>
      </c>
      <c r="S419" s="4" t="str">
        <f>VLOOKUP(L419&amp;TEXT(I419,"mmmm")&amp;YEAR(I419),'[1]Detalle C-Fecha'!$D$2:$E$15921,2,FALSE)</f>
        <v>CCU_MZA - Comp. Cerv. Unidas - MZA</v>
      </c>
    </row>
    <row r="420" spans="1:19" x14ac:dyDescent="0.3">
      <c r="A420" s="4">
        <v>34190</v>
      </c>
      <c r="B420" s="4" t="s">
        <v>28</v>
      </c>
      <c r="C420" s="4" t="s">
        <v>15</v>
      </c>
      <c r="D420" s="4" t="s">
        <v>16</v>
      </c>
      <c r="E420" s="4" t="s">
        <v>53</v>
      </c>
      <c r="F420" s="4" t="str">
        <f t="shared" si="6"/>
        <v>3MC</v>
      </c>
      <c r="G420" s="5">
        <v>46158</v>
      </c>
      <c r="H420" s="6">
        <v>0.38750000000000001</v>
      </c>
      <c r="I420" s="5">
        <v>46156</v>
      </c>
      <c r="J420" s="5">
        <v>46156</v>
      </c>
      <c r="K420" s="5">
        <v>46156</v>
      </c>
      <c r="L420" s="4" t="s">
        <v>232</v>
      </c>
      <c r="M420" s="4" t="s">
        <v>155</v>
      </c>
      <c r="N420" s="4" t="s">
        <v>17</v>
      </c>
      <c r="O420" s="4" t="s">
        <v>24</v>
      </c>
      <c r="P420" s="4">
        <v>29005</v>
      </c>
      <c r="Q420" s="4" t="s">
        <v>19</v>
      </c>
      <c r="R420" s="4">
        <v>42081</v>
      </c>
      <c r="S420" s="4" t="str">
        <f>VLOOKUP(L420&amp;TEXT(I420,"mmmm")&amp;YEAR(I420),'[1]Detalle C-Fecha'!$D$2:$E$15921,2,FALSE)</f>
        <v>CCU_MZA - Comp. Cerv. Unidas - MZA</v>
      </c>
    </row>
    <row r="421" spans="1:19" x14ac:dyDescent="0.3">
      <c r="A421" s="4">
        <v>34191</v>
      </c>
      <c r="B421" s="4" t="s">
        <v>28</v>
      </c>
      <c r="C421" s="4" t="s">
        <v>15</v>
      </c>
      <c r="D421" s="4" t="s">
        <v>16</v>
      </c>
      <c r="E421" s="4" t="s">
        <v>52</v>
      </c>
      <c r="F421" s="4" t="str">
        <f t="shared" si="6"/>
        <v>6MC</v>
      </c>
      <c r="G421" s="5">
        <v>46158</v>
      </c>
      <c r="H421" s="6">
        <v>0.38750000000000001</v>
      </c>
      <c r="I421" s="5">
        <v>46156</v>
      </c>
      <c r="J421" s="5">
        <v>46156</v>
      </c>
      <c r="K421" s="5">
        <v>46156</v>
      </c>
      <c r="L421" s="4" t="s">
        <v>232</v>
      </c>
      <c r="M421" s="4" t="s">
        <v>155</v>
      </c>
      <c r="N421" s="4" t="s">
        <v>17</v>
      </c>
      <c r="O421" s="4" t="s">
        <v>24</v>
      </c>
      <c r="P421" s="4">
        <v>29006</v>
      </c>
      <c r="Q421" s="4" t="s">
        <v>19</v>
      </c>
      <c r="R421" s="4">
        <v>42083</v>
      </c>
      <c r="S421" s="4" t="str">
        <f>VLOOKUP(L421&amp;TEXT(I421,"mmmm")&amp;YEAR(I421),'[1]Detalle C-Fecha'!$D$2:$E$15921,2,FALSE)</f>
        <v>CCU_MZA - Comp. Cerv. Unidas - MZA</v>
      </c>
    </row>
    <row r="422" spans="1:19" x14ac:dyDescent="0.3">
      <c r="A422" s="4">
        <v>34197</v>
      </c>
      <c r="B422" s="4" t="s">
        <v>28</v>
      </c>
      <c r="C422" s="4" t="s">
        <v>15</v>
      </c>
      <c r="D422" s="4" t="s">
        <v>16</v>
      </c>
      <c r="E422" s="4" t="s">
        <v>35</v>
      </c>
      <c r="F422" s="4" t="str">
        <f t="shared" si="6"/>
        <v>2ML</v>
      </c>
      <c r="G422" s="5">
        <v>46158</v>
      </c>
      <c r="H422" s="6">
        <v>0.4201388888888889</v>
      </c>
      <c r="I422" s="5">
        <v>46157</v>
      </c>
      <c r="J422" s="5">
        <v>46169</v>
      </c>
      <c r="K422" s="5">
        <v>46169</v>
      </c>
      <c r="L422" s="4" t="s">
        <v>233</v>
      </c>
      <c r="M422" s="4" t="s">
        <v>163</v>
      </c>
      <c r="N422" s="4" t="s">
        <v>17</v>
      </c>
      <c r="O422" s="4" t="s">
        <v>24</v>
      </c>
      <c r="P422" s="4">
        <v>29010</v>
      </c>
      <c r="Q422" s="4" t="s">
        <v>19</v>
      </c>
      <c r="R422" s="4">
        <v>42172</v>
      </c>
      <c r="S422" s="4" t="str">
        <f>VLOOKUP(L422&amp;TEXT(I422,"mmmm")&amp;YEAR(I422),'[1]Detalle C-Fecha'!$D$2:$E$15921,2,FALSE)</f>
        <v>CENCOMLD - Cencosud SA - Mendoza</v>
      </c>
    </row>
    <row r="423" spans="1:19" x14ac:dyDescent="0.3">
      <c r="A423" s="4">
        <v>34198</v>
      </c>
      <c r="B423" s="4" t="s">
        <v>28</v>
      </c>
      <c r="C423" s="4" t="s">
        <v>124</v>
      </c>
      <c r="D423" s="4" t="s">
        <v>23</v>
      </c>
      <c r="E423" s="4" t="s">
        <v>47</v>
      </c>
      <c r="F423" s="4" t="str">
        <f t="shared" si="6"/>
        <v>3ML</v>
      </c>
      <c r="G423" s="5">
        <v>46158</v>
      </c>
      <c r="H423" s="6">
        <v>0.4201388888888889</v>
      </c>
      <c r="I423" s="5">
        <v>46157</v>
      </c>
      <c r="L423" s="4" t="s">
        <v>233</v>
      </c>
      <c r="M423" s="4" t="s">
        <v>163</v>
      </c>
      <c r="N423" s="4" t="s">
        <v>17</v>
      </c>
      <c r="O423" s="4" t="s">
        <v>24</v>
      </c>
      <c r="P423" s="4">
        <v>29011</v>
      </c>
      <c r="Q423" s="4" t="s">
        <v>123</v>
      </c>
      <c r="S423" s="4" t="str">
        <f>VLOOKUP(L423&amp;TEXT(I423,"mmmm")&amp;YEAR(I423),'[1]Detalle C-Fecha'!$D$2:$E$15921,2,FALSE)</f>
        <v>CENCOMLD - Cencosud SA - Mendoza</v>
      </c>
    </row>
    <row r="424" spans="1:19" x14ac:dyDescent="0.3">
      <c r="A424" s="4">
        <v>34199</v>
      </c>
      <c r="B424" s="4" t="s">
        <v>28</v>
      </c>
      <c r="C424" s="4" t="s">
        <v>15</v>
      </c>
      <c r="D424" s="4" t="s">
        <v>16</v>
      </c>
      <c r="E424" s="4" t="s">
        <v>46</v>
      </c>
      <c r="F424" s="4" t="str">
        <f t="shared" si="6"/>
        <v>6ML</v>
      </c>
      <c r="G424" s="5">
        <v>46158</v>
      </c>
      <c r="H424" s="6">
        <v>0.4201388888888889</v>
      </c>
      <c r="I424" s="5">
        <v>46157</v>
      </c>
      <c r="J424" s="5">
        <v>46169</v>
      </c>
      <c r="K424" s="5">
        <v>46169</v>
      </c>
      <c r="L424" s="4" t="s">
        <v>233</v>
      </c>
      <c r="M424" s="4" t="s">
        <v>163</v>
      </c>
      <c r="N424" s="4" t="s">
        <v>17</v>
      </c>
      <c r="O424" s="4" t="s">
        <v>24</v>
      </c>
      <c r="P424" s="4">
        <v>29012</v>
      </c>
      <c r="Q424" s="4" t="s">
        <v>19</v>
      </c>
      <c r="R424" s="4">
        <v>42178</v>
      </c>
      <c r="S424" s="4" t="str">
        <f>VLOOKUP(L424&amp;TEXT(I424,"mmmm")&amp;YEAR(I424),'[1]Detalle C-Fecha'!$D$2:$E$15921,2,FALSE)</f>
        <v>CENCOMLD - Cencosud SA - Mendoza</v>
      </c>
    </row>
    <row r="425" spans="1:19" x14ac:dyDescent="0.3">
      <c r="A425" s="4">
        <v>34209</v>
      </c>
      <c r="B425" s="4" t="s">
        <v>28</v>
      </c>
      <c r="C425" s="4" t="s">
        <v>15</v>
      </c>
      <c r="D425" s="4" t="s">
        <v>16</v>
      </c>
      <c r="E425" s="4" t="s">
        <v>115</v>
      </c>
      <c r="F425" s="4" t="str">
        <f t="shared" si="6"/>
        <v>2ML</v>
      </c>
      <c r="G425" s="5">
        <v>46158</v>
      </c>
      <c r="H425" s="6">
        <v>0.45069444444444445</v>
      </c>
      <c r="I425" s="5">
        <v>46158</v>
      </c>
      <c r="J425" s="5">
        <v>46169</v>
      </c>
      <c r="K425" s="5">
        <v>46169</v>
      </c>
      <c r="L425" s="4" t="s">
        <v>43</v>
      </c>
      <c r="M425" s="4" t="s">
        <v>149</v>
      </c>
      <c r="N425" s="4" t="s">
        <v>17</v>
      </c>
      <c r="O425" s="4" t="s">
        <v>25</v>
      </c>
      <c r="P425" s="4">
        <v>29014</v>
      </c>
      <c r="Q425" s="4" t="s">
        <v>19</v>
      </c>
      <c r="R425" s="4">
        <v>42184</v>
      </c>
      <c r="S425" s="4" t="str">
        <f>VLOOKUP(L425&amp;TEXT(I425,"mmmm")&amp;YEAR(I425),'[1]Detalle C-Fecha'!$D$2:$E$15921,2,FALSE)</f>
        <v>Expreso - Servicios Troncales</v>
      </c>
    </row>
    <row r="426" spans="1:19" x14ac:dyDescent="0.3">
      <c r="A426" s="4">
        <v>34210</v>
      </c>
      <c r="B426" s="4" t="s">
        <v>28</v>
      </c>
      <c r="C426" s="4" t="s">
        <v>15</v>
      </c>
      <c r="D426" s="4" t="s">
        <v>16</v>
      </c>
      <c r="E426" s="4" t="s">
        <v>116</v>
      </c>
      <c r="F426" s="4" t="str">
        <f t="shared" si="6"/>
        <v>3ML</v>
      </c>
      <c r="G426" s="5">
        <v>46158</v>
      </c>
      <c r="H426" s="6">
        <v>0.45069444444444445</v>
      </c>
      <c r="I426" s="5">
        <v>46158</v>
      </c>
      <c r="J426" s="5">
        <v>46169</v>
      </c>
      <c r="K426" s="5">
        <v>46169</v>
      </c>
      <c r="L426" s="4" t="s">
        <v>43</v>
      </c>
      <c r="M426" s="4" t="s">
        <v>149</v>
      </c>
      <c r="N426" s="4" t="s">
        <v>17</v>
      </c>
      <c r="O426" s="4" t="s">
        <v>25</v>
      </c>
      <c r="P426" s="4">
        <v>29015</v>
      </c>
      <c r="Q426" s="4" t="s">
        <v>19</v>
      </c>
      <c r="R426" s="4">
        <v>42186</v>
      </c>
      <c r="S426" s="4" t="str">
        <f>VLOOKUP(L426&amp;TEXT(I426,"mmmm")&amp;YEAR(I426),'[1]Detalle C-Fecha'!$D$2:$E$15921,2,FALSE)</f>
        <v>Expreso - Servicios Troncales</v>
      </c>
    </row>
    <row r="427" spans="1:19" x14ac:dyDescent="0.3">
      <c r="A427" s="4">
        <v>34211</v>
      </c>
      <c r="B427" s="4" t="s">
        <v>28</v>
      </c>
      <c r="C427" s="4" t="s">
        <v>15</v>
      </c>
      <c r="D427" s="4" t="s">
        <v>16</v>
      </c>
      <c r="E427" s="4" t="s">
        <v>117</v>
      </c>
      <c r="F427" s="4" t="str">
        <f t="shared" si="6"/>
        <v>6ML</v>
      </c>
      <c r="G427" s="5">
        <v>46158</v>
      </c>
      <c r="H427" s="6">
        <v>0.45069444444444445</v>
      </c>
      <c r="I427" s="5">
        <v>46158</v>
      </c>
      <c r="J427" s="5">
        <v>46169</v>
      </c>
      <c r="K427" s="5">
        <v>46169</v>
      </c>
      <c r="L427" s="4" t="s">
        <v>43</v>
      </c>
      <c r="M427" s="4" t="s">
        <v>149</v>
      </c>
      <c r="N427" s="4" t="s">
        <v>17</v>
      </c>
      <c r="O427" s="4" t="s">
        <v>25</v>
      </c>
      <c r="P427" s="4">
        <v>29016</v>
      </c>
      <c r="Q427" s="4" t="s">
        <v>19</v>
      </c>
      <c r="R427" s="4">
        <v>42188</v>
      </c>
      <c r="S427" s="4" t="str">
        <f>VLOOKUP(L427&amp;TEXT(I427,"mmmm")&amp;YEAR(I427),'[1]Detalle C-Fecha'!$D$2:$E$15921,2,FALSE)</f>
        <v>Expreso - Servicios Troncales</v>
      </c>
    </row>
    <row r="428" spans="1:19" x14ac:dyDescent="0.3">
      <c r="A428" s="4">
        <v>34232</v>
      </c>
      <c r="B428" s="4" t="s">
        <v>28</v>
      </c>
      <c r="C428" s="4" t="s">
        <v>15</v>
      </c>
      <c r="D428" s="4" t="s">
        <v>16</v>
      </c>
      <c r="E428" s="4" t="s">
        <v>115</v>
      </c>
      <c r="F428" s="4" t="str">
        <f t="shared" si="6"/>
        <v>2ML</v>
      </c>
      <c r="G428" s="5">
        <v>46160</v>
      </c>
      <c r="H428" s="6">
        <v>0.46736111111111112</v>
      </c>
      <c r="I428" s="5">
        <v>46160</v>
      </c>
      <c r="J428" s="5">
        <v>46169</v>
      </c>
      <c r="K428" s="5">
        <v>46169</v>
      </c>
      <c r="L428" s="4" t="s">
        <v>148</v>
      </c>
      <c r="M428" s="4" t="s">
        <v>149</v>
      </c>
      <c r="N428" s="4" t="s">
        <v>17</v>
      </c>
      <c r="O428" s="4" t="s">
        <v>25</v>
      </c>
      <c r="P428" s="4">
        <v>29061</v>
      </c>
      <c r="Q428" s="4" t="s">
        <v>19</v>
      </c>
      <c r="R428" s="4">
        <v>42207</v>
      </c>
      <c r="S428" s="4" t="str">
        <f>VLOOKUP(L428&amp;TEXT(I428,"mmmm")&amp;YEAR(I428),'[1]Detalle C-Fecha'!$D$2:$E$15921,2,FALSE)</f>
        <v>Expreso - Servicios Troncales</v>
      </c>
    </row>
    <row r="429" spans="1:19" x14ac:dyDescent="0.3">
      <c r="A429" s="4">
        <v>34233</v>
      </c>
      <c r="B429" s="4" t="s">
        <v>28</v>
      </c>
      <c r="C429" s="4" t="s">
        <v>15</v>
      </c>
      <c r="D429" s="4" t="s">
        <v>16</v>
      </c>
      <c r="E429" s="4" t="s">
        <v>116</v>
      </c>
      <c r="F429" s="4" t="str">
        <f t="shared" si="6"/>
        <v>3ML</v>
      </c>
      <c r="G429" s="5">
        <v>46160</v>
      </c>
      <c r="H429" s="6">
        <v>0.46736111111111112</v>
      </c>
      <c r="I429" s="5">
        <v>46160</v>
      </c>
      <c r="J429" s="5">
        <v>46169</v>
      </c>
      <c r="K429" s="5">
        <v>46169</v>
      </c>
      <c r="L429" s="4" t="s">
        <v>148</v>
      </c>
      <c r="M429" s="4" t="s">
        <v>149</v>
      </c>
      <c r="N429" s="4" t="s">
        <v>17</v>
      </c>
      <c r="O429" s="4" t="s">
        <v>25</v>
      </c>
      <c r="P429" s="4">
        <v>29062</v>
      </c>
      <c r="Q429" s="4" t="s">
        <v>19</v>
      </c>
      <c r="R429" s="4">
        <v>42210</v>
      </c>
      <c r="S429" s="4" t="str">
        <f>VLOOKUP(L429&amp;TEXT(I429,"mmmm")&amp;YEAR(I429),'[1]Detalle C-Fecha'!$D$2:$E$15921,2,FALSE)</f>
        <v>Expreso - Servicios Troncales</v>
      </c>
    </row>
    <row r="430" spans="1:19" x14ac:dyDescent="0.3">
      <c r="A430" s="4">
        <v>34234</v>
      </c>
      <c r="B430" s="4" t="s">
        <v>28</v>
      </c>
      <c r="C430" s="4" t="s">
        <v>15</v>
      </c>
      <c r="D430" s="4" t="s">
        <v>16</v>
      </c>
      <c r="E430" s="4" t="s">
        <v>117</v>
      </c>
      <c r="F430" s="4" t="str">
        <f t="shared" si="6"/>
        <v>6ML</v>
      </c>
      <c r="G430" s="5">
        <v>46160</v>
      </c>
      <c r="H430" s="6">
        <v>0.46736111111111112</v>
      </c>
      <c r="I430" s="5">
        <v>46160</v>
      </c>
      <c r="J430" s="5">
        <v>46169</v>
      </c>
      <c r="K430" s="5">
        <v>46169</v>
      </c>
      <c r="L430" s="4" t="s">
        <v>148</v>
      </c>
      <c r="M430" s="4" t="s">
        <v>149</v>
      </c>
      <c r="N430" s="4" t="s">
        <v>17</v>
      </c>
      <c r="O430" s="4" t="s">
        <v>25</v>
      </c>
      <c r="P430" s="4">
        <v>29063</v>
      </c>
      <c r="Q430" s="4" t="s">
        <v>19</v>
      </c>
      <c r="R430" s="4">
        <v>42212</v>
      </c>
      <c r="S430" s="4" t="str">
        <f>VLOOKUP(L430&amp;TEXT(I430,"mmmm")&amp;YEAR(I430),'[1]Detalle C-Fecha'!$D$2:$E$15921,2,FALSE)</f>
        <v>Expreso - Servicios Troncales</v>
      </c>
    </row>
    <row r="431" spans="1:19" x14ac:dyDescent="0.3">
      <c r="A431" s="4">
        <v>34324</v>
      </c>
      <c r="B431" s="4" t="s">
        <v>28</v>
      </c>
      <c r="C431" s="4" t="s">
        <v>15</v>
      </c>
      <c r="D431" s="4" t="s">
        <v>16</v>
      </c>
      <c r="E431" s="4" t="s">
        <v>115</v>
      </c>
      <c r="F431" s="4" t="str">
        <f t="shared" si="6"/>
        <v>2ML</v>
      </c>
      <c r="G431" s="5">
        <v>46161</v>
      </c>
      <c r="H431" s="6">
        <v>0.3972222222222222</v>
      </c>
      <c r="I431" s="5">
        <v>46161</v>
      </c>
      <c r="J431" s="5">
        <v>46161</v>
      </c>
      <c r="K431" s="5">
        <v>46163</v>
      </c>
      <c r="L431" s="4" t="s">
        <v>48</v>
      </c>
      <c r="M431" s="4" t="s">
        <v>129</v>
      </c>
      <c r="N431" s="4" t="s">
        <v>208</v>
      </c>
      <c r="O431" s="4" t="s">
        <v>24</v>
      </c>
      <c r="P431" s="4">
        <v>29114</v>
      </c>
      <c r="Q431" s="4" t="s">
        <v>19</v>
      </c>
      <c r="R431" s="4">
        <v>42164</v>
      </c>
      <c r="S431" s="4" t="str">
        <f>VLOOKUP(L431&amp;TEXT(I431,"mmmm")&amp;YEAR(I431),'[1]Detalle C-Fecha'!$D$2:$E$15921,2,FALSE)</f>
        <v>ADA_CH - Danone Arg. S.A. - Chascomus</v>
      </c>
    </row>
    <row r="432" spans="1:19" x14ac:dyDescent="0.3">
      <c r="A432" s="4">
        <v>34325</v>
      </c>
      <c r="B432" s="4" t="s">
        <v>28</v>
      </c>
      <c r="C432" s="4" t="s">
        <v>15</v>
      </c>
      <c r="D432" s="4" t="s">
        <v>16</v>
      </c>
      <c r="E432" s="4" t="s">
        <v>116</v>
      </c>
      <c r="F432" s="4" t="str">
        <f t="shared" si="6"/>
        <v>3ML</v>
      </c>
      <c r="G432" s="5">
        <v>46161</v>
      </c>
      <c r="H432" s="6">
        <v>0.3972222222222222</v>
      </c>
      <c r="I432" s="5">
        <v>46161</v>
      </c>
      <c r="J432" s="5">
        <v>46161</v>
      </c>
      <c r="K432" s="5">
        <v>46163</v>
      </c>
      <c r="L432" s="4" t="s">
        <v>48</v>
      </c>
      <c r="M432" s="4" t="s">
        <v>129</v>
      </c>
      <c r="N432" s="4" t="s">
        <v>208</v>
      </c>
      <c r="O432" s="4" t="s">
        <v>24</v>
      </c>
      <c r="P432" s="4">
        <v>29115</v>
      </c>
      <c r="Q432" s="4" t="s">
        <v>19</v>
      </c>
      <c r="R432" s="4">
        <v>42164</v>
      </c>
      <c r="S432" s="4" t="str">
        <f>VLOOKUP(L432&amp;TEXT(I432,"mmmm")&amp;YEAR(I432),'[1]Detalle C-Fecha'!$D$2:$E$15921,2,FALSE)</f>
        <v>ADA_CH - Danone Arg. S.A. - Chascomus</v>
      </c>
    </row>
    <row r="433" spans="1:19" x14ac:dyDescent="0.3">
      <c r="A433" s="4">
        <v>34326</v>
      </c>
      <c r="B433" s="4" t="s">
        <v>28</v>
      </c>
      <c r="C433" s="4" t="s">
        <v>15</v>
      </c>
      <c r="D433" s="4" t="s">
        <v>16</v>
      </c>
      <c r="E433" s="4" t="s">
        <v>117</v>
      </c>
      <c r="F433" s="4" t="str">
        <f t="shared" si="6"/>
        <v>6ML</v>
      </c>
      <c r="G433" s="5">
        <v>46161</v>
      </c>
      <c r="H433" s="6">
        <v>0.3972222222222222</v>
      </c>
      <c r="I433" s="5">
        <v>46161</v>
      </c>
      <c r="J433" s="5">
        <v>46161</v>
      </c>
      <c r="K433" s="5">
        <v>46163</v>
      </c>
      <c r="L433" s="4" t="s">
        <v>48</v>
      </c>
      <c r="M433" s="4" t="s">
        <v>129</v>
      </c>
      <c r="N433" s="4" t="s">
        <v>208</v>
      </c>
      <c r="O433" s="4" t="s">
        <v>24</v>
      </c>
      <c r="P433" s="4">
        <v>29116</v>
      </c>
      <c r="Q433" s="4" t="s">
        <v>19</v>
      </c>
      <c r="R433" s="4">
        <v>42164</v>
      </c>
      <c r="S433" s="4" t="str">
        <f>VLOOKUP(L433&amp;TEXT(I433,"mmmm")&amp;YEAR(I433),'[1]Detalle C-Fecha'!$D$2:$E$15921,2,FALSE)</f>
        <v>ADA_CH - Danone Arg. S.A. - Chascomus</v>
      </c>
    </row>
    <row r="434" spans="1:19" x14ac:dyDescent="0.3">
      <c r="A434" s="4">
        <v>34337</v>
      </c>
      <c r="B434" s="4" t="s">
        <v>28</v>
      </c>
      <c r="C434" s="4" t="s">
        <v>15</v>
      </c>
      <c r="D434" s="4" t="s">
        <v>16</v>
      </c>
      <c r="E434" s="4" t="s">
        <v>35</v>
      </c>
      <c r="F434" s="4" t="str">
        <f t="shared" si="6"/>
        <v>2ML</v>
      </c>
      <c r="G434" s="5">
        <v>46161</v>
      </c>
      <c r="H434" s="6">
        <v>0.51874999999999993</v>
      </c>
      <c r="I434" s="5">
        <v>46161</v>
      </c>
      <c r="J434" s="5">
        <v>46161</v>
      </c>
      <c r="K434" s="5">
        <v>46168</v>
      </c>
      <c r="L434" s="4" t="s">
        <v>67</v>
      </c>
      <c r="M434" s="4" t="s">
        <v>146</v>
      </c>
      <c r="N434" s="4" t="s">
        <v>208</v>
      </c>
      <c r="O434" s="4" t="s">
        <v>24</v>
      </c>
      <c r="P434" s="4">
        <v>29127</v>
      </c>
      <c r="Q434" s="4" t="s">
        <v>123</v>
      </c>
      <c r="S434" s="4" t="str">
        <f>VLOOKUP(L434&amp;TEXT(I434,"mmmm")&amp;YEAR(I434),'[1]Detalle C-Fecha'!$D$2:$E$15921,2,FALSE)</f>
        <v>ADA_CH - Danone Arg. S.A. - Chascomus</v>
      </c>
    </row>
    <row r="435" spans="1:19" x14ac:dyDescent="0.3">
      <c r="A435" s="4">
        <v>34338</v>
      </c>
      <c r="B435" s="4" t="s">
        <v>28</v>
      </c>
      <c r="C435" s="4" t="s">
        <v>15</v>
      </c>
      <c r="D435" s="4" t="s">
        <v>16</v>
      </c>
      <c r="E435" s="4" t="s">
        <v>47</v>
      </c>
      <c r="F435" s="4" t="str">
        <f t="shared" si="6"/>
        <v>3ML</v>
      </c>
      <c r="G435" s="5">
        <v>46161</v>
      </c>
      <c r="H435" s="6">
        <v>0.51874999999999993</v>
      </c>
      <c r="I435" s="5">
        <v>46161</v>
      </c>
      <c r="J435" s="5">
        <v>46161</v>
      </c>
      <c r="K435" s="5">
        <v>46168</v>
      </c>
      <c r="L435" s="4" t="s">
        <v>67</v>
      </c>
      <c r="M435" s="4" t="s">
        <v>146</v>
      </c>
      <c r="N435" s="4" t="s">
        <v>208</v>
      </c>
      <c r="O435" s="4" t="s">
        <v>24</v>
      </c>
      <c r="P435" s="4">
        <v>29128</v>
      </c>
      <c r="Q435" s="4" t="s">
        <v>123</v>
      </c>
      <c r="S435" s="4" t="str">
        <f>VLOOKUP(L435&amp;TEXT(I435,"mmmm")&amp;YEAR(I435),'[1]Detalle C-Fecha'!$D$2:$E$15921,2,FALSE)</f>
        <v>ADA_CH - Danone Arg. S.A. - Chascomus</v>
      </c>
    </row>
    <row r="436" spans="1:19" x14ac:dyDescent="0.3">
      <c r="A436" s="4">
        <v>34339</v>
      </c>
      <c r="B436" s="4" t="s">
        <v>28</v>
      </c>
      <c r="C436" s="4" t="s">
        <v>15</v>
      </c>
      <c r="D436" s="4" t="s">
        <v>16</v>
      </c>
      <c r="E436" s="4" t="s">
        <v>46</v>
      </c>
      <c r="F436" s="4" t="str">
        <f t="shared" si="6"/>
        <v>6ML</v>
      </c>
      <c r="G436" s="5">
        <v>46161</v>
      </c>
      <c r="H436" s="6">
        <v>0.51874999999999993</v>
      </c>
      <c r="I436" s="5">
        <v>46161</v>
      </c>
      <c r="J436" s="5">
        <v>46161</v>
      </c>
      <c r="K436" s="5">
        <v>46163</v>
      </c>
      <c r="L436" s="4" t="s">
        <v>67</v>
      </c>
      <c r="M436" s="4" t="s">
        <v>146</v>
      </c>
      <c r="N436" s="4" t="s">
        <v>208</v>
      </c>
      <c r="O436" s="4" t="s">
        <v>24</v>
      </c>
      <c r="P436" s="4">
        <v>29129</v>
      </c>
      <c r="Q436" s="4" t="s">
        <v>19</v>
      </c>
      <c r="R436" s="4">
        <v>42164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34360</v>
      </c>
      <c r="B437" s="4" t="s">
        <v>28</v>
      </c>
      <c r="C437" s="4" t="s">
        <v>15</v>
      </c>
      <c r="D437" s="4" t="s">
        <v>16</v>
      </c>
      <c r="E437" s="4" t="s">
        <v>51</v>
      </c>
      <c r="F437" s="4" t="str">
        <f t="shared" si="6"/>
        <v>2MC</v>
      </c>
      <c r="G437" s="5">
        <v>46161</v>
      </c>
      <c r="H437" s="6">
        <v>0.7631944444444444</v>
      </c>
      <c r="I437" s="5">
        <v>46161</v>
      </c>
      <c r="J437" s="5">
        <v>46161</v>
      </c>
      <c r="K437" s="5">
        <v>46163</v>
      </c>
      <c r="L437" s="4" t="s">
        <v>234</v>
      </c>
      <c r="M437" s="4" t="s">
        <v>161</v>
      </c>
      <c r="N437" s="4" t="s">
        <v>208</v>
      </c>
      <c r="O437" s="4" t="s">
        <v>18</v>
      </c>
      <c r="P437" s="4">
        <v>29140</v>
      </c>
      <c r="Q437" s="4" t="s">
        <v>19</v>
      </c>
      <c r="R437" s="4">
        <v>42163</v>
      </c>
      <c r="S437" s="4" t="str">
        <f>VLOOKUP(L437&amp;TEXT(I437,"mmmm")&amp;YEAR(I437),'[1]Detalle C-Fecha'!$D$2:$E$15921,2,FALSE)</f>
        <v>CMQ_TTE - QUILMES TTE</v>
      </c>
    </row>
    <row r="438" spans="1:19" x14ac:dyDescent="0.3">
      <c r="A438" s="4">
        <v>34362</v>
      </c>
      <c r="B438" s="4" t="s">
        <v>28</v>
      </c>
      <c r="C438" s="4" t="s">
        <v>15</v>
      </c>
      <c r="D438" s="4" t="s">
        <v>16</v>
      </c>
      <c r="E438" s="4" t="s">
        <v>113</v>
      </c>
      <c r="F438" s="4" t="str">
        <f t="shared" si="6"/>
        <v>2MC</v>
      </c>
      <c r="G438" s="5">
        <v>46161</v>
      </c>
      <c r="H438" s="6">
        <v>0.81874999999999998</v>
      </c>
      <c r="I438" s="5">
        <v>46161</v>
      </c>
      <c r="J438" s="5">
        <v>46161</v>
      </c>
      <c r="K438" s="5">
        <v>46163</v>
      </c>
      <c r="L438" s="4" t="s">
        <v>235</v>
      </c>
      <c r="M438" s="4" t="s">
        <v>128</v>
      </c>
      <c r="N438" s="4" t="s">
        <v>208</v>
      </c>
      <c r="O438" s="4" t="s">
        <v>18</v>
      </c>
      <c r="P438" s="4">
        <v>29142</v>
      </c>
      <c r="Q438" s="4" t="s">
        <v>19</v>
      </c>
      <c r="R438" s="4">
        <v>42163</v>
      </c>
      <c r="S438" s="4" t="str">
        <f>VLOOKUP(L438&amp;TEXT(I438,"mmmm")&amp;YEAR(I438),'[1]Detalle C-Fecha'!$D$2:$E$15921,2,FALSE)</f>
        <v>CMQ_TTE - QUILMES TTE</v>
      </c>
    </row>
    <row r="439" spans="1:19" x14ac:dyDescent="0.3">
      <c r="A439" s="4">
        <v>34363</v>
      </c>
      <c r="B439" s="4" t="s">
        <v>28</v>
      </c>
      <c r="C439" s="4" t="s">
        <v>15</v>
      </c>
      <c r="D439" s="4" t="s">
        <v>16</v>
      </c>
      <c r="E439" s="4" t="s">
        <v>122</v>
      </c>
      <c r="F439" s="4" t="str">
        <f t="shared" si="6"/>
        <v>3MC</v>
      </c>
      <c r="G439" s="5">
        <v>46161</v>
      </c>
      <c r="H439" s="6">
        <v>0.81874999999999998</v>
      </c>
      <c r="I439" s="5">
        <v>46161</v>
      </c>
      <c r="J439" s="5">
        <v>46161</v>
      </c>
      <c r="K439" s="5">
        <v>46163</v>
      </c>
      <c r="L439" s="4" t="s">
        <v>235</v>
      </c>
      <c r="M439" s="4" t="s">
        <v>128</v>
      </c>
      <c r="N439" s="4" t="s">
        <v>208</v>
      </c>
      <c r="O439" s="4" t="s">
        <v>18</v>
      </c>
      <c r="P439" s="4">
        <v>29143</v>
      </c>
      <c r="Q439" s="4" t="s">
        <v>19</v>
      </c>
      <c r="R439" s="4">
        <v>42163</v>
      </c>
      <c r="S439" s="4" t="str">
        <f>VLOOKUP(L439&amp;TEXT(I439,"mmmm")&amp;YEAR(I439),'[1]Detalle C-Fecha'!$D$2:$E$15921,2,FALSE)</f>
        <v>CMQ_TTE - QUILMES TTE</v>
      </c>
    </row>
    <row r="440" spans="1:19" x14ac:dyDescent="0.3">
      <c r="A440" s="4">
        <v>34364</v>
      </c>
      <c r="B440" s="4" t="s">
        <v>28</v>
      </c>
      <c r="C440" s="4" t="s">
        <v>15</v>
      </c>
      <c r="D440" s="4" t="s">
        <v>16</v>
      </c>
      <c r="E440" s="4" t="s">
        <v>114</v>
      </c>
      <c r="F440" s="4" t="str">
        <f t="shared" si="6"/>
        <v>6MC</v>
      </c>
      <c r="G440" s="5">
        <v>46161</v>
      </c>
      <c r="H440" s="6">
        <v>0.81874999999999998</v>
      </c>
      <c r="I440" s="5">
        <v>46161</v>
      </c>
      <c r="J440" s="5">
        <v>46161</v>
      </c>
      <c r="K440" s="5">
        <v>46163</v>
      </c>
      <c r="L440" s="4" t="s">
        <v>235</v>
      </c>
      <c r="M440" s="4" t="s">
        <v>128</v>
      </c>
      <c r="N440" s="4" t="s">
        <v>208</v>
      </c>
      <c r="O440" s="4" t="s">
        <v>18</v>
      </c>
      <c r="P440" s="4">
        <v>29144</v>
      </c>
      <c r="Q440" s="4" t="s">
        <v>19</v>
      </c>
      <c r="R440" s="4">
        <v>42163</v>
      </c>
      <c r="S440" s="4" t="str">
        <f>VLOOKUP(L440&amp;TEXT(I440,"mmmm")&amp;YEAR(I440),'[1]Detalle C-Fecha'!$D$2:$E$15921,2,FALSE)</f>
        <v>CMQ_TTE - QUILMES TTE</v>
      </c>
    </row>
    <row r="441" spans="1:19" x14ac:dyDescent="0.3">
      <c r="A441" s="4">
        <v>34369</v>
      </c>
      <c r="B441" s="4" t="s">
        <v>28</v>
      </c>
      <c r="C441" s="4" t="s">
        <v>15</v>
      </c>
      <c r="D441" s="4" t="s">
        <v>16</v>
      </c>
      <c r="E441" s="4" t="s">
        <v>115</v>
      </c>
      <c r="F441" s="4" t="str">
        <f t="shared" si="6"/>
        <v>2ML</v>
      </c>
      <c r="G441" s="5">
        <v>46162</v>
      </c>
      <c r="H441" s="6">
        <v>0.30833333333333335</v>
      </c>
      <c r="I441" s="5">
        <v>46162</v>
      </c>
      <c r="J441" s="5">
        <v>46162</v>
      </c>
      <c r="K441" s="5">
        <v>46163</v>
      </c>
      <c r="L441" s="4" t="s">
        <v>96</v>
      </c>
      <c r="M441" s="4" t="s">
        <v>129</v>
      </c>
      <c r="N441" s="4" t="s">
        <v>208</v>
      </c>
      <c r="O441" s="4" t="s">
        <v>24</v>
      </c>
      <c r="P441" s="4">
        <v>29149</v>
      </c>
      <c r="Q441" s="4" t="s">
        <v>19</v>
      </c>
      <c r="R441" s="4">
        <v>42164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34370</v>
      </c>
      <c r="B442" s="4" t="s">
        <v>28</v>
      </c>
      <c r="C442" s="4" t="s">
        <v>15</v>
      </c>
      <c r="D442" s="4" t="s">
        <v>16</v>
      </c>
      <c r="E442" s="4" t="s">
        <v>116</v>
      </c>
      <c r="F442" s="4" t="str">
        <f t="shared" si="6"/>
        <v>3ML</v>
      </c>
      <c r="G442" s="5">
        <v>46162</v>
      </c>
      <c r="H442" s="6">
        <v>0.30833333333333335</v>
      </c>
      <c r="I442" s="5">
        <v>46162</v>
      </c>
      <c r="J442" s="5">
        <v>46162</v>
      </c>
      <c r="K442" s="5">
        <v>46163</v>
      </c>
      <c r="L442" s="4" t="s">
        <v>96</v>
      </c>
      <c r="M442" s="4" t="s">
        <v>129</v>
      </c>
      <c r="N442" s="4" t="s">
        <v>208</v>
      </c>
      <c r="O442" s="4" t="s">
        <v>24</v>
      </c>
      <c r="P442" s="4">
        <v>29150</v>
      </c>
      <c r="Q442" s="4" t="s">
        <v>19</v>
      </c>
      <c r="R442" s="4">
        <v>42164</v>
      </c>
      <c r="S442" s="4" t="str">
        <f>VLOOKUP(L442&amp;TEXT(I442,"mmmm")&amp;YEAR(I442),'[1]Detalle C-Fecha'!$D$2:$E$15921,2,FALSE)</f>
        <v>ADA_CH - Danone Arg. S.A. - Chascomus</v>
      </c>
    </row>
    <row r="443" spans="1:19" x14ac:dyDescent="0.3">
      <c r="A443" s="4">
        <v>34371</v>
      </c>
      <c r="B443" s="4" t="s">
        <v>28</v>
      </c>
      <c r="C443" s="4" t="s">
        <v>15</v>
      </c>
      <c r="D443" s="4" t="s">
        <v>16</v>
      </c>
      <c r="E443" s="4" t="s">
        <v>117</v>
      </c>
      <c r="F443" s="4" t="str">
        <f t="shared" si="6"/>
        <v>6ML</v>
      </c>
      <c r="G443" s="5">
        <v>46162</v>
      </c>
      <c r="H443" s="6">
        <v>0.30833333333333335</v>
      </c>
      <c r="I443" s="5">
        <v>46162</v>
      </c>
      <c r="J443" s="5">
        <v>46162</v>
      </c>
      <c r="K443" s="5">
        <v>46163</v>
      </c>
      <c r="L443" s="4" t="s">
        <v>96</v>
      </c>
      <c r="M443" s="4" t="s">
        <v>129</v>
      </c>
      <c r="N443" s="4" t="s">
        <v>208</v>
      </c>
      <c r="O443" s="4" t="s">
        <v>24</v>
      </c>
      <c r="P443" s="4">
        <v>29151</v>
      </c>
      <c r="Q443" s="4" t="s">
        <v>19</v>
      </c>
      <c r="R443" s="4">
        <v>42164</v>
      </c>
      <c r="S443" s="4" t="str">
        <f>VLOOKUP(L443&amp;TEXT(I443,"mmmm")&amp;YEAR(I443),'[1]Detalle C-Fecha'!$D$2:$E$15921,2,FALSE)</f>
        <v>ADA_CH - Danone Arg. S.A. - Chascomus</v>
      </c>
    </row>
    <row r="444" spans="1:19" x14ac:dyDescent="0.3">
      <c r="A444" s="4">
        <v>34373</v>
      </c>
      <c r="B444" s="4" t="s">
        <v>28</v>
      </c>
      <c r="C444" s="4" t="s">
        <v>15</v>
      </c>
      <c r="D444" s="4" t="s">
        <v>16</v>
      </c>
      <c r="E444" s="4" t="s">
        <v>108</v>
      </c>
      <c r="F444" s="4" t="str">
        <f t="shared" si="6"/>
        <v>2MU</v>
      </c>
      <c r="G444" s="5">
        <v>46162</v>
      </c>
      <c r="H444" s="6">
        <v>0.37916666666666665</v>
      </c>
      <c r="I444" s="5">
        <v>46162</v>
      </c>
      <c r="J444" s="5">
        <v>46162</v>
      </c>
      <c r="K444" s="5">
        <v>46163</v>
      </c>
      <c r="L444" s="4" t="s">
        <v>236</v>
      </c>
      <c r="M444" s="4" t="s">
        <v>237</v>
      </c>
      <c r="N444" s="4" t="s">
        <v>208</v>
      </c>
      <c r="O444" s="4" t="s">
        <v>18</v>
      </c>
      <c r="P444" s="4">
        <v>29153</v>
      </c>
      <c r="Q444" s="4" t="s">
        <v>19</v>
      </c>
      <c r="R444" s="4">
        <v>42163</v>
      </c>
      <c r="S444" s="4" t="str">
        <f>VLOOKUP(L444&amp;TEXT(I444,"mmmm")&amp;YEAR(I444),'[1]Detalle C-Fecha'!$D$2:$E$15921,2,FALSE)</f>
        <v>CMQ_TTE - QUILMES TTE</v>
      </c>
    </row>
    <row r="445" spans="1:19" x14ac:dyDescent="0.3">
      <c r="A445" s="4">
        <v>34374</v>
      </c>
      <c r="B445" s="4" t="s">
        <v>28</v>
      </c>
      <c r="C445" s="4" t="s">
        <v>15</v>
      </c>
      <c r="D445" s="4" t="s">
        <v>16</v>
      </c>
      <c r="E445" s="4" t="s">
        <v>109</v>
      </c>
      <c r="F445" s="4" t="str">
        <f t="shared" si="6"/>
        <v>3MU</v>
      </c>
      <c r="G445" s="5">
        <v>46162</v>
      </c>
      <c r="H445" s="6">
        <v>0.37916666666666665</v>
      </c>
      <c r="I445" s="5">
        <v>46162</v>
      </c>
      <c r="J445" s="5">
        <v>46162</v>
      </c>
      <c r="K445" s="5">
        <v>46163</v>
      </c>
      <c r="L445" s="4" t="s">
        <v>236</v>
      </c>
      <c r="M445" s="4" t="s">
        <v>237</v>
      </c>
      <c r="N445" s="4" t="s">
        <v>208</v>
      </c>
      <c r="O445" s="4" t="s">
        <v>18</v>
      </c>
      <c r="P445" s="4">
        <v>29154</v>
      </c>
      <c r="Q445" s="4" t="s">
        <v>19</v>
      </c>
      <c r="R445" s="4">
        <v>42163</v>
      </c>
      <c r="S445" s="4" t="str">
        <f>VLOOKUP(L445&amp;TEXT(I445,"mmmm")&amp;YEAR(I445),'[1]Detalle C-Fecha'!$D$2:$E$15921,2,FALSE)</f>
        <v>CMQ_TTE - QUILMES TTE</v>
      </c>
    </row>
    <row r="446" spans="1:19" x14ac:dyDescent="0.3">
      <c r="A446" s="4">
        <v>34375</v>
      </c>
      <c r="B446" s="4" t="s">
        <v>28</v>
      </c>
      <c r="C446" s="4" t="s">
        <v>15</v>
      </c>
      <c r="D446" s="4" t="s">
        <v>16</v>
      </c>
      <c r="E446" s="4" t="s">
        <v>107</v>
      </c>
      <c r="F446" s="4" t="str">
        <f t="shared" si="6"/>
        <v>4MU</v>
      </c>
      <c r="G446" s="5">
        <v>46162</v>
      </c>
      <c r="H446" s="6">
        <v>0.37916666666666665</v>
      </c>
      <c r="I446" s="5">
        <v>46162</v>
      </c>
      <c r="J446" s="5">
        <v>46162</v>
      </c>
      <c r="K446" s="5">
        <v>46163</v>
      </c>
      <c r="L446" s="4" t="s">
        <v>236</v>
      </c>
      <c r="M446" s="4" t="s">
        <v>237</v>
      </c>
      <c r="N446" s="4" t="s">
        <v>208</v>
      </c>
      <c r="O446" s="4" t="s">
        <v>18</v>
      </c>
      <c r="P446" s="4">
        <v>29155</v>
      </c>
      <c r="Q446" s="4" t="s">
        <v>19</v>
      </c>
      <c r="R446" s="4">
        <v>42163</v>
      </c>
      <c r="S446" s="4" t="str">
        <f>VLOOKUP(L446&amp;TEXT(I446,"mmmm")&amp;YEAR(I446),'[1]Detalle C-Fecha'!$D$2:$E$15921,2,FALSE)</f>
        <v>CMQ_TTE - QUILMES TTE</v>
      </c>
    </row>
    <row r="447" spans="1:19" x14ac:dyDescent="0.3">
      <c r="A447" s="4">
        <v>34376</v>
      </c>
      <c r="B447" s="4" t="s">
        <v>28</v>
      </c>
      <c r="C447" s="4" t="s">
        <v>15</v>
      </c>
      <c r="D447" s="4" t="s">
        <v>16</v>
      </c>
      <c r="E447" s="4" t="s">
        <v>110</v>
      </c>
      <c r="F447" s="4" t="str">
        <f t="shared" si="6"/>
        <v>5MU</v>
      </c>
      <c r="G447" s="5">
        <v>46162</v>
      </c>
      <c r="H447" s="6">
        <v>0.37916666666666665</v>
      </c>
      <c r="I447" s="5">
        <v>46162</v>
      </c>
      <c r="J447" s="5">
        <v>46162</v>
      </c>
      <c r="K447" s="5">
        <v>46163</v>
      </c>
      <c r="L447" s="4" t="s">
        <v>236</v>
      </c>
      <c r="M447" s="4" t="s">
        <v>237</v>
      </c>
      <c r="N447" s="4" t="s">
        <v>208</v>
      </c>
      <c r="O447" s="4" t="s">
        <v>18</v>
      </c>
      <c r="P447" s="4">
        <v>29156</v>
      </c>
      <c r="Q447" s="4" t="s">
        <v>19</v>
      </c>
      <c r="R447" s="4">
        <v>42163</v>
      </c>
      <c r="S447" s="4" t="str">
        <f>VLOOKUP(L447&amp;TEXT(I447,"mmmm")&amp;YEAR(I447),'[1]Detalle C-Fecha'!$D$2:$E$15921,2,FALSE)</f>
        <v>CMQ_TTE - QUILMES TTE</v>
      </c>
    </row>
    <row r="448" spans="1:19" x14ac:dyDescent="0.3">
      <c r="A448" s="4">
        <v>34530</v>
      </c>
      <c r="B448" s="4" t="s">
        <v>28</v>
      </c>
      <c r="C448" s="4" t="s">
        <v>15</v>
      </c>
      <c r="D448" s="4" t="s">
        <v>16</v>
      </c>
      <c r="E448" s="4" t="s">
        <v>121</v>
      </c>
      <c r="F448" s="4" t="str">
        <f t="shared" si="6"/>
        <v>2MC</v>
      </c>
      <c r="G448" s="5">
        <v>46162</v>
      </c>
      <c r="H448" s="6">
        <v>0.83472222222222225</v>
      </c>
      <c r="I448" s="5">
        <v>46162</v>
      </c>
      <c r="J448" s="5">
        <v>46162</v>
      </c>
      <c r="K448" s="5">
        <v>46163</v>
      </c>
      <c r="L448" s="4" t="s">
        <v>238</v>
      </c>
      <c r="M448" s="4" t="s">
        <v>155</v>
      </c>
      <c r="N448" s="4" t="s">
        <v>208</v>
      </c>
      <c r="O448" s="4" t="s">
        <v>18</v>
      </c>
      <c r="P448" s="4">
        <v>29249</v>
      </c>
      <c r="Q448" s="4" t="s">
        <v>19</v>
      </c>
      <c r="R448" s="4">
        <v>42163</v>
      </c>
      <c r="S448" s="4" t="str">
        <f>VLOOKUP(L448&amp;TEXT(I448,"mmmm")&amp;YEAR(I448),'[1]Detalle C-Fecha'!$D$2:$E$15921,2,FALSE)</f>
        <v>CMQ_TTE - QUILMES TTE</v>
      </c>
    </row>
    <row r="449" spans="1:19" x14ac:dyDescent="0.3">
      <c r="A449" s="4">
        <v>34531</v>
      </c>
      <c r="B449" s="4" t="s">
        <v>28</v>
      </c>
      <c r="C449" s="4" t="s">
        <v>15</v>
      </c>
      <c r="D449" s="4" t="s">
        <v>16</v>
      </c>
      <c r="E449" s="4" t="s">
        <v>53</v>
      </c>
      <c r="F449" s="4" t="str">
        <f t="shared" si="6"/>
        <v>3MC</v>
      </c>
      <c r="G449" s="5">
        <v>46162</v>
      </c>
      <c r="H449" s="6">
        <v>0.83472222222222225</v>
      </c>
      <c r="I449" s="5">
        <v>46162</v>
      </c>
      <c r="J449" s="5">
        <v>46162</v>
      </c>
      <c r="K449" s="5">
        <v>46163</v>
      </c>
      <c r="L449" s="4" t="s">
        <v>238</v>
      </c>
      <c r="M449" s="4" t="s">
        <v>155</v>
      </c>
      <c r="N449" s="4" t="s">
        <v>208</v>
      </c>
      <c r="O449" s="4" t="s">
        <v>18</v>
      </c>
      <c r="P449" s="4">
        <v>29250</v>
      </c>
      <c r="Q449" s="4" t="s">
        <v>19</v>
      </c>
      <c r="R449" s="4">
        <v>42163</v>
      </c>
      <c r="S449" s="4" t="str">
        <f>VLOOKUP(L449&amp;TEXT(I449,"mmmm")&amp;YEAR(I449),'[1]Detalle C-Fecha'!$D$2:$E$15921,2,FALSE)</f>
        <v>CMQ_TTE - QUILMES TTE</v>
      </c>
    </row>
    <row r="450" spans="1:19" x14ac:dyDescent="0.3">
      <c r="A450" s="4">
        <v>34532</v>
      </c>
      <c r="B450" s="4" t="s">
        <v>28</v>
      </c>
      <c r="C450" s="4" t="s">
        <v>15</v>
      </c>
      <c r="D450" s="4" t="s">
        <v>16</v>
      </c>
      <c r="E450" s="4" t="s">
        <v>111</v>
      </c>
      <c r="F450" s="4" t="str">
        <f t="shared" ref="F450:F513" si="7">MID(E450,1,3)</f>
        <v>6MC</v>
      </c>
      <c r="G450" s="5">
        <v>46162</v>
      </c>
      <c r="H450" s="6">
        <v>0.83472222222222225</v>
      </c>
      <c r="I450" s="5">
        <v>46162</v>
      </c>
      <c r="J450" s="5">
        <v>46162</v>
      </c>
      <c r="K450" s="5">
        <v>46163</v>
      </c>
      <c r="L450" s="4" t="s">
        <v>238</v>
      </c>
      <c r="M450" s="4" t="s">
        <v>155</v>
      </c>
      <c r="N450" s="4" t="s">
        <v>208</v>
      </c>
      <c r="O450" s="4" t="s">
        <v>18</v>
      </c>
      <c r="P450" s="4">
        <v>29251</v>
      </c>
      <c r="Q450" s="4" t="s">
        <v>19</v>
      </c>
      <c r="R450" s="4">
        <v>42163</v>
      </c>
      <c r="S450" s="4" t="str">
        <f>VLOOKUP(L450&amp;TEXT(I450,"mmmm")&amp;YEAR(I450),'[1]Detalle C-Fecha'!$D$2:$E$15921,2,FALSE)</f>
        <v>CMQ_TTE - QUILMES TTE</v>
      </c>
    </row>
    <row r="451" spans="1:19" x14ac:dyDescent="0.3">
      <c r="A451" s="4">
        <v>34594</v>
      </c>
      <c r="B451" s="4" t="s">
        <v>28</v>
      </c>
      <c r="C451" s="4" t="s">
        <v>15</v>
      </c>
      <c r="D451" s="4" t="s">
        <v>16</v>
      </c>
      <c r="E451" s="4" t="s">
        <v>121</v>
      </c>
      <c r="F451" s="4" t="str">
        <f t="shared" si="7"/>
        <v>2MC</v>
      </c>
      <c r="G451" s="5">
        <v>46163</v>
      </c>
      <c r="H451" s="6">
        <v>0.84027777777777779</v>
      </c>
      <c r="I451" s="5">
        <v>46163</v>
      </c>
      <c r="J451" s="5">
        <v>46163</v>
      </c>
      <c r="K451" s="5">
        <v>46168</v>
      </c>
      <c r="L451" s="4" t="s">
        <v>239</v>
      </c>
      <c r="M451" s="4" t="s">
        <v>155</v>
      </c>
      <c r="N451" s="4" t="s">
        <v>208</v>
      </c>
      <c r="O451" s="4" t="s">
        <v>18</v>
      </c>
      <c r="P451" s="4">
        <v>29271</v>
      </c>
      <c r="Q451" s="4" t="s">
        <v>19</v>
      </c>
      <c r="R451" s="4">
        <v>42656</v>
      </c>
      <c r="S451" s="4" t="str">
        <f>VLOOKUP(L451&amp;TEXT(I451,"mmmm")&amp;YEAR(I451),'[1]Detalle C-Fecha'!$D$2:$E$15921,2,FALSE)</f>
        <v>CMQ_TTE - QUILMES TTE</v>
      </c>
    </row>
    <row r="452" spans="1:19" x14ac:dyDescent="0.3">
      <c r="A452" s="4">
        <v>34595</v>
      </c>
      <c r="B452" s="4" t="s">
        <v>28</v>
      </c>
      <c r="C452" s="4" t="s">
        <v>15</v>
      </c>
      <c r="D452" s="4" t="s">
        <v>16</v>
      </c>
      <c r="E452" s="4" t="s">
        <v>53</v>
      </c>
      <c r="F452" s="4" t="str">
        <f t="shared" si="7"/>
        <v>3MC</v>
      </c>
      <c r="G452" s="5">
        <v>46163</v>
      </c>
      <c r="H452" s="6">
        <v>0.84027777777777779</v>
      </c>
      <c r="I452" s="5">
        <v>46163</v>
      </c>
      <c r="J452" s="5">
        <v>46163</v>
      </c>
      <c r="K452" s="5">
        <v>46168</v>
      </c>
      <c r="L452" s="4" t="s">
        <v>239</v>
      </c>
      <c r="M452" s="4" t="s">
        <v>155</v>
      </c>
      <c r="N452" s="4" t="s">
        <v>208</v>
      </c>
      <c r="O452" s="4" t="s">
        <v>18</v>
      </c>
      <c r="P452" s="4">
        <v>29272</v>
      </c>
      <c r="Q452" s="4" t="s">
        <v>19</v>
      </c>
      <c r="R452" s="4">
        <v>42657</v>
      </c>
      <c r="S452" s="4" t="str">
        <f>VLOOKUP(L452&amp;TEXT(I452,"mmmm")&amp;YEAR(I452),'[1]Detalle C-Fecha'!$D$2:$E$15921,2,FALSE)</f>
        <v>CMQ_TTE - QUILMES TTE</v>
      </c>
    </row>
    <row r="453" spans="1:19" x14ac:dyDescent="0.3">
      <c r="A453" s="4">
        <v>34596</v>
      </c>
      <c r="B453" s="4" t="s">
        <v>28</v>
      </c>
      <c r="C453" s="4" t="s">
        <v>15</v>
      </c>
      <c r="D453" s="4" t="s">
        <v>16</v>
      </c>
      <c r="E453" s="4" t="s">
        <v>111</v>
      </c>
      <c r="F453" s="4" t="str">
        <f t="shared" si="7"/>
        <v>6MC</v>
      </c>
      <c r="G453" s="5">
        <v>46163</v>
      </c>
      <c r="H453" s="6">
        <v>0.84027777777777779</v>
      </c>
      <c r="I453" s="5">
        <v>46163</v>
      </c>
      <c r="J453" s="5">
        <v>46163</v>
      </c>
      <c r="K453" s="5">
        <v>46168</v>
      </c>
      <c r="L453" s="4" t="s">
        <v>239</v>
      </c>
      <c r="M453" s="4" t="s">
        <v>155</v>
      </c>
      <c r="N453" s="4" t="s">
        <v>208</v>
      </c>
      <c r="O453" s="4" t="s">
        <v>18</v>
      </c>
      <c r="P453" s="4">
        <v>29273</v>
      </c>
      <c r="Q453" s="4" t="s">
        <v>19</v>
      </c>
      <c r="R453" s="4">
        <v>42658</v>
      </c>
      <c r="S453" s="4" t="str">
        <f>VLOOKUP(L453&amp;TEXT(I453,"mmmm")&amp;YEAR(I453),'[1]Detalle C-Fecha'!$D$2:$E$15921,2,FALSE)</f>
        <v>CMQ_TTE - QUILMES TTE</v>
      </c>
    </row>
    <row r="454" spans="1:19" x14ac:dyDescent="0.3">
      <c r="A454" s="4">
        <v>34603</v>
      </c>
      <c r="B454" s="4" t="s">
        <v>28</v>
      </c>
      <c r="C454" s="4" t="s">
        <v>15</v>
      </c>
      <c r="D454" s="4" t="s">
        <v>16</v>
      </c>
      <c r="E454" s="4" t="s">
        <v>35</v>
      </c>
      <c r="F454" s="4" t="str">
        <f t="shared" si="7"/>
        <v>2ML</v>
      </c>
      <c r="G454" s="5">
        <v>46164</v>
      </c>
      <c r="H454" s="6">
        <v>0.43611111111111112</v>
      </c>
      <c r="I454" s="5">
        <v>46162</v>
      </c>
      <c r="J454" s="5">
        <v>46162</v>
      </c>
      <c r="K454" s="5">
        <v>46162</v>
      </c>
      <c r="L454" s="4" t="s">
        <v>79</v>
      </c>
      <c r="M454" s="4" t="s">
        <v>146</v>
      </c>
      <c r="N454" s="4" t="s">
        <v>17</v>
      </c>
      <c r="O454" s="4" t="s">
        <v>24</v>
      </c>
      <c r="P454" s="4">
        <v>29279</v>
      </c>
      <c r="Q454" s="4" t="s">
        <v>19</v>
      </c>
      <c r="R454" s="4">
        <v>42340</v>
      </c>
      <c r="S454" s="4" t="str">
        <f>VLOOKUP(L454&amp;TEXT(I454,"mmmm")&amp;YEAR(I454),'[1]Detalle C-Fecha'!$D$2:$E$15921,2,FALSE)</f>
        <v>CENCOMLD - Cencosud SA - Mendoza</v>
      </c>
    </row>
    <row r="455" spans="1:19" x14ac:dyDescent="0.3">
      <c r="A455" s="4">
        <v>34646</v>
      </c>
      <c r="B455" s="4" t="s">
        <v>28</v>
      </c>
      <c r="C455" s="4" t="s">
        <v>15</v>
      </c>
      <c r="D455" s="4" t="s">
        <v>16</v>
      </c>
      <c r="E455" s="4" t="s">
        <v>35</v>
      </c>
      <c r="F455" s="4" t="str">
        <f t="shared" si="7"/>
        <v>2ML</v>
      </c>
      <c r="G455" s="5">
        <v>46164</v>
      </c>
      <c r="H455" s="6">
        <v>0.6020833333333333</v>
      </c>
      <c r="I455" s="5">
        <v>46155</v>
      </c>
      <c r="J455" s="5">
        <v>46155</v>
      </c>
      <c r="K455" s="5">
        <v>46155</v>
      </c>
      <c r="L455" s="4" t="s">
        <v>240</v>
      </c>
      <c r="M455" s="4" t="s">
        <v>142</v>
      </c>
      <c r="N455" s="4" t="s">
        <v>31</v>
      </c>
      <c r="O455" s="4" t="s">
        <v>25</v>
      </c>
      <c r="P455" s="4">
        <v>29312</v>
      </c>
      <c r="Q455" s="4" t="s">
        <v>19</v>
      </c>
      <c r="R455" s="4">
        <v>42332</v>
      </c>
      <c r="S455" s="4" t="str">
        <f>VLOOKUP(L455&amp;TEXT(I455,"mmmm")&amp;YEAR(I455),'[1]Detalle C-Fecha'!$D$2:$E$15921,2,FALSE)</f>
        <v>Expreso - Servicios Troncales</v>
      </c>
    </row>
    <row r="456" spans="1:19" x14ac:dyDescent="0.3">
      <c r="A456" s="4">
        <v>34647</v>
      </c>
      <c r="B456" s="4" t="s">
        <v>28</v>
      </c>
      <c r="C456" s="4" t="s">
        <v>15</v>
      </c>
      <c r="D456" s="4" t="s">
        <v>16</v>
      </c>
      <c r="E456" s="4" t="s">
        <v>47</v>
      </c>
      <c r="F456" s="4" t="str">
        <f t="shared" si="7"/>
        <v>3ML</v>
      </c>
      <c r="G456" s="5">
        <v>46164</v>
      </c>
      <c r="H456" s="6">
        <v>0.6020833333333333</v>
      </c>
      <c r="I456" s="5">
        <v>46164</v>
      </c>
      <c r="J456" s="5">
        <v>46164</v>
      </c>
      <c r="K456" s="5">
        <v>46164</v>
      </c>
      <c r="L456" s="4" t="s">
        <v>240</v>
      </c>
      <c r="M456" s="4" t="s">
        <v>142</v>
      </c>
      <c r="N456" s="4" t="s">
        <v>31</v>
      </c>
      <c r="O456" s="4" t="s">
        <v>25</v>
      </c>
      <c r="P456" s="4">
        <v>29313</v>
      </c>
      <c r="Q456" s="4" t="s">
        <v>19</v>
      </c>
      <c r="R456" s="4">
        <v>42334</v>
      </c>
      <c r="S456" s="4" t="str">
        <f>VLOOKUP(L456&amp;TEXT(I456,"mmmm")&amp;YEAR(I456),'[1]Detalle C-Fecha'!$D$2:$E$15921,2,FALSE)</f>
        <v>Expreso - Servicios Troncales</v>
      </c>
    </row>
    <row r="457" spans="1:19" x14ac:dyDescent="0.3">
      <c r="A457" s="4">
        <v>34648</v>
      </c>
      <c r="B457" s="4" t="s">
        <v>28</v>
      </c>
      <c r="C457" s="4" t="s">
        <v>15</v>
      </c>
      <c r="D457" s="4" t="s">
        <v>16</v>
      </c>
      <c r="E457" s="4" t="s">
        <v>137</v>
      </c>
      <c r="F457" s="4" t="str">
        <f t="shared" si="7"/>
        <v>7ML</v>
      </c>
      <c r="G457" s="5">
        <v>46164</v>
      </c>
      <c r="H457" s="6">
        <v>0.6020833333333333</v>
      </c>
      <c r="I457" s="5">
        <v>46155</v>
      </c>
      <c r="J457" s="5">
        <v>46155</v>
      </c>
      <c r="K457" s="5">
        <v>46155</v>
      </c>
      <c r="L457" s="4" t="s">
        <v>240</v>
      </c>
      <c r="M457" s="4" t="s">
        <v>142</v>
      </c>
      <c r="N457" s="4" t="s">
        <v>31</v>
      </c>
      <c r="O457" s="4" t="s">
        <v>25</v>
      </c>
      <c r="P457" s="4">
        <v>29314</v>
      </c>
      <c r="Q457" s="4" t="s">
        <v>19</v>
      </c>
      <c r="R457" s="4">
        <v>42341</v>
      </c>
      <c r="S457" s="4" t="str">
        <f>VLOOKUP(L457&amp;TEXT(I457,"mmmm")&amp;YEAR(I457),'[1]Detalle C-Fecha'!$D$2:$E$15921,2,FALSE)</f>
        <v>Expreso - Servicios Troncales</v>
      </c>
    </row>
    <row r="458" spans="1:19" x14ac:dyDescent="0.3">
      <c r="A458" s="4">
        <v>34649</v>
      </c>
      <c r="B458" s="4" t="s">
        <v>28</v>
      </c>
      <c r="C458" s="4" t="s">
        <v>15</v>
      </c>
      <c r="D458" s="4" t="s">
        <v>16</v>
      </c>
      <c r="E458" s="4" t="s">
        <v>46</v>
      </c>
      <c r="F458" s="4" t="str">
        <f t="shared" si="7"/>
        <v>6ML</v>
      </c>
      <c r="G458" s="5">
        <v>46164</v>
      </c>
      <c r="H458" s="6">
        <v>0.6020833333333333</v>
      </c>
      <c r="I458" s="5">
        <v>46164</v>
      </c>
      <c r="J458" s="5">
        <v>46164</v>
      </c>
      <c r="K458" s="5">
        <v>46164</v>
      </c>
      <c r="L458" s="4" t="s">
        <v>240</v>
      </c>
      <c r="M458" s="4" t="s">
        <v>142</v>
      </c>
      <c r="N458" s="4" t="s">
        <v>31</v>
      </c>
      <c r="O458" s="4" t="s">
        <v>25</v>
      </c>
      <c r="P458" s="4">
        <v>29315</v>
      </c>
      <c r="Q458" s="4" t="s">
        <v>19</v>
      </c>
      <c r="R458" s="4">
        <v>42352</v>
      </c>
      <c r="S458" s="4" t="str">
        <f>VLOOKUP(L458&amp;TEXT(I458,"mmmm")&amp;YEAR(I458),'[1]Detalle C-Fecha'!$D$2:$E$15921,2,FALSE)</f>
        <v>Expreso - Servicios Troncales</v>
      </c>
    </row>
    <row r="459" spans="1:19" x14ac:dyDescent="0.3">
      <c r="A459" s="4">
        <v>34760</v>
      </c>
      <c r="B459" s="4" t="s">
        <v>28</v>
      </c>
      <c r="C459" s="4" t="s">
        <v>15</v>
      </c>
      <c r="D459" s="4" t="s">
        <v>16</v>
      </c>
      <c r="E459" s="4" t="s">
        <v>51</v>
      </c>
      <c r="F459" s="4" t="str">
        <f t="shared" si="7"/>
        <v>2MC</v>
      </c>
      <c r="G459" s="5">
        <v>46168</v>
      </c>
      <c r="H459" s="6">
        <v>0.42777777777777781</v>
      </c>
      <c r="I459" s="5">
        <v>46164</v>
      </c>
      <c r="J459" s="5">
        <v>46164</v>
      </c>
      <c r="K459" s="5">
        <v>46164</v>
      </c>
      <c r="L459" s="4" t="s">
        <v>241</v>
      </c>
      <c r="M459" s="4" t="s">
        <v>78</v>
      </c>
      <c r="N459" s="4" t="s">
        <v>17</v>
      </c>
      <c r="O459" s="4" t="s">
        <v>24</v>
      </c>
      <c r="P459" s="4">
        <v>29382</v>
      </c>
      <c r="Q459" s="4" t="s">
        <v>19</v>
      </c>
      <c r="R459" s="4">
        <v>42398</v>
      </c>
      <c r="S459" s="4" t="str">
        <f>VLOOKUP(L459&amp;TEXT(I459,"mmmm")&amp;YEAR(I459),'[1]Detalle C-Fecha'!$D$2:$E$15921,2,FALSE)</f>
        <v>CENCO_MZ - Cencosud SA - Mendoza</v>
      </c>
    </row>
    <row r="460" spans="1:19" x14ac:dyDescent="0.3">
      <c r="A460" s="4">
        <v>34761</v>
      </c>
      <c r="B460" s="4" t="s">
        <v>28</v>
      </c>
      <c r="C460" s="4" t="s">
        <v>15</v>
      </c>
      <c r="D460" s="4" t="s">
        <v>16</v>
      </c>
      <c r="E460" s="4" t="s">
        <v>53</v>
      </c>
      <c r="F460" s="4" t="str">
        <f t="shared" si="7"/>
        <v>3MC</v>
      </c>
      <c r="G460" s="5">
        <v>46168</v>
      </c>
      <c r="H460" s="6">
        <v>0.42777777777777781</v>
      </c>
      <c r="I460" s="5">
        <v>46164</v>
      </c>
      <c r="J460" s="5">
        <v>46164</v>
      </c>
      <c r="K460" s="5">
        <v>46164</v>
      </c>
      <c r="L460" s="4" t="s">
        <v>241</v>
      </c>
      <c r="M460" s="4" t="s">
        <v>78</v>
      </c>
      <c r="N460" s="4" t="s">
        <v>17</v>
      </c>
      <c r="O460" s="4" t="s">
        <v>24</v>
      </c>
      <c r="P460" s="4">
        <v>29383</v>
      </c>
      <c r="Q460" s="4" t="s">
        <v>19</v>
      </c>
      <c r="R460" s="4">
        <v>42400</v>
      </c>
      <c r="S460" s="4" t="str">
        <f>VLOOKUP(L460&amp;TEXT(I460,"mmmm")&amp;YEAR(I460),'[1]Detalle C-Fecha'!$D$2:$E$15921,2,FALSE)</f>
        <v>CENCO_MZ - Cencosud SA - Mendoza</v>
      </c>
    </row>
    <row r="461" spans="1:19" x14ac:dyDescent="0.3">
      <c r="A461" s="4">
        <v>34762</v>
      </c>
      <c r="B461" s="4" t="s">
        <v>28</v>
      </c>
      <c r="C461" s="4" t="s">
        <v>124</v>
      </c>
      <c r="D461" s="4" t="s">
        <v>23</v>
      </c>
      <c r="E461" s="4" t="s">
        <v>52</v>
      </c>
      <c r="F461" s="4" t="str">
        <f t="shared" si="7"/>
        <v>6MC</v>
      </c>
      <c r="G461" s="5">
        <v>46168</v>
      </c>
      <c r="H461" s="6">
        <v>0.42777777777777781</v>
      </c>
      <c r="I461" s="5">
        <v>46164</v>
      </c>
      <c r="L461" s="4" t="s">
        <v>241</v>
      </c>
      <c r="M461" s="4" t="s">
        <v>78</v>
      </c>
      <c r="N461" s="4" t="s">
        <v>17</v>
      </c>
      <c r="O461" s="4" t="s">
        <v>24</v>
      </c>
      <c r="P461" s="4">
        <v>29384</v>
      </c>
      <c r="Q461" s="4" t="s">
        <v>123</v>
      </c>
      <c r="S461" s="4" t="str">
        <f>VLOOKUP(L461&amp;TEXT(I461,"mmmm")&amp;YEAR(I461),'[1]Detalle C-Fecha'!$D$2:$E$15921,2,FALSE)</f>
        <v>CENCO_MZ - Cencosud SA - Mendoza</v>
      </c>
    </row>
    <row r="462" spans="1:19" x14ac:dyDescent="0.3">
      <c r="A462" s="4">
        <v>34763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46168</v>
      </c>
      <c r="H462" s="6">
        <v>0.42777777777777781</v>
      </c>
      <c r="I462" s="5">
        <v>46164</v>
      </c>
      <c r="J462" s="5">
        <v>46164</v>
      </c>
      <c r="K462" s="5">
        <v>46164</v>
      </c>
      <c r="L462" s="4" t="s">
        <v>242</v>
      </c>
      <c r="M462" s="4" t="s">
        <v>78</v>
      </c>
      <c r="N462" s="4" t="s">
        <v>17</v>
      </c>
      <c r="O462" s="4" t="s">
        <v>24</v>
      </c>
      <c r="P462" s="4">
        <v>29385</v>
      </c>
      <c r="Q462" s="4" t="s">
        <v>19</v>
      </c>
      <c r="R462" s="4">
        <v>42402</v>
      </c>
      <c r="S462" s="4" t="str">
        <f>VLOOKUP(L462&amp;TEXT(I462,"mmmm")&amp;YEAR(I462),'[1]Detalle C-Fecha'!$D$2:$E$15921,2,FALSE)</f>
        <v>CENCO_MZ - Cencosud SA - Mendoza</v>
      </c>
    </row>
    <row r="463" spans="1:19" x14ac:dyDescent="0.3">
      <c r="A463" s="4">
        <v>34764</v>
      </c>
      <c r="B463" s="4" t="s">
        <v>28</v>
      </c>
      <c r="C463" s="4" t="s">
        <v>124</v>
      </c>
      <c r="D463" s="4" t="s">
        <v>23</v>
      </c>
      <c r="E463" s="4" t="s">
        <v>53</v>
      </c>
      <c r="F463" s="4" t="str">
        <f t="shared" si="7"/>
        <v>3MC</v>
      </c>
      <c r="G463" s="5">
        <v>46168</v>
      </c>
      <c r="H463" s="6">
        <v>0.42777777777777781</v>
      </c>
      <c r="I463" s="5">
        <v>46164</v>
      </c>
      <c r="L463" s="4" t="s">
        <v>242</v>
      </c>
      <c r="M463" s="4" t="s">
        <v>78</v>
      </c>
      <c r="N463" s="4" t="s">
        <v>17</v>
      </c>
      <c r="O463" s="4" t="s">
        <v>24</v>
      </c>
      <c r="P463" s="4">
        <v>29386</v>
      </c>
      <c r="Q463" s="4" t="s">
        <v>123</v>
      </c>
      <c r="S463" s="4" t="str">
        <f>VLOOKUP(L463&amp;TEXT(I463,"mmmm")&amp;YEAR(I463),'[1]Detalle C-Fecha'!$D$2:$E$15921,2,FALSE)</f>
        <v>CENCO_MZ - Cencosud SA - Mendoza</v>
      </c>
    </row>
    <row r="464" spans="1:19" x14ac:dyDescent="0.3">
      <c r="A464" s="4">
        <v>34765</v>
      </c>
      <c r="B464" s="4" t="s">
        <v>28</v>
      </c>
      <c r="C464" s="4" t="s">
        <v>15</v>
      </c>
      <c r="D464" s="4" t="s">
        <v>16</v>
      </c>
      <c r="E464" s="4" t="s">
        <v>52</v>
      </c>
      <c r="F464" s="4" t="str">
        <f t="shared" si="7"/>
        <v>6MC</v>
      </c>
      <c r="G464" s="5">
        <v>46168</v>
      </c>
      <c r="H464" s="6">
        <v>0.42777777777777781</v>
      </c>
      <c r="I464" s="5">
        <v>46164</v>
      </c>
      <c r="J464" s="5">
        <v>46164</v>
      </c>
      <c r="K464" s="5">
        <v>46164</v>
      </c>
      <c r="L464" s="4" t="s">
        <v>242</v>
      </c>
      <c r="M464" s="4" t="s">
        <v>78</v>
      </c>
      <c r="N464" s="4" t="s">
        <v>17</v>
      </c>
      <c r="O464" s="4" t="s">
        <v>24</v>
      </c>
      <c r="P464" s="4">
        <v>29387</v>
      </c>
      <c r="Q464" s="4" t="s">
        <v>19</v>
      </c>
      <c r="R464" s="4">
        <v>42770</v>
      </c>
      <c r="S464" s="4" t="str">
        <f>VLOOKUP(L464&amp;TEXT(I464,"mmmm")&amp;YEAR(I464),'[1]Detalle C-Fecha'!$D$2:$E$15921,2,FALSE)</f>
        <v>CENCO_MZ - Cencosud SA - Mendoza</v>
      </c>
    </row>
    <row r="465" spans="1:19" x14ac:dyDescent="0.3">
      <c r="A465" s="4">
        <v>34775</v>
      </c>
      <c r="B465" s="4" t="s">
        <v>28</v>
      </c>
      <c r="C465" s="4" t="s">
        <v>15</v>
      </c>
      <c r="D465" s="4" t="s">
        <v>16</v>
      </c>
      <c r="E465" s="4" t="s">
        <v>108</v>
      </c>
      <c r="F465" s="4" t="str">
        <f t="shared" si="7"/>
        <v>2MU</v>
      </c>
      <c r="G465" s="5">
        <v>46168</v>
      </c>
      <c r="H465" s="6">
        <v>0.45833333333333331</v>
      </c>
      <c r="I465" s="5">
        <v>46165</v>
      </c>
      <c r="J465" s="5">
        <v>46165</v>
      </c>
      <c r="K465" s="5">
        <v>46165</v>
      </c>
      <c r="L465" s="4" t="s">
        <v>243</v>
      </c>
      <c r="M465" s="4" t="s">
        <v>161</v>
      </c>
      <c r="N465" s="4" t="s">
        <v>17</v>
      </c>
      <c r="O465" s="4" t="s">
        <v>25</v>
      </c>
      <c r="P465" s="4">
        <v>29394</v>
      </c>
      <c r="Q465" s="4" t="s">
        <v>19</v>
      </c>
      <c r="R465" s="4">
        <v>42418</v>
      </c>
      <c r="S465" s="4" t="str">
        <f>VLOOKUP(L465&amp;TEXT(I465,"mmmm")&amp;YEAR(I465),'[1]Detalle C-Fecha'!$D$2:$E$15921,2,FALSE)</f>
        <v>SUC_MEN - Sucursal Mendoza</v>
      </c>
    </row>
    <row r="466" spans="1:19" x14ac:dyDescent="0.3">
      <c r="A466" s="4">
        <v>34776</v>
      </c>
      <c r="B466" s="4" t="s">
        <v>28</v>
      </c>
      <c r="C466" s="4" t="s">
        <v>15</v>
      </c>
      <c r="D466" s="4" t="s">
        <v>16</v>
      </c>
      <c r="E466" s="4" t="s">
        <v>109</v>
      </c>
      <c r="F466" s="4" t="str">
        <f t="shared" si="7"/>
        <v>3MU</v>
      </c>
      <c r="G466" s="5">
        <v>46168</v>
      </c>
      <c r="H466" s="6">
        <v>0.45833333333333331</v>
      </c>
      <c r="I466" s="5">
        <v>46165</v>
      </c>
      <c r="J466" s="5">
        <v>46165</v>
      </c>
      <c r="K466" s="5">
        <v>46165</v>
      </c>
      <c r="L466" s="4" t="s">
        <v>243</v>
      </c>
      <c r="M466" s="4" t="s">
        <v>161</v>
      </c>
      <c r="N466" s="4" t="s">
        <v>17</v>
      </c>
      <c r="O466" s="4" t="s">
        <v>25</v>
      </c>
      <c r="P466" s="4">
        <v>29396</v>
      </c>
      <c r="Q466" s="4" t="s">
        <v>19</v>
      </c>
      <c r="R466" s="4">
        <v>42420</v>
      </c>
      <c r="S466" s="4" t="str">
        <f>VLOOKUP(L466&amp;TEXT(I466,"mmmm")&amp;YEAR(I466),'[1]Detalle C-Fecha'!$D$2:$E$15921,2,FALSE)</f>
        <v>SUC_MEN - Sucursal Mendoza</v>
      </c>
    </row>
    <row r="467" spans="1:19" x14ac:dyDescent="0.3">
      <c r="A467" s="4">
        <v>34777</v>
      </c>
      <c r="B467" s="4" t="s">
        <v>28</v>
      </c>
      <c r="C467" s="4" t="s">
        <v>15</v>
      </c>
      <c r="D467" s="4" t="s">
        <v>16</v>
      </c>
      <c r="E467" s="4" t="s">
        <v>107</v>
      </c>
      <c r="F467" s="4" t="str">
        <f t="shared" si="7"/>
        <v>4MU</v>
      </c>
      <c r="G467" s="5">
        <v>46168</v>
      </c>
      <c r="H467" s="6">
        <v>0.45833333333333331</v>
      </c>
      <c r="I467" s="5">
        <v>46165</v>
      </c>
      <c r="J467" s="5">
        <v>46165</v>
      </c>
      <c r="K467" s="5">
        <v>46165</v>
      </c>
      <c r="L467" s="4" t="s">
        <v>243</v>
      </c>
      <c r="M467" s="4" t="s">
        <v>161</v>
      </c>
      <c r="N467" s="4" t="s">
        <v>17</v>
      </c>
      <c r="O467" s="4" t="s">
        <v>25</v>
      </c>
      <c r="P467" s="4">
        <v>29398</v>
      </c>
      <c r="Q467" s="4" t="s">
        <v>19</v>
      </c>
      <c r="R467" s="4">
        <v>42422</v>
      </c>
      <c r="S467" s="4" t="str">
        <f>VLOOKUP(L467&amp;TEXT(I467,"mmmm")&amp;YEAR(I467),'[1]Detalle C-Fecha'!$D$2:$E$15921,2,FALSE)</f>
        <v>SUC_MEN - Sucursal Mendoza</v>
      </c>
    </row>
    <row r="468" spans="1:19" x14ac:dyDescent="0.3">
      <c r="A468" s="4">
        <v>34782</v>
      </c>
      <c r="B468" s="4" t="s">
        <v>28</v>
      </c>
      <c r="C468" s="4" t="s">
        <v>15</v>
      </c>
      <c r="D468" s="4" t="s">
        <v>16</v>
      </c>
      <c r="E468" s="4" t="s">
        <v>121</v>
      </c>
      <c r="F468" s="4" t="str">
        <f t="shared" si="7"/>
        <v>2MC</v>
      </c>
      <c r="G468" s="5">
        <v>46168</v>
      </c>
      <c r="H468" s="6">
        <v>0.46319444444444446</v>
      </c>
      <c r="I468" s="5">
        <v>46168</v>
      </c>
      <c r="J468" s="5">
        <v>46199</v>
      </c>
      <c r="K468" s="5">
        <v>46181</v>
      </c>
      <c r="L468" s="4" t="s">
        <v>244</v>
      </c>
      <c r="M468" s="4">
        <v>1624</v>
      </c>
      <c r="N468" s="4" t="s">
        <v>208</v>
      </c>
      <c r="O468" s="4" t="s">
        <v>25</v>
      </c>
      <c r="P468" s="4">
        <v>29401</v>
      </c>
      <c r="Q468" s="4" t="s">
        <v>123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34783</v>
      </c>
      <c r="B469" s="4" t="s">
        <v>28</v>
      </c>
      <c r="C469" s="4" t="s">
        <v>15</v>
      </c>
      <c r="D469" s="4" t="s">
        <v>16</v>
      </c>
      <c r="E469" s="4" t="s">
        <v>53</v>
      </c>
      <c r="F469" s="4" t="str">
        <f t="shared" si="7"/>
        <v>3MC</v>
      </c>
      <c r="G469" s="5">
        <v>46168</v>
      </c>
      <c r="H469" s="6">
        <v>0.46319444444444446</v>
      </c>
      <c r="I469" s="5">
        <v>46168</v>
      </c>
      <c r="J469" s="5">
        <v>46168</v>
      </c>
      <c r="K469" s="5">
        <v>46170</v>
      </c>
      <c r="L469" s="4" t="s">
        <v>244</v>
      </c>
      <c r="M469" s="4">
        <v>1624</v>
      </c>
      <c r="N469" s="4" t="s">
        <v>208</v>
      </c>
      <c r="O469" s="4" t="s">
        <v>25</v>
      </c>
      <c r="P469" s="4">
        <v>29402</v>
      </c>
      <c r="Q469" s="4" t="s">
        <v>123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34784</v>
      </c>
      <c r="B470" s="4" t="s">
        <v>28</v>
      </c>
      <c r="C470" s="4" t="s">
        <v>15</v>
      </c>
      <c r="D470" s="4" t="s">
        <v>16</v>
      </c>
      <c r="E470" s="4" t="s">
        <v>111</v>
      </c>
      <c r="F470" s="4" t="str">
        <f t="shared" si="7"/>
        <v>6MC</v>
      </c>
      <c r="G470" s="5">
        <v>46168</v>
      </c>
      <c r="H470" s="6">
        <v>0.46388888888888885</v>
      </c>
      <c r="I470" s="5">
        <v>46168</v>
      </c>
      <c r="J470" s="5">
        <v>46175</v>
      </c>
      <c r="K470" s="5">
        <v>46175</v>
      </c>
      <c r="L470" s="4" t="s">
        <v>244</v>
      </c>
      <c r="M470" s="4">
        <v>1624</v>
      </c>
      <c r="N470" s="4" t="s">
        <v>208</v>
      </c>
      <c r="O470" s="4" t="s">
        <v>25</v>
      </c>
      <c r="P470" s="4">
        <v>29403</v>
      </c>
      <c r="Q470" s="4" t="s">
        <v>123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34787</v>
      </c>
      <c r="B471" s="4" t="s">
        <v>28</v>
      </c>
      <c r="C471" s="4" t="s">
        <v>15</v>
      </c>
      <c r="D471" s="4" t="s">
        <v>16</v>
      </c>
      <c r="E471" s="4" t="s">
        <v>35</v>
      </c>
      <c r="F471" s="4" t="str">
        <f t="shared" si="7"/>
        <v>2ML</v>
      </c>
      <c r="G471" s="5">
        <v>46168</v>
      </c>
      <c r="H471" s="6">
        <v>0.50277777777777777</v>
      </c>
      <c r="I471" s="5">
        <v>46168</v>
      </c>
      <c r="J471" s="5">
        <v>46168</v>
      </c>
      <c r="K471" s="5">
        <v>46168</v>
      </c>
      <c r="L471" s="4" t="s">
        <v>57</v>
      </c>
      <c r="M471" s="4" t="s">
        <v>126</v>
      </c>
      <c r="N471" s="4" t="s">
        <v>31</v>
      </c>
      <c r="O471" s="4" t="s">
        <v>25</v>
      </c>
      <c r="P471" s="4">
        <v>29406</v>
      </c>
      <c r="Q471" s="4" t="s">
        <v>19</v>
      </c>
      <c r="R471" s="4">
        <v>42384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34788</v>
      </c>
      <c r="B472" s="4" t="s">
        <v>28</v>
      </c>
      <c r="C472" s="4" t="s">
        <v>15</v>
      </c>
      <c r="D472" s="4" t="s">
        <v>16</v>
      </c>
      <c r="E472" s="4" t="s">
        <v>47</v>
      </c>
      <c r="F472" s="4" t="str">
        <f t="shared" si="7"/>
        <v>3ML</v>
      </c>
      <c r="G472" s="5">
        <v>46168</v>
      </c>
      <c r="H472" s="6">
        <v>0.50277777777777777</v>
      </c>
      <c r="I472" s="5">
        <v>46168</v>
      </c>
      <c r="J472" s="5">
        <v>46168</v>
      </c>
      <c r="K472" s="5">
        <v>46168</v>
      </c>
      <c r="L472" s="4" t="s">
        <v>57</v>
      </c>
      <c r="M472" s="4" t="s">
        <v>126</v>
      </c>
      <c r="N472" s="4" t="s">
        <v>31</v>
      </c>
      <c r="O472" s="4" t="s">
        <v>25</v>
      </c>
      <c r="P472" s="4">
        <v>29407</v>
      </c>
      <c r="Q472" s="4" t="s">
        <v>19</v>
      </c>
      <c r="R472" s="4">
        <v>42386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34789</v>
      </c>
      <c r="B473" s="4" t="s">
        <v>28</v>
      </c>
      <c r="C473" s="4" t="s">
        <v>15</v>
      </c>
      <c r="D473" s="4" t="s">
        <v>16</v>
      </c>
      <c r="E473" s="4" t="s">
        <v>46</v>
      </c>
      <c r="F473" s="4" t="str">
        <f t="shared" si="7"/>
        <v>6ML</v>
      </c>
      <c r="G473" s="5">
        <v>46168</v>
      </c>
      <c r="H473" s="6">
        <v>0.50277777777777777</v>
      </c>
      <c r="I473" s="5">
        <v>46168</v>
      </c>
      <c r="J473" s="5">
        <v>46168</v>
      </c>
      <c r="K473" s="5">
        <v>46168</v>
      </c>
      <c r="L473" s="4" t="s">
        <v>57</v>
      </c>
      <c r="M473" s="4" t="s">
        <v>126</v>
      </c>
      <c r="N473" s="4" t="s">
        <v>31</v>
      </c>
      <c r="O473" s="4" t="s">
        <v>25</v>
      </c>
      <c r="P473" s="4">
        <v>29408</v>
      </c>
      <c r="Q473" s="4" t="s">
        <v>19</v>
      </c>
      <c r="R473" s="4">
        <v>42387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34790</v>
      </c>
      <c r="B474" s="4" t="s">
        <v>28</v>
      </c>
      <c r="C474" s="4" t="s">
        <v>15</v>
      </c>
      <c r="D474" s="4" t="s">
        <v>16</v>
      </c>
      <c r="E474" s="4" t="s">
        <v>137</v>
      </c>
      <c r="F474" s="4" t="str">
        <f t="shared" si="7"/>
        <v>7ML</v>
      </c>
      <c r="G474" s="5">
        <v>46168</v>
      </c>
      <c r="H474" s="6">
        <v>0.50277777777777777</v>
      </c>
      <c r="I474" s="5">
        <v>46168</v>
      </c>
      <c r="J474" s="5">
        <v>46168</v>
      </c>
      <c r="K474" s="5">
        <v>46168</v>
      </c>
      <c r="L474" s="4" t="s">
        <v>57</v>
      </c>
      <c r="M474" s="4" t="s">
        <v>126</v>
      </c>
      <c r="N474" s="4" t="s">
        <v>31</v>
      </c>
      <c r="O474" s="4" t="s">
        <v>25</v>
      </c>
      <c r="P474" s="4">
        <v>29409</v>
      </c>
      <c r="Q474" s="4" t="s">
        <v>19</v>
      </c>
      <c r="R474" s="4">
        <v>42390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34794</v>
      </c>
      <c r="B475" s="4" t="s">
        <v>28</v>
      </c>
      <c r="C475" s="4" t="s">
        <v>15</v>
      </c>
      <c r="D475" s="4" t="s">
        <v>16</v>
      </c>
      <c r="E475" s="4" t="s">
        <v>51</v>
      </c>
      <c r="F475" s="4" t="str">
        <f t="shared" si="7"/>
        <v>2MC</v>
      </c>
      <c r="G475" s="5">
        <v>46168</v>
      </c>
      <c r="H475" s="6">
        <v>0.6118055555555556</v>
      </c>
      <c r="I475" s="5">
        <v>46144</v>
      </c>
      <c r="J475" s="5">
        <v>46144</v>
      </c>
      <c r="K475" s="5">
        <v>46144</v>
      </c>
      <c r="L475" s="4" t="s">
        <v>245</v>
      </c>
      <c r="M475" s="4" t="s">
        <v>163</v>
      </c>
      <c r="N475" s="4" t="s">
        <v>31</v>
      </c>
      <c r="O475" s="4" t="s">
        <v>24</v>
      </c>
      <c r="P475" s="4">
        <v>29414</v>
      </c>
      <c r="Q475" s="4" t="s">
        <v>19</v>
      </c>
      <c r="R475" s="4">
        <v>42393</v>
      </c>
      <c r="S475" s="4" t="str">
        <f>VLOOKUP(L475&amp;TEXT(I475,"mmmm")&amp;YEAR(I475),'[1]Detalle C-Fecha'!$D$2:$E$15921,2,FALSE)</f>
        <v>CENCOMLD - Cencosud SA - Mendoza</v>
      </c>
    </row>
    <row r="476" spans="1:19" x14ac:dyDescent="0.3">
      <c r="A476" s="4">
        <v>34795</v>
      </c>
      <c r="B476" s="4" t="s">
        <v>28</v>
      </c>
      <c r="C476" s="4" t="s">
        <v>15</v>
      </c>
      <c r="D476" s="4" t="s">
        <v>16</v>
      </c>
      <c r="E476" s="4" t="s">
        <v>53</v>
      </c>
      <c r="F476" s="4" t="str">
        <f t="shared" si="7"/>
        <v>3MC</v>
      </c>
      <c r="G476" s="5">
        <v>46168</v>
      </c>
      <c r="H476" s="6">
        <v>0.6118055555555556</v>
      </c>
      <c r="I476" s="5">
        <v>46168</v>
      </c>
      <c r="J476" s="5">
        <v>46168</v>
      </c>
      <c r="K476" s="5">
        <v>46168</v>
      </c>
      <c r="L476" s="4" t="s">
        <v>245</v>
      </c>
      <c r="M476" s="4" t="s">
        <v>163</v>
      </c>
      <c r="N476" s="4" t="s">
        <v>31</v>
      </c>
      <c r="O476" s="4" t="s">
        <v>24</v>
      </c>
      <c r="P476" s="4">
        <v>29413</v>
      </c>
      <c r="Q476" s="4" t="s">
        <v>19</v>
      </c>
      <c r="R476" s="4">
        <v>42392</v>
      </c>
      <c r="S476" s="4" t="str">
        <f>VLOOKUP(L476&amp;TEXT(I476,"mmmm")&amp;YEAR(I476),'[1]Detalle C-Fecha'!$D$2:$E$15921,2,FALSE)</f>
        <v>CENCOMLD - Cencosud SA - Mendoza</v>
      </c>
    </row>
    <row r="477" spans="1:19" x14ac:dyDescent="0.3">
      <c r="A477" s="4">
        <v>34804</v>
      </c>
      <c r="B477" s="4" t="s">
        <v>28</v>
      </c>
      <c r="C477" s="4" t="s">
        <v>15</v>
      </c>
      <c r="D477" s="4" t="s">
        <v>16</v>
      </c>
      <c r="E477" s="4" t="s">
        <v>113</v>
      </c>
      <c r="F477" s="4" t="str">
        <f t="shared" si="7"/>
        <v>2MC</v>
      </c>
      <c r="G477" s="5">
        <v>46168</v>
      </c>
      <c r="H477" s="6">
        <v>0.7055555555555556</v>
      </c>
      <c r="I477" s="5">
        <v>46168</v>
      </c>
      <c r="J477" s="5">
        <v>46168</v>
      </c>
      <c r="K477" s="5">
        <v>46170</v>
      </c>
      <c r="L477" s="4" t="s">
        <v>246</v>
      </c>
      <c r="M477" s="4" t="s">
        <v>128</v>
      </c>
      <c r="N477" s="4" t="s">
        <v>208</v>
      </c>
      <c r="O477" s="4" t="s">
        <v>18</v>
      </c>
      <c r="P477" s="4">
        <v>29422</v>
      </c>
      <c r="Q477" s="4" t="s">
        <v>123</v>
      </c>
      <c r="S477" s="4" t="str">
        <f>VLOOKUP(L477&amp;TEXT(I477,"mmmm")&amp;YEAR(I477),'[1]Detalle C-Fecha'!$D$2:$E$15921,2,FALSE)</f>
        <v>CMQ_TTE - QUILMES TTE</v>
      </c>
    </row>
    <row r="478" spans="1:19" x14ac:dyDescent="0.3">
      <c r="A478" s="4">
        <v>34805</v>
      </c>
      <c r="B478" s="4" t="s">
        <v>28</v>
      </c>
      <c r="C478" s="4" t="s">
        <v>15</v>
      </c>
      <c r="D478" s="4" t="s">
        <v>16</v>
      </c>
      <c r="E478" s="4" t="s">
        <v>122</v>
      </c>
      <c r="F478" s="4" t="str">
        <f t="shared" si="7"/>
        <v>3MC</v>
      </c>
      <c r="G478" s="5">
        <v>46168</v>
      </c>
      <c r="H478" s="6">
        <v>0.7055555555555556</v>
      </c>
      <c r="I478" s="5">
        <v>46168</v>
      </c>
      <c r="J478" s="5">
        <v>46168</v>
      </c>
      <c r="K478" s="5">
        <v>46170</v>
      </c>
      <c r="L478" s="4" t="s">
        <v>246</v>
      </c>
      <c r="M478" s="4" t="s">
        <v>128</v>
      </c>
      <c r="N478" s="4" t="s">
        <v>208</v>
      </c>
      <c r="O478" s="4" t="s">
        <v>18</v>
      </c>
      <c r="P478" s="4">
        <v>29421</v>
      </c>
      <c r="Q478" s="4" t="s">
        <v>123</v>
      </c>
      <c r="S478" s="4" t="str">
        <f>VLOOKUP(L478&amp;TEXT(I478,"mmmm")&amp;YEAR(I478),'[1]Detalle C-Fecha'!$D$2:$E$15921,2,FALSE)</f>
        <v>CMQ_TTE - QUILMES TTE</v>
      </c>
    </row>
    <row r="479" spans="1:19" x14ac:dyDescent="0.3">
      <c r="A479" s="4">
        <v>34806</v>
      </c>
      <c r="B479" s="4" t="s">
        <v>28</v>
      </c>
      <c r="C479" s="4" t="s">
        <v>15</v>
      </c>
      <c r="D479" s="4" t="s">
        <v>16</v>
      </c>
      <c r="E479" s="4" t="s">
        <v>114</v>
      </c>
      <c r="F479" s="4" t="str">
        <f t="shared" si="7"/>
        <v>6MC</v>
      </c>
      <c r="G479" s="5">
        <v>46168</v>
      </c>
      <c r="H479" s="6">
        <v>0.7055555555555556</v>
      </c>
      <c r="I479" s="5">
        <v>46168</v>
      </c>
      <c r="J479" s="5">
        <v>46168</v>
      </c>
      <c r="K479" s="5">
        <v>46170</v>
      </c>
      <c r="L479" s="4" t="s">
        <v>246</v>
      </c>
      <c r="M479" s="4" t="s">
        <v>128</v>
      </c>
      <c r="N479" s="4" t="s">
        <v>208</v>
      </c>
      <c r="O479" s="4" t="s">
        <v>18</v>
      </c>
      <c r="P479" s="4">
        <v>29420</v>
      </c>
      <c r="Q479" s="4" t="s">
        <v>123</v>
      </c>
      <c r="S479" s="4" t="str">
        <f>VLOOKUP(L479&amp;TEXT(I479,"mmmm")&amp;YEAR(I479),'[1]Detalle C-Fecha'!$D$2:$E$15921,2,FALSE)</f>
        <v>CMQ_TTE - QUILMES TTE</v>
      </c>
    </row>
    <row r="480" spans="1:19" x14ac:dyDescent="0.3">
      <c r="A480" s="4">
        <v>34817</v>
      </c>
      <c r="B480" s="4" t="s">
        <v>28</v>
      </c>
      <c r="C480" s="4" t="s">
        <v>15</v>
      </c>
      <c r="D480" s="4" t="s">
        <v>16</v>
      </c>
      <c r="E480" s="4" t="s">
        <v>51</v>
      </c>
      <c r="F480" s="4" t="str">
        <f t="shared" si="7"/>
        <v>2MC</v>
      </c>
      <c r="G480" s="5">
        <v>46169</v>
      </c>
      <c r="H480" s="6">
        <v>0.39513888888888887</v>
      </c>
      <c r="I480" s="5">
        <v>46168</v>
      </c>
      <c r="J480" s="5">
        <v>46168</v>
      </c>
      <c r="K480" s="5">
        <v>46168</v>
      </c>
      <c r="L480" s="4" t="s">
        <v>247</v>
      </c>
      <c r="M480" s="4">
        <v>1624</v>
      </c>
      <c r="N480" s="4" t="s">
        <v>17</v>
      </c>
      <c r="O480" s="4" t="s">
        <v>24</v>
      </c>
      <c r="P480" s="4">
        <v>29429</v>
      </c>
      <c r="Q480" s="4" t="s">
        <v>19</v>
      </c>
      <c r="R480" s="4">
        <v>42446</v>
      </c>
      <c r="S480" s="4" t="str">
        <f>VLOOKUP(L480&amp;TEXT(I480,"mmmm")&amp;YEAR(I480),'[1]Detalle C-Fecha'!$D$2:$E$15921,2,FALSE)</f>
        <v>CENCO_MZ - Cencosud SA - Mendoza</v>
      </c>
    </row>
    <row r="481" spans="1:19" x14ac:dyDescent="0.3">
      <c r="A481" s="4">
        <v>34818</v>
      </c>
      <c r="B481" s="4" t="s">
        <v>28</v>
      </c>
      <c r="C481" s="4" t="s">
        <v>15</v>
      </c>
      <c r="D481" s="4" t="s">
        <v>16</v>
      </c>
      <c r="E481" s="4" t="s">
        <v>53</v>
      </c>
      <c r="F481" s="4" t="str">
        <f t="shared" si="7"/>
        <v>3MC</v>
      </c>
      <c r="G481" s="5">
        <v>46169</v>
      </c>
      <c r="H481" s="6">
        <v>0.39513888888888887</v>
      </c>
      <c r="I481" s="5">
        <v>46168</v>
      </c>
      <c r="J481" s="5">
        <v>46168</v>
      </c>
      <c r="K481" s="5">
        <v>46168</v>
      </c>
      <c r="L481" s="4" t="s">
        <v>247</v>
      </c>
      <c r="M481" s="4">
        <v>1624</v>
      </c>
      <c r="N481" s="4" t="s">
        <v>17</v>
      </c>
      <c r="O481" s="4" t="s">
        <v>24</v>
      </c>
      <c r="P481" s="4">
        <v>29430</v>
      </c>
      <c r="Q481" s="4" t="s">
        <v>19</v>
      </c>
      <c r="R481" s="4">
        <v>42768</v>
      </c>
      <c r="S481" s="4" t="str">
        <f>VLOOKUP(L481&amp;TEXT(I481,"mmmm")&amp;YEAR(I481),'[1]Detalle C-Fecha'!$D$2:$E$15921,2,FALSE)</f>
        <v>CENCO_MZ - Cencosud SA - Mendoza</v>
      </c>
    </row>
    <row r="482" spans="1:19" x14ac:dyDescent="0.3">
      <c r="A482" s="4">
        <v>34819</v>
      </c>
      <c r="B482" s="4" t="s">
        <v>28</v>
      </c>
      <c r="C482" s="4" t="s">
        <v>15</v>
      </c>
      <c r="D482" s="4" t="s">
        <v>16</v>
      </c>
      <c r="E482" s="4" t="s">
        <v>52</v>
      </c>
      <c r="F482" s="4" t="str">
        <f t="shared" si="7"/>
        <v>6MC</v>
      </c>
      <c r="G482" s="5">
        <v>46169</v>
      </c>
      <c r="H482" s="6">
        <v>0.39513888888888887</v>
      </c>
      <c r="I482" s="5">
        <v>46168</v>
      </c>
      <c r="J482" s="5">
        <v>46168</v>
      </c>
      <c r="K482" s="5">
        <v>46168</v>
      </c>
      <c r="L482" s="4" t="s">
        <v>247</v>
      </c>
      <c r="M482" s="4">
        <v>1624</v>
      </c>
      <c r="N482" s="4" t="s">
        <v>17</v>
      </c>
      <c r="O482" s="4" t="s">
        <v>24</v>
      </c>
      <c r="P482" s="4">
        <v>29431</v>
      </c>
      <c r="Q482" s="4" t="s">
        <v>19</v>
      </c>
      <c r="R482" s="4">
        <v>42448</v>
      </c>
      <c r="S482" s="4" t="str">
        <f>VLOOKUP(L482&amp;TEXT(I482,"mmmm")&amp;YEAR(I482),'[1]Detalle C-Fecha'!$D$2:$E$15921,2,FALSE)</f>
        <v>CENCO_MZ - Cencosud SA - Mendoza</v>
      </c>
    </row>
    <row r="483" spans="1:19" x14ac:dyDescent="0.3">
      <c r="A483" s="4">
        <v>34821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46169</v>
      </c>
      <c r="H483" s="6">
        <v>0.39513888888888887</v>
      </c>
      <c r="I483" s="5">
        <v>46168</v>
      </c>
      <c r="J483" s="5">
        <v>46168</v>
      </c>
      <c r="K483" s="5">
        <v>46168</v>
      </c>
      <c r="L483" s="4" t="s">
        <v>248</v>
      </c>
      <c r="M483" s="4" t="s">
        <v>163</v>
      </c>
      <c r="N483" s="4" t="s">
        <v>17</v>
      </c>
      <c r="O483" s="4" t="s">
        <v>24</v>
      </c>
      <c r="P483" s="4">
        <v>29433</v>
      </c>
      <c r="Q483" s="4" t="s">
        <v>19</v>
      </c>
      <c r="R483" s="4">
        <v>42450</v>
      </c>
      <c r="S483" s="4" t="str">
        <f>VLOOKUP(L483&amp;TEXT(I483,"mmmm")&amp;YEAR(I483),'[1]Detalle C-Fecha'!$D$2:$E$15921,2,FALSE)</f>
        <v>CENCO_MZ - Cencosud SA - Mendoza</v>
      </c>
    </row>
    <row r="484" spans="1:19" x14ac:dyDescent="0.3">
      <c r="A484" s="4">
        <v>34822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46169</v>
      </c>
      <c r="H484" s="6">
        <v>0.39513888888888887</v>
      </c>
      <c r="I484" s="5">
        <v>46168</v>
      </c>
      <c r="J484" s="5">
        <v>46168</v>
      </c>
      <c r="K484" s="5">
        <v>46168</v>
      </c>
      <c r="L484" s="4" t="s">
        <v>248</v>
      </c>
      <c r="M484" s="4" t="s">
        <v>163</v>
      </c>
      <c r="N484" s="4" t="s">
        <v>17</v>
      </c>
      <c r="O484" s="4" t="s">
        <v>24</v>
      </c>
      <c r="P484" s="4">
        <v>29434</v>
      </c>
      <c r="Q484" s="4" t="s">
        <v>19</v>
      </c>
      <c r="R484" s="4">
        <v>42452</v>
      </c>
      <c r="S484" s="4" t="str">
        <f>VLOOKUP(L484&amp;TEXT(I484,"mmmm")&amp;YEAR(I484),'[1]Detalle C-Fecha'!$D$2:$E$15921,2,FALSE)</f>
        <v>CENCO_MZ - Cencosud SA - Mendoza</v>
      </c>
    </row>
    <row r="485" spans="1:19" x14ac:dyDescent="0.3">
      <c r="A485" s="4">
        <v>34823</v>
      </c>
      <c r="B485" s="4" t="s">
        <v>28</v>
      </c>
      <c r="C485" s="4" t="s">
        <v>15</v>
      </c>
      <c r="D485" s="4" t="s">
        <v>16</v>
      </c>
      <c r="E485" s="4" t="s">
        <v>52</v>
      </c>
      <c r="F485" s="4" t="str">
        <f t="shared" si="7"/>
        <v>6MC</v>
      </c>
      <c r="G485" s="5">
        <v>46169</v>
      </c>
      <c r="H485" s="6">
        <v>0.39513888888888887</v>
      </c>
      <c r="I485" s="5">
        <v>46168</v>
      </c>
      <c r="J485" s="5">
        <v>46168</v>
      </c>
      <c r="K485" s="5">
        <v>46168</v>
      </c>
      <c r="L485" s="4" t="s">
        <v>248</v>
      </c>
      <c r="M485" s="4" t="s">
        <v>163</v>
      </c>
      <c r="N485" s="4" t="s">
        <v>17</v>
      </c>
      <c r="O485" s="4" t="s">
        <v>24</v>
      </c>
      <c r="P485" s="4">
        <v>29435</v>
      </c>
      <c r="Q485" s="4" t="s">
        <v>19</v>
      </c>
      <c r="R485" s="4">
        <v>42454</v>
      </c>
      <c r="S485" s="4" t="str">
        <f>VLOOKUP(L485&amp;TEXT(I485,"mmmm")&amp;YEAR(I485),'[1]Detalle C-Fecha'!$D$2:$E$15921,2,FALSE)</f>
        <v>CENCO_MZ - Cencosud SA - Mendoza</v>
      </c>
    </row>
    <row r="486" spans="1:19" x14ac:dyDescent="0.3">
      <c r="A486" s="4">
        <v>34835</v>
      </c>
      <c r="B486" s="4" t="s">
        <v>28</v>
      </c>
      <c r="C486" s="4" t="s">
        <v>15</v>
      </c>
      <c r="D486" s="4" t="s">
        <v>16</v>
      </c>
      <c r="E486" s="4" t="s">
        <v>35</v>
      </c>
      <c r="F486" s="4" t="str">
        <f t="shared" si="7"/>
        <v>2ML</v>
      </c>
      <c r="G486" s="5">
        <v>46169</v>
      </c>
      <c r="H486" s="6">
        <v>0.5229166666666667</v>
      </c>
      <c r="I486" s="5">
        <v>46169</v>
      </c>
      <c r="J486" s="5">
        <v>46169</v>
      </c>
      <c r="K486" s="5">
        <v>46169</v>
      </c>
      <c r="L486" s="4" t="s">
        <v>249</v>
      </c>
      <c r="M486" s="4" t="s">
        <v>146</v>
      </c>
      <c r="N486" s="4" t="s">
        <v>208</v>
      </c>
      <c r="O486" s="4" t="s">
        <v>27</v>
      </c>
      <c r="P486" s="4">
        <v>29444</v>
      </c>
      <c r="Q486" s="4" t="s">
        <v>123</v>
      </c>
      <c r="S486" s="4" t="str">
        <f>VLOOKUP(L486&amp;TEXT(I486,"mmmm")&amp;YEAR(I486),'[1]Detalle C-Fecha'!$D$2:$E$15921,2,FALSE)</f>
        <v>Arcor S.A.I.C.</v>
      </c>
    </row>
    <row r="487" spans="1:19" x14ac:dyDescent="0.3">
      <c r="A487" s="4">
        <v>34836</v>
      </c>
      <c r="B487" s="4" t="s">
        <v>28</v>
      </c>
      <c r="C487" s="4" t="s">
        <v>15</v>
      </c>
      <c r="D487" s="4" t="s">
        <v>16</v>
      </c>
      <c r="E487" s="4" t="s">
        <v>47</v>
      </c>
      <c r="F487" s="4" t="str">
        <f t="shared" si="7"/>
        <v>3ML</v>
      </c>
      <c r="G487" s="5">
        <v>46169</v>
      </c>
      <c r="H487" s="6">
        <v>0.5229166666666667</v>
      </c>
      <c r="I487" s="5">
        <v>46169</v>
      </c>
      <c r="J487" s="5">
        <v>46175</v>
      </c>
      <c r="K487" s="5">
        <v>46175</v>
      </c>
      <c r="L487" s="4" t="s">
        <v>249</v>
      </c>
      <c r="M487" s="4" t="s">
        <v>146</v>
      </c>
      <c r="N487" s="4" t="s">
        <v>208</v>
      </c>
      <c r="O487" s="4" t="s">
        <v>27</v>
      </c>
      <c r="P487" s="4">
        <v>29445</v>
      </c>
      <c r="Q487" s="4" t="s">
        <v>123</v>
      </c>
      <c r="S487" s="4" t="str">
        <f>VLOOKUP(L487&amp;TEXT(I487,"mmmm")&amp;YEAR(I487),'[1]Detalle C-Fecha'!$D$2:$E$15921,2,FALSE)</f>
        <v>Arcor S.A.I.C.</v>
      </c>
    </row>
    <row r="488" spans="1:19" x14ac:dyDescent="0.3">
      <c r="A488" s="4">
        <v>34837</v>
      </c>
      <c r="B488" s="4" t="s">
        <v>28</v>
      </c>
      <c r="C488" s="4" t="s">
        <v>15</v>
      </c>
      <c r="D488" s="4" t="s">
        <v>16</v>
      </c>
      <c r="E488" s="4" t="s">
        <v>46</v>
      </c>
      <c r="F488" s="4" t="str">
        <f t="shared" si="7"/>
        <v>6ML</v>
      </c>
      <c r="G488" s="5">
        <v>46169</v>
      </c>
      <c r="H488" s="6">
        <v>0.5229166666666667</v>
      </c>
      <c r="I488" s="5">
        <v>46169</v>
      </c>
      <c r="J488" s="5">
        <v>46175</v>
      </c>
      <c r="K488" s="5">
        <v>46175</v>
      </c>
      <c r="L488" s="4" t="s">
        <v>249</v>
      </c>
      <c r="M488" s="4" t="s">
        <v>146</v>
      </c>
      <c r="N488" s="4" t="s">
        <v>208</v>
      </c>
      <c r="O488" s="4" t="s">
        <v>27</v>
      </c>
      <c r="P488" s="4">
        <v>29446</v>
      </c>
      <c r="Q488" s="4" t="s">
        <v>123</v>
      </c>
      <c r="S488" s="4" t="str">
        <f>VLOOKUP(L488&amp;TEXT(I488,"mmmm")&amp;YEAR(I488),'[1]Detalle C-Fecha'!$D$2:$E$15921,2,FALSE)</f>
        <v>Arcor S.A.I.C.</v>
      </c>
    </row>
    <row r="489" spans="1:19" x14ac:dyDescent="0.3">
      <c r="A489" s="4">
        <v>34882</v>
      </c>
      <c r="B489" s="4" t="s">
        <v>28</v>
      </c>
      <c r="C489" s="4" t="s">
        <v>15</v>
      </c>
      <c r="D489" s="4" t="s">
        <v>16</v>
      </c>
      <c r="E489" s="4" t="s">
        <v>35</v>
      </c>
      <c r="F489" s="4" t="str">
        <f t="shared" si="7"/>
        <v>2ML</v>
      </c>
      <c r="G489" s="5">
        <v>46174</v>
      </c>
      <c r="H489" s="6">
        <v>0.4069444444444445</v>
      </c>
      <c r="I489" s="5">
        <v>46169</v>
      </c>
      <c r="J489" s="5">
        <v>46169</v>
      </c>
      <c r="K489" s="5">
        <v>46169</v>
      </c>
      <c r="L489" s="4" t="s">
        <v>145</v>
      </c>
      <c r="M489" s="4" t="s">
        <v>146</v>
      </c>
      <c r="N489" s="4" t="s">
        <v>17</v>
      </c>
      <c r="O489" s="4" t="s">
        <v>24</v>
      </c>
      <c r="P489" s="4">
        <v>29492</v>
      </c>
      <c r="Q489" s="4" t="s">
        <v>19</v>
      </c>
      <c r="R489" s="4">
        <v>43003</v>
      </c>
      <c r="S489" s="4" t="str">
        <f>VLOOKUP(L489&amp;TEXT(I489,"mmmm")&amp;YEAR(I489),'[1]Detalle C-Fecha'!$D$2:$E$15921,2,FALSE)</f>
        <v>CENCOMLD - Cencosud SA - Mendoza</v>
      </c>
    </row>
    <row r="490" spans="1:19" x14ac:dyDescent="0.3">
      <c r="A490" s="4">
        <v>34883</v>
      </c>
      <c r="B490" s="4" t="s">
        <v>28</v>
      </c>
      <c r="C490" s="4" t="s">
        <v>15</v>
      </c>
      <c r="D490" s="4" t="s">
        <v>16</v>
      </c>
      <c r="E490" s="4" t="s">
        <v>47</v>
      </c>
      <c r="F490" s="4" t="str">
        <f t="shared" si="7"/>
        <v>3ML</v>
      </c>
      <c r="G490" s="5">
        <v>46174</v>
      </c>
      <c r="H490" s="6">
        <v>0.4069444444444445</v>
      </c>
      <c r="I490" s="5">
        <v>46169</v>
      </c>
      <c r="J490" s="5">
        <v>46169</v>
      </c>
      <c r="K490" s="5">
        <v>46169</v>
      </c>
      <c r="L490" s="4" t="s">
        <v>145</v>
      </c>
      <c r="M490" s="4" t="s">
        <v>146</v>
      </c>
      <c r="N490" s="4" t="s">
        <v>17</v>
      </c>
      <c r="O490" s="4" t="s">
        <v>24</v>
      </c>
      <c r="P490" s="4">
        <v>29493</v>
      </c>
      <c r="Q490" s="4" t="s">
        <v>19</v>
      </c>
      <c r="R490" s="4">
        <v>43001</v>
      </c>
      <c r="S490" s="4" t="str">
        <f>VLOOKUP(L490&amp;TEXT(I490,"mmmm")&amp;YEAR(I490),'[1]Detalle C-Fecha'!$D$2:$E$15921,2,FALSE)</f>
        <v>CENCOMLD - Cencosud SA - Mendoza</v>
      </c>
    </row>
    <row r="491" spans="1:19" x14ac:dyDescent="0.3">
      <c r="A491" s="4">
        <v>34884</v>
      </c>
      <c r="B491" s="4" t="s">
        <v>28</v>
      </c>
      <c r="C491" s="4" t="s">
        <v>15</v>
      </c>
      <c r="D491" s="4" t="s">
        <v>16</v>
      </c>
      <c r="E491" s="4" t="s">
        <v>46</v>
      </c>
      <c r="F491" s="4" t="str">
        <f t="shared" si="7"/>
        <v>6ML</v>
      </c>
      <c r="G491" s="5">
        <v>46174</v>
      </c>
      <c r="H491" s="6">
        <v>0.4069444444444445</v>
      </c>
      <c r="I491" s="5">
        <v>46169</v>
      </c>
      <c r="J491" s="5">
        <v>46169</v>
      </c>
      <c r="K491" s="5">
        <v>46169</v>
      </c>
      <c r="L491" s="4" t="s">
        <v>145</v>
      </c>
      <c r="M491" s="4" t="s">
        <v>146</v>
      </c>
      <c r="N491" s="4" t="s">
        <v>17</v>
      </c>
      <c r="O491" s="4" t="s">
        <v>24</v>
      </c>
      <c r="P491" s="4">
        <v>29494</v>
      </c>
      <c r="Q491" s="4" t="s">
        <v>19</v>
      </c>
      <c r="R491" s="4">
        <v>42999</v>
      </c>
      <c r="S491" s="4" t="str">
        <f>VLOOKUP(L491&amp;TEXT(I491,"mmmm")&amp;YEAR(I491),'[1]Detalle C-Fecha'!$D$2:$E$15921,2,FALSE)</f>
        <v>CENCOMLD - Cencosud SA - Mendoza</v>
      </c>
    </row>
    <row r="492" spans="1:19" x14ac:dyDescent="0.3">
      <c r="A492" s="4">
        <v>35068</v>
      </c>
      <c r="B492" s="4" t="s">
        <v>28</v>
      </c>
      <c r="C492" s="4" t="s">
        <v>124</v>
      </c>
      <c r="D492" s="4" t="s">
        <v>23</v>
      </c>
      <c r="E492" s="4" t="s">
        <v>35</v>
      </c>
      <c r="F492" s="4" t="str">
        <f t="shared" si="7"/>
        <v>2ML</v>
      </c>
      <c r="G492" s="5">
        <v>46175</v>
      </c>
      <c r="H492" s="6">
        <v>0.41597222222222219</v>
      </c>
      <c r="I492" s="5">
        <v>46175</v>
      </c>
      <c r="L492" s="4" t="s">
        <v>91</v>
      </c>
      <c r="M492" s="4" t="s">
        <v>146</v>
      </c>
      <c r="N492" s="4" t="s">
        <v>208</v>
      </c>
      <c r="O492" s="4" t="s">
        <v>24</v>
      </c>
      <c r="P492" s="4">
        <v>29596</v>
      </c>
      <c r="Q492" s="4" t="s">
        <v>123</v>
      </c>
      <c r="S492" s="4" t="str">
        <f>VLOOKUP(L492&amp;TEXT(I492,"mmmm")&amp;YEAR(I492),'[1]Detalle C-Fecha'!$D$2:$E$15921,2,FALSE)</f>
        <v>ADA_CH - Danone Arg. S.A. - Chascomus</v>
      </c>
    </row>
    <row r="493" spans="1:19" x14ac:dyDescent="0.3">
      <c r="A493" s="4">
        <v>35069</v>
      </c>
      <c r="B493" s="4" t="s">
        <v>28</v>
      </c>
      <c r="C493" s="4" t="s">
        <v>124</v>
      </c>
      <c r="D493" s="4" t="s">
        <v>23</v>
      </c>
      <c r="E493" s="4" t="s">
        <v>47</v>
      </c>
      <c r="F493" s="4" t="str">
        <f t="shared" si="7"/>
        <v>3ML</v>
      </c>
      <c r="G493" s="5">
        <v>46175</v>
      </c>
      <c r="H493" s="6">
        <v>0.41597222222222219</v>
      </c>
      <c r="I493" s="5">
        <v>46175</v>
      </c>
      <c r="L493" s="4" t="s">
        <v>91</v>
      </c>
      <c r="M493" s="4" t="s">
        <v>146</v>
      </c>
      <c r="N493" s="4" t="s">
        <v>208</v>
      </c>
      <c r="O493" s="4" t="s">
        <v>24</v>
      </c>
      <c r="P493" s="4">
        <v>29597</v>
      </c>
      <c r="Q493" s="4" t="s">
        <v>123</v>
      </c>
      <c r="S493" s="4" t="str">
        <f>VLOOKUP(L493&amp;TEXT(I493,"mmmm")&amp;YEAR(I493),'[1]Detalle C-Fecha'!$D$2:$E$15921,2,FALSE)</f>
        <v>ADA_CH - Danone Arg. S.A. - Chascomus</v>
      </c>
    </row>
    <row r="494" spans="1:19" x14ac:dyDescent="0.3">
      <c r="A494" s="4">
        <v>35070</v>
      </c>
      <c r="B494" s="4" t="s">
        <v>28</v>
      </c>
      <c r="C494" s="4" t="s">
        <v>124</v>
      </c>
      <c r="D494" s="4" t="s">
        <v>23</v>
      </c>
      <c r="E494" s="4" t="s">
        <v>46</v>
      </c>
      <c r="F494" s="4" t="str">
        <f t="shared" si="7"/>
        <v>6ML</v>
      </c>
      <c r="G494" s="5">
        <v>46175</v>
      </c>
      <c r="H494" s="6">
        <v>0.41597222222222219</v>
      </c>
      <c r="I494" s="5">
        <v>46175</v>
      </c>
      <c r="L494" s="4" t="s">
        <v>91</v>
      </c>
      <c r="M494" s="4" t="s">
        <v>146</v>
      </c>
      <c r="N494" s="4" t="s">
        <v>208</v>
      </c>
      <c r="O494" s="4" t="s">
        <v>24</v>
      </c>
      <c r="P494" s="4">
        <v>29598</v>
      </c>
      <c r="Q494" s="4" t="s">
        <v>123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35085</v>
      </c>
      <c r="B495" s="4" t="s">
        <v>28</v>
      </c>
      <c r="C495" s="4" t="s">
        <v>15</v>
      </c>
      <c r="D495" s="4" t="s">
        <v>16</v>
      </c>
      <c r="E495" s="4" t="s">
        <v>51</v>
      </c>
      <c r="F495" s="4" t="str">
        <f t="shared" si="7"/>
        <v>2MC</v>
      </c>
      <c r="G495" s="5">
        <v>46175</v>
      </c>
      <c r="H495" s="6">
        <v>0.49305555555555558</v>
      </c>
      <c r="I495" s="5">
        <v>46171</v>
      </c>
      <c r="J495" s="5">
        <v>46171</v>
      </c>
      <c r="K495" s="5">
        <v>46171</v>
      </c>
      <c r="L495" s="4" t="s">
        <v>41</v>
      </c>
      <c r="M495" s="4">
        <v>1318</v>
      </c>
      <c r="N495" s="4" t="s">
        <v>17</v>
      </c>
      <c r="O495" s="4" t="s">
        <v>24</v>
      </c>
      <c r="P495" s="4">
        <v>29605</v>
      </c>
      <c r="Q495" s="4" t="s">
        <v>19</v>
      </c>
      <c r="R495" s="4">
        <v>43025</v>
      </c>
      <c r="S495" s="4" t="str">
        <f>VLOOKUP(L495&amp;TEXT(I495,"mmmm")&amp;YEAR(I495),'[1]Detalle C-Fecha'!$D$2:$E$15921,2,FALSE)</f>
        <v>CENCO_MZ - Cencosud SA - Mendoza</v>
      </c>
    </row>
    <row r="496" spans="1:19" x14ac:dyDescent="0.3">
      <c r="A496" s="4">
        <v>35086</v>
      </c>
      <c r="B496" s="4" t="s">
        <v>28</v>
      </c>
      <c r="C496" s="4" t="s">
        <v>15</v>
      </c>
      <c r="D496" s="4" t="s">
        <v>16</v>
      </c>
      <c r="E496" s="4" t="s">
        <v>53</v>
      </c>
      <c r="F496" s="4" t="str">
        <f t="shared" si="7"/>
        <v>3MC</v>
      </c>
      <c r="G496" s="5">
        <v>46175</v>
      </c>
      <c r="H496" s="6">
        <v>0.49305555555555558</v>
      </c>
      <c r="I496" s="5">
        <v>46171</v>
      </c>
      <c r="J496" s="5">
        <v>46171</v>
      </c>
      <c r="K496" s="5">
        <v>46171</v>
      </c>
      <c r="L496" s="4" t="s">
        <v>41</v>
      </c>
      <c r="M496" s="4">
        <v>1318</v>
      </c>
      <c r="N496" s="4" t="s">
        <v>17</v>
      </c>
      <c r="O496" s="4" t="s">
        <v>24</v>
      </c>
      <c r="P496" s="4">
        <v>29606</v>
      </c>
      <c r="Q496" s="4" t="s">
        <v>19</v>
      </c>
      <c r="R496" s="4">
        <v>43023</v>
      </c>
      <c r="S496" s="4" t="str">
        <f>VLOOKUP(L496&amp;TEXT(I496,"mmmm")&amp;YEAR(I496),'[1]Detalle C-Fecha'!$D$2:$E$15921,2,FALSE)</f>
        <v>CENCO_MZ - Cencosud SA - Mendoza</v>
      </c>
    </row>
    <row r="497" spans="1:19" x14ac:dyDescent="0.3">
      <c r="A497" s="4">
        <v>35087</v>
      </c>
      <c r="B497" s="4" t="s">
        <v>28</v>
      </c>
      <c r="C497" s="4" t="s">
        <v>15</v>
      </c>
      <c r="D497" s="4" t="s">
        <v>16</v>
      </c>
      <c r="E497" s="4" t="s">
        <v>52</v>
      </c>
      <c r="F497" s="4" t="str">
        <f t="shared" si="7"/>
        <v>6MC</v>
      </c>
      <c r="G497" s="5">
        <v>46175</v>
      </c>
      <c r="H497" s="6">
        <v>0.49305555555555558</v>
      </c>
      <c r="I497" s="5">
        <v>46171</v>
      </c>
      <c r="J497" s="5">
        <v>46171</v>
      </c>
      <c r="K497" s="5">
        <v>46171</v>
      </c>
      <c r="L497" s="4" t="s">
        <v>41</v>
      </c>
      <c r="M497" s="4">
        <v>1318</v>
      </c>
      <c r="N497" s="4" t="s">
        <v>17</v>
      </c>
      <c r="O497" s="4" t="s">
        <v>24</v>
      </c>
      <c r="P497" s="4">
        <v>29607</v>
      </c>
      <c r="Q497" s="4" t="s">
        <v>19</v>
      </c>
      <c r="R497" s="4">
        <v>43021</v>
      </c>
      <c r="S497" s="4" t="str">
        <f>VLOOKUP(L497&amp;TEXT(I497,"mmmm")&amp;YEAR(I497),'[1]Detalle C-Fecha'!$D$2:$E$15921,2,FALSE)</f>
        <v>CENCO_MZ - Cencosud SA - Mendoza</v>
      </c>
    </row>
    <row r="498" spans="1:19" x14ac:dyDescent="0.3">
      <c r="A498" s="4">
        <v>35096</v>
      </c>
      <c r="B498" s="4" t="s">
        <v>28</v>
      </c>
      <c r="C498" s="4" t="s">
        <v>15</v>
      </c>
      <c r="D498" s="4" t="s">
        <v>16</v>
      </c>
      <c r="E498" s="4" t="s">
        <v>51</v>
      </c>
      <c r="F498" s="4" t="str">
        <f t="shared" si="7"/>
        <v>2MC</v>
      </c>
      <c r="G498" s="5">
        <v>46175</v>
      </c>
      <c r="H498" s="6">
        <v>0.53680555555555554</v>
      </c>
      <c r="I498" s="5">
        <v>46172</v>
      </c>
      <c r="J498" s="5">
        <v>46172</v>
      </c>
      <c r="K498" s="5">
        <v>46172</v>
      </c>
      <c r="L498" s="4" t="s">
        <v>250</v>
      </c>
      <c r="M498" s="4">
        <v>1624</v>
      </c>
      <c r="N498" s="4" t="s">
        <v>17</v>
      </c>
      <c r="O498" s="4" t="s">
        <v>25</v>
      </c>
      <c r="P498" s="4">
        <v>29619</v>
      </c>
      <c r="Q498" s="4" t="s">
        <v>19</v>
      </c>
      <c r="R498" s="4">
        <v>43035</v>
      </c>
      <c r="S498" s="4" t="str">
        <f>VLOOKUP(L498&amp;TEXT(I498,"mmmm")&amp;YEAR(I498),'[1]Detalle C-Fecha'!$D$2:$E$15921,2,FALSE)</f>
        <v>SUC_SLU - Sucursal San Luis</v>
      </c>
    </row>
    <row r="499" spans="1:19" x14ac:dyDescent="0.3">
      <c r="A499" s="4">
        <v>35097</v>
      </c>
      <c r="B499" s="4" t="s">
        <v>28</v>
      </c>
      <c r="C499" s="4" t="s">
        <v>15</v>
      </c>
      <c r="D499" s="4" t="s">
        <v>16</v>
      </c>
      <c r="E499" s="4" t="s">
        <v>53</v>
      </c>
      <c r="F499" s="4" t="str">
        <f t="shared" si="7"/>
        <v>3MC</v>
      </c>
      <c r="G499" s="5">
        <v>46175</v>
      </c>
      <c r="H499" s="6">
        <v>0.53680555555555554</v>
      </c>
      <c r="I499" s="5">
        <v>46172</v>
      </c>
      <c r="J499" s="5">
        <v>46172</v>
      </c>
      <c r="K499" s="5">
        <v>46172</v>
      </c>
      <c r="L499" s="4" t="s">
        <v>250</v>
      </c>
      <c r="M499" s="4">
        <v>1624</v>
      </c>
      <c r="N499" s="4" t="s">
        <v>17</v>
      </c>
      <c r="O499" s="4" t="s">
        <v>25</v>
      </c>
      <c r="P499" s="4">
        <v>29618</v>
      </c>
      <c r="Q499" s="4" t="s">
        <v>19</v>
      </c>
      <c r="R499" s="4">
        <v>43037</v>
      </c>
      <c r="S499" s="4" t="str">
        <f>VLOOKUP(L499&amp;TEXT(I499,"mmmm")&amp;YEAR(I499),'[1]Detalle C-Fecha'!$D$2:$E$15921,2,FALSE)</f>
        <v>SUC_SLU - Sucursal San Luis</v>
      </c>
    </row>
    <row r="500" spans="1:19" x14ac:dyDescent="0.3">
      <c r="A500" s="4">
        <v>35098</v>
      </c>
      <c r="B500" s="4" t="s">
        <v>28</v>
      </c>
      <c r="C500" s="4" t="s">
        <v>15</v>
      </c>
      <c r="D500" s="4" t="s">
        <v>16</v>
      </c>
      <c r="E500" s="4" t="s">
        <v>52</v>
      </c>
      <c r="F500" s="4" t="str">
        <f t="shared" si="7"/>
        <v>6MC</v>
      </c>
      <c r="G500" s="5">
        <v>46175</v>
      </c>
      <c r="H500" s="6">
        <v>0.53680555555555554</v>
      </c>
      <c r="I500" s="5">
        <v>46172</v>
      </c>
      <c r="J500" s="5">
        <v>46172</v>
      </c>
      <c r="K500" s="5">
        <v>46172</v>
      </c>
      <c r="L500" s="4" t="s">
        <v>250</v>
      </c>
      <c r="M500" s="4">
        <v>1624</v>
      </c>
      <c r="N500" s="4" t="s">
        <v>17</v>
      </c>
      <c r="O500" s="4" t="s">
        <v>25</v>
      </c>
      <c r="P500" s="4">
        <v>29617</v>
      </c>
      <c r="Q500" s="4" t="s">
        <v>19</v>
      </c>
      <c r="R500" s="4">
        <v>43043</v>
      </c>
      <c r="S500" s="4" t="str">
        <f>VLOOKUP(L500&amp;TEXT(I500,"mmmm")&amp;YEAR(I500),'[1]Detalle C-Fecha'!$D$2:$E$15921,2,FALSE)</f>
        <v>SUC_SLU - Sucursal San Luis</v>
      </c>
    </row>
    <row r="501" spans="1:19" x14ac:dyDescent="0.3">
      <c r="A501" s="4">
        <v>35100</v>
      </c>
      <c r="B501" s="4" t="s">
        <v>28</v>
      </c>
      <c r="C501" s="4" t="s">
        <v>15</v>
      </c>
      <c r="D501" s="4" t="s">
        <v>16</v>
      </c>
      <c r="E501" s="4" t="s">
        <v>51</v>
      </c>
      <c r="F501" s="4" t="str">
        <f t="shared" si="7"/>
        <v>2MC</v>
      </c>
      <c r="G501" s="5">
        <v>46175</v>
      </c>
      <c r="H501" s="6">
        <v>0.53680555555555554</v>
      </c>
      <c r="I501" s="5">
        <v>46172</v>
      </c>
      <c r="J501" s="5">
        <v>46172</v>
      </c>
      <c r="K501" s="5">
        <v>46172</v>
      </c>
      <c r="L501" s="4" t="s">
        <v>252</v>
      </c>
      <c r="M501" s="4">
        <v>1318</v>
      </c>
      <c r="N501" s="4" t="s">
        <v>17</v>
      </c>
      <c r="O501" s="4" t="s">
        <v>24</v>
      </c>
      <c r="P501" s="4">
        <v>29614</v>
      </c>
      <c r="Q501" s="4" t="s">
        <v>19</v>
      </c>
      <c r="R501" s="4">
        <v>43033</v>
      </c>
      <c r="S501" s="4" t="str">
        <f>VLOOKUP(L501&amp;TEXT(I501,"mmmm")&amp;YEAR(I501),'[1]Detalle C-Fecha'!$D$2:$E$15921,2,FALSE)</f>
        <v>CENCO_MZ - Cencosud SA - Mendoza</v>
      </c>
    </row>
    <row r="502" spans="1:19" x14ac:dyDescent="0.3">
      <c r="A502" s="4">
        <v>35101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46175</v>
      </c>
      <c r="H502" s="6">
        <v>0.53680555555555554</v>
      </c>
      <c r="I502" s="5">
        <v>46172</v>
      </c>
      <c r="J502" s="5">
        <v>46172</v>
      </c>
      <c r="K502" s="5">
        <v>46172</v>
      </c>
      <c r="L502" s="4" t="s">
        <v>252</v>
      </c>
      <c r="M502" s="4">
        <v>1318</v>
      </c>
      <c r="N502" s="4" t="s">
        <v>17</v>
      </c>
      <c r="O502" s="4" t="s">
        <v>24</v>
      </c>
      <c r="P502" s="4">
        <v>29615</v>
      </c>
      <c r="Q502" s="4" t="s">
        <v>123</v>
      </c>
      <c r="R502" s="4">
        <v>43031</v>
      </c>
      <c r="S502" s="4" t="str">
        <f>VLOOKUP(L502&amp;TEXT(I502,"mmmm")&amp;YEAR(I502),'[1]Detalle C-Fecha'!$D$2:$E$15921,2,FALSE)</f>
        <v>CENCO_MZ - Cencosud SA - Mendoza</v>
      </c>
    </row>
    <row r="503" spans="1:19" x14ac:dyDescent="0.3">
      <c r="A503" s="4">
        <v>35102</v>
      </c>
      <c r="B503" s="4" t="s">
        <v>28</v>
      </c>
      <c r="C503" s="4" t="s">
        <v>15</v>
      </c>
      <c r="D503" s="4" t="s">
        <v>16</v>
      </c>
      <c r="E503" s="4" t="s">
        <v>52</v>
      </c>
      <c r="F503" s="4" t="str">
        <f t="shared" si="7"/>
        <v>6MC</v>
      </c>
      <c r="G503" s="5">
        <v>46175</v>
      </c>
      <c r="H503" s="6">
        <v>0.53680555555555554</v>
      </c>
      <c r="I503" s="5">
        <v>46172</v>
      </c>
      <c r="J503" s="5">
        <v>46172</v>
      </c>
      <c r="K503" s="5">
        <v>46172</v>
      </c>
      <c r="L503" s="4" t="s">
        <v>252</v>
      </c>
      <c r="M503" s="4">
        <v>1318</v>
      </c>
      <c r="N503" s="4" t="s">
        <v>17</v>
      </c>
      <c r="O503" s="4" t="s">
        <v>24</v>
      </c>
      <c r="P503" s="4">
        <v>29616</v>
      </c>
      <c r="Q503" s="4" t="s">
        <v>19</v>
      </c>
      <c r="R503" s="4">
        <v>43041</v>
      </c>
      <c r="S503" s="4" t="str">
        <f>VLOOKUP(L503&amp;TEXT(I503,"mmmm")&amp;YEAR(I503),'[1]Detalle C-Fecha'!$D$2:$E$15921,2,FALSE)</f>
        <v>CENCO_MZ - Cencosud SA - Mendoza</v>
      </c>
    </row>
    <row r="504" spans="1:19" x14ac:dyDescent="0.3">
      <c r="A504" s="4">
        <v>35106</v>
      </c>
      <c r="B504" s="4" t="s">
        <v>28</v>
      </c>
      <c r="C504" s="4" t="s">
        <v>124</v>
      </c>
      <c r="D504" s="4" t="s">
        <v>23</v>
      </c>
      <c r="E504" s="4" t="s">
        <v>51</v>
      </c>
      <c r="F504" s="4" t="str">
        <f t="shared" si="7"/>
        <v>2MC</v>
      </c>
      <c r="G504" s="5">
        <v>46175</v>
      </c>
      <c r="H504" s="6">
        <v>0.58402777777777781</v>
      </c>
      <c r="I504" s="5">
        <v>46175</v>
      </c>
      <c r="J504" s="5">
        <v>46175</v>
      </c>
      <c r="K504" s="5">
        <v>46175</v>
      </c>
      <c r="L504" s="4" t="s">
        <v>253</v>
      </c>
      <c r="M504" s="4">
        <v>1318</v>
      </c>
      <c r="N504" s="4" t="s">
        <v>31</v>
      </c>
      <c r="O504" s="4" t="s">
        <v>25</v>
      </c>
      <c r="P504" s="4">
        <v>29624</v>
      </c>
      <c r="Q504" s="4" t="s">
        <v>123</v>
      </c>
      <c r="S504" s="4" t="str">
        <f>VLOOKUP(L504&amp;TEXT(I504,"mmmm")&amp;YEAR(I504),'[1]Detalle C-Fecha'!$D$2:$E$15921,2,FALSE)</f>
        <v>SUC_REA - Sucursal Realicó</v>
      </c>
    </row>
    <row r="505" spans="1:19" x14ac:dyDescent="0.3">
      <c r="A505" s="4">
        <v>35107</v>
      </c>
      <c r="B505" s="4" t="s">
        <v>28</v>
      </c>
      <c r="C505" s="4" t="s">
        <v>124</v>
      </c>
      <c r="D505" s="4" t="s">
        <v>23</v>
      </c>
      <c r="E505" s="4" t="s">
        <v>53</v>
      </c>
      <c r="F505" s="4" t="str">
        <f t="shared" si="7"/>
        <v>3MC</v>
      </c>
      <c r="G505" s="5">
        <v>46175</v>
      </c>
      <c r="H505" s="6">
        <v>0.58402777777777781</v>
      </c>
      <c r="I505" s="5">
        <v>46175</v>
      </c>
      <c r="J505" s="5">
        <v>46175</v>
      </c>
      <c r="K505" s="5">
        <v>46175</v>
      </c>
      <c r="L505" s="4" t="s">
        <v>253</v>
      </c>
      <c r="M505" s="4">
        <v>1318</v>
      </c>
      <c r="N505" s="4" t="s">
        <v>31</v>
      </c>
      <c r="O505" s="4" t="s">
        <v>25</v>
      </c>
      <c r="P505" s="4">
        <v>29625</v>
      </c>
      <c r="Q505" s="4" t="s">
        <v>123</v>
      </c>
      <c r="S505" s="4" t="str">
        <f>VLOOKUP(L505&amp;TEXT(I505,"mmmm")&amp;YEAR(I505),'[1]Detalle C-Fecha'!$D$2:$E$15921,2,FALSE)</f>
        <v>SUC_REA - Sucursal Realicó</v>
      </c>
    </row>
    <row r="506" spans="1:19" x14ac:dyDescent="0.3">
      <c r="A506" s="4">
        <v>35109</v>
      </c>
      <c r="B506" s="4" t="s">
        <v>28</v>
      </c>
      <c r="C506" s="4" t="s">
        <v>15</v>
      </c>
      <c r="D506" s="4" t="s">
        <v>23</v>
      </c>
      <c r="E506" s="4" t="s">
        <v>51</v>
      </c>
      <c r="F506" s="4" t="str">
        <f t="shared" si="7"/>
        <v>2MC</v>
      </c>
      <c r="G506" s="5">
        <v>46175</v>
      </c>
      <c r="H506" s="6">
        <v>0.62222222222222223</v>
      </c>
      <c r="I506" s="5">
        <v>46175</v>
      </c>
      <c r="J506" s="5">
        <v>46175</v>
      </c>
      <c r="K506" s="5">
        <v>46181</v>
      </c>
      <c r="L506" s="4" t="s">
        <v>254</v>
      </c>
      <c r="M506" s="4">
        <v>1318</v>
      </c>
      <c r="N506" s="4" t="s">
        <v>208</v>
      </c>
      <c r="O506" s="4" t="s">
        <v>27</v>
      </c>
      <c r="P506" s="4">
        <v>29626</v>
      </c>
      <c r="Q506" s="4" t="s">
        <v>123</v>
      </c>
      <c r="S506" s="4" t="str">
        <f>VLOOKUP(L506&amp;TEXT(I506,"mmmm")&amp;YEAR(I506),'[1]Detalle C-Fecha'!$D$2:$E$15921,2,FALSE)</f>
        <v>Unilever - Unilever de Arg. S.A.</v>
      </c>
    </row>
    <row r="507" spans="1:19" x14ac:dyDescent="0.3">
      <c r="A507" s="4">
        <v>35110</v>
      </c>
      <c r="B507" s="4" t="s">
        <v>28</v>
      </c>
      <c r="C507" s="4" t="s">
        <v>15</v>
      </c>
      <c r="D507" s="4" t="s">
        <v>23</v>
      </c>
      <c r="E507" s="4" t="s">
        <v>53</v>
      </c>
      <c r="F507" s="4" t="str">
        <f t="shared" si="7"/>
        <v>3MC</v>
      </c>
      <c r="G507" s="5">
        <v>46175</v>
      </c>
      <c r="H507" s="6">
        <v>0.62222222222222223</v>
      </c>
      <c r="I507" s="5">
        <v>46175</v>
      </c>
      <c r="J507" s="5">
        <v>46175</v>
      </c>
      <c r="K507" s="5">
        <v>46181</v>
      </c>
      <c r="L507" s="4" t="s">
        <v>254</v>
      </c>
      <c r="M507" s="4">
        <v>1318</v>
      </c>
      <c r="N507" s="4" t="s">
        <v>208</v>
      </c>
      <c r="O507" s="4" t="s">
        <v>27</v>
      </c>
      <c r="P507" s="4">
        <v>29627</v>
      </c>
      <c r="Q507" s="4" t="s">
        <v>123</v>
      </c>
      <c r="S507" s="4" t="str">
        <f>VLOOKUP(L507&amp;TEXT(I507,"mmmm")&amp;YEAR(I507),'[1]Detalle C-Fecha'!$D$2:$E$15921,2,FALSE)</f>
        <v>Unilever - Unilever de Arg. S.A.</v>
      </c>
    </row>
    <row r="508" spans="1:19" x14ac:dyDescent="0.3">
      <c r="A508" s="4">
        <v>35111</v>
      </c>
      <c r="B508" s="4" t="s">
        <v>28</v>
      </c>
      <c r="C508" s="4" t="s">
        <v>15</v>
      </c>
      <c r="D508" s="4" t="s">
        <v>23</v>
      </c>
      <c r="E508" s="4" t="s">
        <v>52</v>
      </c>
      <c r="F508" s="4" t="str">
        <f t="shared" si="7"/>
        <v>6MC</v>
      </c>
      <c r="G508" s="5">
        <v>46175</v>
      </c>
      <c r="H508" s="6">
        <v>0.62222222222222223</v>
      </c>
      <c r="I508" s="5">
        <v>46175</v>
      </c>
      <c r="J508" s="5">
        <v>46175</v>
      </c>
      <c r="K508" s="5">
        <v>46181</v>
      </c>
      <c r="L508" s="4" t="s">
        <v>254</v>
      </c>
      <c r="M508" s="4">
        <v>1318</v>
      </c>
      <c r="N508" s="4" t="s">
        <v>208</v>
      </c>
      <c r="O508" s="4" t="s">
        <v>27</v>
      </c>
      <c r="P508" s="4">
        <v>29628</v>
      </c>
      <c r="Q508" s="4" t="s">
        <v>123</v>
      </c>
      <c r="S508" s="4" t="str">
        <f>VLOOKUP(L508&amp;TEXT(I508,"mmmm")&amp;YEAR(I508),'[1]Detalle C-Fecha'!$D$2:$E$15921,2,FALSE)</f>
        <v>Unilever - Unilever de Arg. S.A.</v>
      </c>
    </row>
    <row r="509" spans="1:19" x14ac:dyDescent="0.3">
      <c r="A509" s="4">
        <v>35116</v>
      </c>
      <c r="B509" s="4" t="s">
        <v>28</v>
      </c>
      <c r="C509" s="4" t="s">
        <v>15</v>
      </c>
      <c r="D509" s="4" t="s">
        <v>23</v>
      </c>
      <c r="E509" s="4" t="s">
        <v>113</v>
      </c>
      <c r="F509" s="4" t="str">
        <f t="shared" si="7"/>
        <v>2MC</v>
      </c>
      <c r="G509" s="5">
        <v>46175</v>
      </c>
      <c r="H509" s="6">
        <v>0.70138888888888884</v>
      </c>
      <c r="I509" s="5">
        <v>46175</v>
      </c>
      <c r="J509" s="5">
        <v>46175</v>
      </c>
      <c r="K509" s="5">
        <v>46181</v>
      </c>
      <c r="L509" s="4" t="s">
        <v>255</v>
      </c>
      <c r="M509" s="4" t="s">
        <v>128</v>
      </c>
      <c r="N509" s="4" t="s">
        <v>208</v>
      </c>
      <c r="O509" s="4" t="s">
        <v>18</v>
      </c>
      <c r="P509" s="4">
        <v>29634</v>
      </c>
      <c r="Q509" s="4" t="s">
        <v>123</v>
      </c>
      <c r="S509" s="4" t="str">
        <f>VLOOKUP(L509&amp;TEXT(I509,"mmmm")&amp;YEAR(I509),'[1]Detalle C-Fecha'!$D$2:$E$15921,2,FALSE)</f>
        <v>CMQ_TTE - QUILMES TTE</v>
      </c>
    </row>
    <row r="510" spans="1:19" x14ac:dyDescent="0.3">
      <c r="A510" s="4">
        <v>35117</v>
      </c>
      <c r="B510" s="4" t="s">
        <v>28</v>
      </c>
      <c r="C510" s="4" t="s">
        <v>15</v>
      </c>
      <c r="D510" s="4" t="s">
        <v>23</v>
      </c>
      <c r="E510" s="4" t="s">
        <v>122</v>
      </c>
      <c r="F510" s="4" t="str">
        <f t="shared" si="7"/>
        <v>3MC</v>
      </c>
      <c r="G510" s="5">
        <v>46175</v>
      </c>
      <c r="H510" s="6">
        <v>0.70138888888888884</v>
      </c>
      <c r="I510" s="5">
        <v>46175</v>
      </c>
      <c r="J510" s="5">
        <v>46175</v>
      </c>
      <c r="K510" s="5">
        <v>46181</v>
      </c>
      <c r="L510" s="4" t="s">
        <v>255</v>
      </c>
      <c r="M510" s="4" t="s">
        <v>128</v>
      </c>
      <c r="N510" s="4" t="s">
        <v>208</v>
      </c>
      <c r="O510" s="4" t="s">
        <v>18</v>
      </c>
      <c r="P510" s="4">
        <v>29635</v>
      </c>
      <c r="Q510" s="4" t="s">
        <v>123</v>
      </c>
      <c r="S510" s="4" t="str">
        <f>VLOOKUP(L510&amp;TEXT(I510,"mmmm")&amp;YEAR(I510),'[1]Detalle C-Fecha'!$D$2:$E$15921,2,FALSE)</f>
        <v>CMQ_TTE - QUILMES TTE</v>
      </c>
    </row>
    <row r="511" spans="1:19" x14ac:dyDescent="0.3">
      <c r="A511" s="4">
        <v>35118</v>
      </c>
      <c r="B511" s="4" t="s">
        <v>28</v>
      </c>
      <c r="C511" s="4" t="s">
        <v>15</v>
      </c>
      <c r="D511" s="4" t="s">
        <v>23</v>
      </c>
      <c r="E511" s="4" t="s">
        <v>114</v>
      </c>
      <c r="F511" s="4" t="str">
        <f t="shared" si="7"/>
        <v>6MC</v>
      </c>
      <c r="G511" s="5">
        <v>46175</v>
      </c>
      <c r="H511" s="6">
        <v>0.70138888888888884</v>
      </c>
      <c r="I511" s="5">
        <v>46175</v>
      </c>
      <c r="J511" s="5">
        <v>46175</v>
      </c>
      <c r="K511" s="5">
        <v>46181</v>
      </c>
      <c r="L511" s="4" t="s">
        <v>255</v>
      </c>
      <c r="M511" s="4" t="s">
        <v>128</v>
      </c>
      <c r="N511" s="4" t="s">
        <v>208</v>
      </c>
      <c r="O511" s="4" t="s">
        <v>18</v>
      </c>
      <c r="P511" s="4">
        <v>29636</v>
      </c>
      <c r="Q511" s="4" t="s">
        <v>123</v>
      </c>
      <c r="S511" s="4" t="str">
        <f>VLOOKUP(L511&amp;TEXT(I511,"mmmm")&amp;YEAR(I511),'[1]Detalle C-Fecha'!$D$2:$E$15921,2,FALSE)</f>
        <v>CMQ_TTE - QUILMES TTE</v>
      </c>
    </row>
    <row r="512" spans="1:19" x14ac:dyDescent="0.3">
      <c r="A512" s="4">
        <v>35146</v>
      </c>
      <c r="B512" s="4" t="s">
        <v>28</v>
      </c>
      <c r="C512" s="4" t="s">
        <v>124</v>
      </c>
      <c r="D512" s="4" t="s">
        <v>23</v>
      </c>
      <c r="E512" s="4" t="s">
        <v>51</v>
      </c>
      <c r="F512" s="4" t="str">
        <f t="shared" si="7"/>
        <v>2MC</v>
      </c>
      <c r="G512" s="5">
        <v>46176</v>
      </c>
      <c r="H512" s="6">
        <v>0.47916666666666669</v>
      </c>
      <c r="I512" s="5">
        <v>46174</v>
      </c>
      <c r="J512" s="5">
        <v>46174</v>
      </c>
      <c r="K512" s="5">
        <v>46174</v>
      </c>
      <c r="L512" s="4" t="s">
        <v>256</v>
      </c>
      <c r="M512" s="4" t="s">
        <v>237</v>
      </c>
      <c r="N512" s="4" t="s">
        <v>31</v>
      </c>
      <c r="S512" s="4" t="str">
        <f>VLOOKUP(L512&amp;TEXT(I512,"mmmm")&amp;YEAR(I512),'[1]Detalle C-Fecha'!$D$2:$E$15921,2,FALSE)</f>
        <v>CIMSA_SRA</v>
      </c>
    </row>
    <row r="513" spans="1:19" x14ac:dyDescent="0.3">
      <c r="A513" s="4">
        <v>35154</v>
      </c>
      <c r="B513" s="4" t="s">
        <v>28</v>
      </c>
      <c r="C513" s="4" t="s">
        <v>15</v>
      </c>
      <c r="D513" s="4" t="s">
        <v>23</v>
      </c>
      <c r="E513" s="4" t="s">
        <v>51</v>
      </c>
      <c r="F513" s="4" t="str">
        <f t="shared" si="7"/>
        <v>2MC</v>
      </c>
      <c r="G513" s="5">
        <v>46176</v>
      </c>
      <c r="H513" s="6">
        <v>0.62777777777777777</v>
      </c>
      <c r="I513" s="5">
        <v>46176</v>
      </c>
      <c r="J513" s="5">
        <v>46176</v>
      </c>
      <c r="K513" s="5">
        <v>46181</v>
      </c>
      <c r="L513" s="4" t="s">
        <v>258</v>
      </c>
      <c r="M513" s="4" t="s">
        <v>178</v>
      </c>
      <c r="N513" s="4" t="s">
        <v>208</v>
      </c>
      <c r="O513" s="4" t="s">
        <v>27</v>
      </c>
      <c r="P513" s="4">
        <v>29666</v>
      </c>
      <c r="Q513" s="4" t="s">
        <v>123</v>
      </c>
      <c r="S513" s="4" t="str">
        <f>VLOOKUP(L513&amp;TEXT(I513,"mmmm")&amp;YEAR(I513),'[1]Detalle C-Fecha'!$D$2:$E$15921,2,FALSE)</f>
        <v>CCUCoAZA</v>
      </c>
    </row>
    <row r="514" spans="1:19" x14ac:dyDescent="0.3">
      <c r="A514" s="4">
        <v>35155</v>
      </c>
      <c r="B514" s="4" t="s">
        <v>28</v>
      </c>
      <c r="C514" s="4" t="s">
        <v>15</v>
      </c>
      <c r="D514" s="4" t="s">
        <v>23</v>
      </c>
      <c r="E514" s="4" t="s">
        <v>53</v>
      </c>
      <c r="F514" s="4" t="str">
        <f t="shared" ref="F514:F577" si="8">MID(E514,1,3)</f>
        <v>3MC</v>
      </c>
      <c r="G514" s="5">
        <v>46176</v>
      </c>
      <c r="H514" s="6">
        <v>0.62777777777777777</v>
      </c>
      <c r="I514" s="5">
        <v>46176</v>
      </c>
      <c r="J514" s="5">
        <v>46176</v>
      </c>
      <c r="K514" s="5">
        <v>46181</v>
      </c>
      <c r="L514" s="4" t="s">
        <v>258</v>
      </c>
      <c r="M514" s="4" t="s">
        <v>178</v>
      </c>
      <c r="N514" s="4" t="s">
        <v>208</v>
      </c>
      <c r="O514" s="4" t="s">
        <v>27</v>
      </c>
      <c r="P514" s="4">
        <v>29667</v>
      </c>
      <c r="Q514" s="4" t="s">
        <v>123</v>
      </c>
      <c r="S514" s="4" t="str">
        <f>VLOOKUP(L514&amp;TEXT(I514,"mmmm")&amp;YEAR(I514),'[1]Detalle C-Fecha'!$D$2:$E$15921,2,FALSE)</f>
        <v>CCUCoAZA</v>
      </c>
    </row>
    <row r="515" spans="1:19" x14ac:dyDescent="0.3">
      <c r="A515" s="4">
        <v>35156</v>
      </c>
      <c r="B515" s="4" t="s">
        <v>28</v>
      </c>
      <c r="C515" s="4" t="s">
        <v>15</v>
      </c>
      <c r="D515" s="4" t="s">
        <v>23</v>
      </c>
      <c r="E515" s="4" t="s">
        <v>112</v>
      </c>
      <c r="F515" s="4" t="str">
        <f t="shared" si="8"/>
        <v>6MC</v>
      </c>
      <c r="G515" s="5">
        <v>46176</v>
      </c>
      <c r="H515" s="6">
        <v>0.62777777777777777</v>
      </c>
      <c r="I515" s="5">
        <v>46176</v>
      </c>
      <c r="J515" s="5">
        <v>46176</v>
      </c>
      <c r="K515" s="5">
        <v>46181</v>
      </c>
      <c r="L515" s="4" t="s">
        <v>258</v>
      </c>
      <c r="M515" s="4" t="s">
        <v>178</v>
      </c>
      <c r="N515" s="4" t="s">
        <v>208</v>
      </c>
      <c r="O515" s="4" t="s">
        <v>27</v>
      </c>
      <c r="P515" s="4">
        <v>29668</v>
      </c>
      <c r="Q515" s="4" t="s">
        <v>123</v>
      </c>
      <c r="S515" s="4" t="str">
        <f>VLOOKUP(L515&amp;TEXT(I515,"mmmm")&amp;YEAR(I515),'[1]Detalle C-Fecha'!$D$2:$E$15921,2,FALSE)</f>
        <v>CCUCoAZA</v>
      </c>
    </row>
    <row r="516" spans="1:19" x14ac:dyDescent="0.3">
      <c r="A516" s="4">
        <v>35160</v>
      </c>
      <c r="B516" s="4" t="s">
        <v>28</v>
      </c>
      <c r="C516" s="4" t="s">
        <v>15</v>
      </c>
      <c r="D516" s="4" t="s">
        <v>23</v>
      </c>
      <c r="E516" s="4" t="s">
        <v>51</v>
      </c>
      <c r="F516" s="4" t="str">
        <f t="shared" si="8"/>
        <v>2MC</v>
      </c>
      <c r="G516" s="5">
        <v>46176</v>
      </c>
      <c r="H516" s="6">
        <v>0.6381944444444444</v>
      </c>
      <c r="I516" s="5">
        <v>46176</v>
      </c>
      <c r="J516" s="5">
        <v>46176</v>
      </c>
      <c r="K516" s="5">
        <v>46181</v>
      </c>
      <c r="L516" s="4" t="s">
        <v>259</v>
      </c>
      <c r="M516" s="4" t="s">
        <v>178</v>
      </c>
      <c r="N516" s="4" t="s">
        <v>208</v>
      </c>
      <c r="O516" s="4" t="s">
        <v>24</v>
      </c>
      <c r="P516" s="4">
        <v>29672</v>
      </c>
      <c r="Q516" s="4" t="s">
        <v>123</v>
      </c>
      <c r="S516" s="4" t="str">
        <f>VLOOKUP(L516&amp;TEXT(I516,"mmmm")&amp;YEAR(I516),'[1]Detalle C-Fecha'!$D$2:$E$15921,2,FALSE)</f>
        <v>CCUDyAZA</v>
      </c>
    </row>
    <row r="517" spans="1:19" x14ac:dyDescent="0.3">
      <c r="A517" s="4">
        <v>35161</v>
      </c>
      <c r="B517" s="4" t="s">
        <v>28</v>
      </c>
      <c r="C517" s="4" t="s">
        <v>15</v>
      </c>
      <c r="D517" s="4" t="s">
        <v>23</v>
      </c>
      <c r="E517" s="4" t="s">
        <v>53</v>
      </c>
      <c r="F517" s="4" t="str">
        <f t="shared" si="8"/>
        <v>3MC</v>
      </c>
      <c r="G517" s="5">
        <v>46176</v>
      </c>
      <c r="H517" s="6">
        <v>0.6381944444444444</v>
      </c>
      <c r="I517" s="5">
        <v>46176</v>
      </c>
      <c r="J517" s="5">
        <v>46176</v>
      </c>
      <c r="K517" s="5">
        <v>46181</v>
      </c>
      <c r="L517" s="4" t="s">
        <v>259</v>
      </c>
      <c r="M517" s="4" t="s">
        <v>178</v>
      </c>
      <c r="N517" s="4" t="s">
        <v>208</v>
      </c>
      <c r="O517" s="4" t="s">
        <v>24</v>
      </c>
      <c r="P517" s="4">
        <v>29673</v>
      </c>
      <c r="Q517" s="4" t="s">
        <v>123</v>
      </c>
      <c r="S517" s="4" t="str">
        <f>VLOOKUP(L517&amp;TEXT(I517,"mmmm")&amp;YEAR(I517),'[1]Detalle C-Fecha'!$D$2:$E$15921,2,FALSE)</f>
        <v>CCUDyAZA</v>
      </c>
    </row>
    <row r="518" spans="1:19" x14ac:dyDescent="0.3">
      <c r="A518" s="4">
        <v>35162</v>
      </c>
      <c r="B518" s="4" t="s">
        <v>28</v>
      </c>
      <c r="C518" s="4" t="s">
        <v>15</v>
      </c>
      <c r="D518" s="4" t="s">
        <v>23</v>
      </c>
      <c r="E518" s="4" t="s">
        <v>112</v>
      </c>
      <c r="F518" s="4" t="str">
        <f t="shared" si="8"/>
        <v>6MC</v>
      </c>
      <c r="G518" s="5">
        <v>46176</v>
      </c>
      <c r="H518" s="6">
        <v>0.6381944444444444</v>
      </c>
      <c r="I518" s="5">
        <v>46176</v>
      </c>
      <c r="J518" s="5">
        <v>46176</v>
      </c>
      <c r="K518" s="5">
        <v>46181</v>
      </c>
      <c r="L518" s="4" t="s">
        <v>259</v>
      </c>
      <c r="M518" s="4" t="s">
        <v>178</v>
      </c>
      <c r="N518" s="4" t="s">
        <v>208</v>
      </c>
      <c r="O518" s="4" t="s">
        <v>24</v>
      </c>
      <c r="P518" s="4">
        <v>29674</v>
      </c>
      <c r="Q518" s="4" t="s">
        <v>123</v>
      </c>
      <c r="S518" s="4" t="str">
        <f>VLOOKUP(L518&amp;TEXT(I518,"mmmm")&amp;YEAR(I518),'[1]Detalle C-Fecha'!$D$2:$E$15921,2,FALSE)</f>
        <v>CCUDyAZA</v>
      </c>
    </row>
    <row r="519" spans="1:19" x14ac:dyDescent="0.3">
      <c r="A519" s="4">
        <v>35183</v>
      </c>
      <c r="B519" s="4" t="s">
        <v>28</v>
      </c>
      <c r="C519" s="4" t="s">
        <v>124</v>
      </c>
      <c r="D519" s="4" t="s">
        <v>23</v>
      </c>
      <c r="E519" s="4" t="s">
        <v>35</v>
      </c>
      <c r="F519" s="4" t="str">
        <f t="shared" si="8"/>
        <v>2ML</v>
      </c>
      <c r="G519" s="5">
        <v>46177</v>
      </c>
      <c r="H519" s="6">
        <v>0.42083333333333334</v>
      </c>
      <c r="I519" s="5">
        <v>46177</v>
      </c>
      <c r="L519" s="4" t="s">
        <v>101</v>
      </c>
      <c r="M519" s="4" t="s">
        <v>126</v>
      </c>
      <c r="N519" s="4" t="s">
        <v>208</v>
      </c>
      <c r="O519" s="4" t="s">
        <v>24</v>
      </c>
      <c r="P519" s="4">
        <v>29720</v>
      </c>
      <c r="Q519" s="4" t="s">
        <v>123</v>
      </c>
      <c r="S519" s="4" t="str">
        <f>VLOOKUP(L519&amp;TEXT(I519,"mmmm")&amp;YEAR(I519),'[1]Detalle C-Fecha'!$D$2:$E$15921,2,FALSE)</f>
        <v>ADA_CH - Danone Arg. S.A. - Chascomus</v>
      </c>
    </row>
    <row r="520" spans="1:19" x14ac:dyDescent="0.3">
      <c r="A520" s="4">
        <v>35184</v>
      </c>
      <c r="B520" s="4" t="s">
        <v>28</v>
      </c>
      <c r="C520" s="4" t="s">
        <v>124</v>
      </c>
      <c r="D520" s="4" t="s">
        <v>23</v>
      </c>
      <c r="E520" s="4" t="s">
        <v>47</v>
      </c>
      <c r="F520" s="4" t="str">
        <f t="shared" si="8"/>
        <v>3ML</v>
      </c>
      <c r="G520" s="5">
        <v>46177</v>
      </c>
      <c r="H520" s="6">
        <v>0.42083333333333334</v>
      </c>
      <c r="I520" s="5">
        <v>46177</v>
      </c>
      <c r="L520" s="4" t="s">
        <v>101</v>
      </c>
      <c r="M520" s="4" t="s">
        <v>126</v>
      </c>
      <c r="N520" s="4" t="s">
        <v>208</v>
      </c>
      <c r="O520" s="4" t="s">
        <v>24</v>
      </c>
      <c r="P520" s="4">
        <v>29721</v>
      </c>
      <c r="Q520" s="4" t="s">
        <v>123</v>
      </c>
      <c r="S520" s="4" t="str">
        <f>VLOOKUP(L520&amp;TEXT(I520,"mmmm")&amp;YEAR(I520),'[1]Detalle C-Fecha'!$D$2:$E$15921,2,FALSE)</f>
        <v>ADA_CH - Danone Arg. S.A. - Chascomus</v>
      </c>
    </row>
    <row r="521" spans="1:19" x14ac:dyDescent="0.3">
      <c r="A521" s="4">
        <v>35185</v>
      </c>
      <c r="B521" s="4" t="s">
        <v>28</v>
      </c>
      <c r="C521" s="4" t="s">
        <v>124</v>
      </c>
      <c r="D521" s="4" t="s">
        <v>23</v>
      </c>
      <c r="E521" s="4" t="s">
        <v>46</v>
      </c>
      <c r="F521" s="4" t="str">
        <f t="shared" si="8"/>
        <v>6ML</v>
      </c>
      <c r="G521" s="5">
        <v>46177</v>
      </c>
      <c r="H521" s="6">
        <v>0.42083333333333334</v>
      </c>
      <c r="I521" s="5">
        <v>46177</v>
      </c>
      <c r="L521" s="4" t="s">
        <v>101</v>
      </c>
      <c r="M521" s="4" t="s">
        <v>126</v>
      </c>
      <c r="N521" s="4" t="s">
        <v>208</v>
      </c>
      <c r="O521" s="4" t="s">
        <v>24</v>
      </c>
      <c r="P521" s="4">
        <v>29722</v>
      </c>
      <c r="Q521" s="4" t="s">
        <v>123</v>
      </c>
      <c r="S521" s="4" t="str">
        <f>VLOOKUP(L521&amp;TEXT(I521,"mmmm")&amp;YEAR(I521),'[1]Detalle C-Fecha'!$D$2:$E$15921,2,FALSE)</f>
        <v>ADA_CH - Danone Arg. S.A. - Chascomus</v>
      </c>
    </row>
    <row r="522" spans="1:19" x14ac:dyDescent="0.3">
      <c r="A522" s="4">
        <v>35463</v>
      </c>
      <c r="B522" s="4" t="s">
        <v>28</v>
      </c>
      <c r="C522" s="4" t="s">
        <v>124</v>
      </c>
      <c r="D522" s="4" t="s">
        <v>23</v>
      </c>
      <c r="E522" s="4" t="s">
        <v>51</v>
      </c>
      <c r="F522" s="4" t="str">
        <f t="shared" si="8"/>
        <v>2MC</v>
      </c>
      <c r="G522" s="5">
        <v>46182</v>
      </c>
      <c r="H522" s="6">
        <v>0.70416666666666661</v>
      </c>
      <c r="I522" s="5">
        <v>46182</v>
      </c>
      <c r="J522" s="5">
        <v>46182</v>
      </c>
      <c r="K522" s="5">
        <v>46182</v>
      </c>
      <c r="L522" s="4" t="s">
        <v>260</v>
      </c>
      <c r="M522" s="4" t="s">
        <v>178</v>
      </c>
      <c r="N522" s="4" t="s">
        <v>208</v>
      </c>
      <c r="O522" s="4" t="s">
        <v>27</v>
      </c>
      <c r="P522" s="4">
        <v>29876</v>
      </c>
      <c r="Q522" s="4" t="s">
        <v>123</v>
      </c>
      <c r="S522" s="4" t="str">
        <f>VLOOKUP(L522&amp;TEXT(I522,"mmmm")&amp;YEAR(I522),'[1]Detalle C-Fecha'!$D$2:$E$15921,2,FALSE)</f>
        <v>CCUCoAZA</v>
      </c>
    </row>
    <row r="523" spans="1:19" x14ac:dyDescent="0.3">
      <c r="A523" s="4">
        <v>35464</v>
      </c>
      <c r="B523" s="4" t="s">
        <v>28</v>
      </c>
      <c r="C523" s="4" t="s">
        <v>124</v>
      </c>
      <c r="D523" s="4" t="s">
        <v>23</v>
      </c>
      <c r="E523" s="4" t="s">
        <v>53</v>
      </c>
      <c r="F523" s="4" t="str">
        <f t="shared" si="8"/>
        <v>3MC</v>
      </c>
      <c r="G523" s="5">
        <v>46182</v>
      </c>
      <c r="H523" s="6">
        <v>0.70416666666666661</v>
      </c>
      <c r="I523" s="5">
        <v>46182</v>
      </c>
      <c r="J523" s="5">
        <v>46182</v>
      </c>
      <c r="K523" s="5">
        <v>46182</v>
      </c>
      <c r="L523" s="4" t="s">
        <v>260</v>
      </c>
      <c r="M523" s="4" t="s">
        <v>178</v>
      </c>
      <c r="N523" s="4" t="s">
        <v>208</v>
      </c>
      <c r="O523" s="4" t="s">
        <v>27</v>
      </c>
      <c r="P523" s="4">
        <v>29877</v>
      </c>
      <c r="Q523" s="4" t="s">
        <v>123</v>
      </c>
      <c r="S523" s="4" t="str">
        <f>VLOOKUP(L523&amp;TEXT(I523,"mmmm")&amp;YEAR(I523),'[1]Detalle C-Fecha'!$D$2:$E$15921,2,FALSE)</f>
        <v>CCUCoAZA</v>
      </c>
    </row>
    <row r="524" spans="1:19" x14ac:dyDescent="0.3">
      <c r="A524" s="4">
        <v>35465</v>
      </c>
      <c r="B524" s="4" t="s">
        <v>28</v>
      </c>
      <c r="C524" s="4" t="s">
        <v>124</v>
      </c>
      <c r="D524" s="4" t="s">
        <v>23</v>
      </c>
      <c r="E524" s="4" t="s">
        <v>112</v>
      </c>
      <c r="F524" s="4" t="str">
        <f t="shared" si="8"/>
        <v>6MC</v>
      </c>
      <c r="G524" s="5">
        <v>46182</v>
      </c>
      <c r="H524" s="6">
        <v>0.70416666666666661</v>
      </c>
      <c r="I524" s="5">
        <v>46182</v>
      </c>
      <c r="J524" s="5">
        <v>46182</v>
      </c>
      <c r="K524" s="5">
        <v>46182</v>
      </c>
      <c r="L524" s="4" t="s">
        <v>260</v>
      </c>
      <c r="M524" s="4" t="s">
        <v>178</v>
      </c>
      <c r="N524" s="4" t="s">
        <v>208</v>
      </c>
      <c r="O524" s="4" t="s">
        <v>27</v>
      </c>
      <c r="P524" s="4">
        <v>29878</v>
      </c>
      <c r="Q524" s="4" t="s">
        <v>123</v>
      </c>
      <c r="S524" s="4" t="str">
        <f>VLOOKUP(L524&amp;TEXT(I524,"mmmm")&amp;YEAR(I524),'[1]Detalle C-Fecha'!$D$2:$E$15921,2,FALSE)</f>
        <v>CCUCoAZA</v>
      </c>
    </row>
    <row r="525" spans="1:19" x14ac:dyDescent="0.3">
      <c r="A525" s="4">
        <v>35470</v>
      </c>
      <c r="B525" s="4" t="s">
        <v>28</v>
      </c>
      <c r="C525" s="4" t="s">
        <v>124</v>
      </c>
      <c r="D525" s="4" t="s">
        <v>23</v>
      </c>
      <c r="E525" s="4" t="s">
        <v>51</v>
      </c>
      <c r="F525" s="4" t="str">
        <f t="shared" si="8"/>
        <v>2MC</v>
      </c>
      <c r="G525" s="5">
        <v>46182</v>
      </c>
      <c r="H525" s="6">
        <v>0.77361111111111114</v>
      </c>
      <c r="I525" s="5">
        <v>46182</v>
      </c>
      <c r="J525" s="5">
        <v>46182</v>
      </c>
      <c r="K525" s="5">
        <v>46182</v>
      </c>
      <c r="L525" s="4" t="s">
        <v>261</v>
      </c>
      <c r="M525" s="4" t="s">
        <v>130</v>
      </c>
      <c r="N525" s="4" t="s">
        <v>208</v>
      </c>
      <c r="O525" s="4" t="s">
        <v>27</v>
      </c>
      <c r="P525" s="4">
        <v>29883</v>
      </c>
      <c r="Q525" s="4" t="s">
        <v>123</v>
      </c>
      <c r="S525" s="4" t="str">
        <f>VLOOKUP(L525&amp;TEXT(I525,"mmmm")&amp;YEAR(I525),'[1]Detalle C-Fecha'!$D$2:$E$15921,2,FALSE)</f>
        <v>CCUCoAZA</v>
      </c>
    </row>
    <row r="526" spans="1:19" x14ac:dyDescent="0.3">
      <c r="A526" s="4">
        <v>35471</v>
      </c>
      <c r="B526" s="4" t="s">
        <v>28</v>
      </c>
      <c r="C526" s="4" t="s">
        <v>124</v>
      </c>
      <c r="D526" s="4" t="s">
        <v>23</v>
      </c>
      <c r="E526" s="4" t="s">
        <v>53</v>
      </c>
      <c r="F526" s="4" t="str">
        <f t="shared" si="8"/>
        <v>3MC</v>
      </c>
      <c r="G526" s="5">
        <v>46182</v>
      </c>
      <c r="H526" s="6">
        <v>0.77361111111111114</v>
      </c>
      <c r="I526" s="5">
        <v>46182</v>
      </c>
      <c r="J526" s="5">
        <v>46182</v>
      </c>
      <c r="K526" s="5">
        <v>46182</v>
      </c>
      <c r="L526" s="4" t="s">
        <v>261</v>
      </c>
      <c r="M526" s="4" t="s">
        <v>130</v>
      </c>
      <c r="N526" s="4" t="s">
        <v>208</v>
      </c>
      <c r="O526" s="4" t="s">
        <v>27</v>
      </c>
      <c r="P526" s="4">
        <v>29884</v>
      </c>
      <c r="Q526" s="4" t="s">
        <v>123</v>
      </c>
      <c r="S526" s="4" t="str">
        <f>VLOOKUP(L526&amp;TEXT(I526,"mmmm")&amp;YEAR(I526),'[1]Detalle C-Fecha'!$D$2:$E$15921,2,FALSE)</f>
        <v>CCUCoAZA</v>
      </c>
    </row>
    <row r="527" spans="1:19" x14ac:dyDescent="0.3">
      <c r="A527" s="4">
        <v>35472</v>
      </c>
      <c r="B527" s="4" t="s">
        <v>28</v>
      </c>
      <c r="C527" s="4" t="s">
        <v>124</v>
      </c>
      <c r="D527" s="4" t="s">
        <v>23</v>
      </c>
      <c r="E527" s="4" t="s">
        <v>52</v>
      </c>
      <c r="F527" s="4" t="str">
        <f t="shared" si="8"/>
        <v>6MC</v>
      </c>
      <c r="G527" s="5">
        <v>46182</v>
      </c>
      <c r="H527" s="6">
        <v>0.77361111111111114</v>
      </c>
      <c r="I527" s="5">
        <v>46182</v>
      </c>
      <c r="J527" s="5">
        <v>46182</v>
      </c>
      <c r="K527" s="5">
        <v>46182</v>
      </c>
      <c r="L527" s="4" t="s">
        <v>261</v>
      </c>
      <c r="M527" s="4" t="s">
        <v>130</v>
      </c>
      <c r="N527" s="4" t="s">
        <v>208</v>
      </c>
      <c r="O527" s="4" t="s">
        <v>27</v>
      </c>
      <c r="P527" s="4">
        <v>29885</v>
      </c>
      <c r="Q527" s="4" t="s">
        <v>123</v>
      </c>
      <c r="S527" s="4" t="str">
        <f>VLOOKUP(L527&amp;TEXT(I527,"mmmm")&amp;YEAR(I527),'[1]Detalle C-Fecha'!$D$2:$E$15921,2,FALSE)</f>
        <v>CCUCoAZA</v>
      </c>
    </row>
    <row r="528" spans="1:19" x14ac:dyDescent="0.3">
      <c r="A528" s="4">
        <v>35517</v>
      </c>
      <c r="B528" s="4" t="s">
        <v>28</v>
      </c>
      <c r="C528" s="4" t="s">
        <v>124</v>
      </c>
      <c r="D528" s="4" t="s">
        <v>23</v>
      </c>
      <c r="E528" s="4" t="s">
        <v>140</v>
      </c>
      <c r="F528" s="4" t="str">
        <f t="shared" si="8"/>
        <v>4ML</v>
      </c>
      <c r="G528" s="5">
        <v>46183</v>
      </c>
      <c r="H528" s="6">
        <v>0.4375</v>
      </c>
      <c r="I528" s="5">
        <v>46182</v>
      </c>
      <c r="L528" s="4" t="s">
        <v>262</v>
      </c>
      <c r="M528" s="4">
        <v>1318</v>
      </c>
      <c r="N528" s="4" t="s">
        <v>17</v>
      </c>
      <c r="O528" s="4" t="s">
        <v>24</v>
      </c>
      <c r="P528" s="4">
        <v>29922</v>
      </c>
      <c r="Q528" s="4" t="s">
        <v>123</v>
      </c>
      <c r="S528" s="4" t="str">
        <f>VLOOKUP(L528&amp;TEXT(I528,"mmmm")&amp;YEAR(I528),'[1]Detalle C-Fecha'!$D$2:$E$15921,2,FALSE)</f>
        <v>CENCO_SJ - Cencosud SA - San Juan</v>
      </c>
    </row>
    <row r="529" spans="1:19" x14ac:dyDescent="0.3">
      <c r="A529" s="4">
        <v>35518</v>
      </c>
      <c r="B529" s="4" t="s">
        <v>28</v>
      </c>
      <c r="C529" s="4" t="s">
        <v>124</v>
      </c>
      <c r="D529" s="4" t="s">
        <v>23</v>
      </c>
      <c r="E529" s="4" t="s">
        <v>141</v>
      </c>
      <c r="F529" s="4" t="str">
        <f t="shared" si="8"/>
        <v>5ML</v>
      </c>
      <c r="G529" s="5">
        <v>46183</v>
      </c>
      <c r="H529" s="6">
        <v>0.4375</v>
      </c>
      <c r="I529" s="5">
        <v>46182</v>
      </c>
      <c r="L529" s="4" t="s">
        <v>262</v>
      </c>
      <c r="M529" s="4">
        <v>1318</v>
      </c>
      <c r="N529" s="4" t="s">
        <v>17</v>
      </c>
      <c r="O529" s="4" t="s">
        <v>24</v>
      </c>
      <c r="P529" s="4">
        <v>29923</v>
      </c>
      <c r="Q529" s="4" t="s">
        <v>123</v>
      </c>
      <c r="S529" s="4" t="str">
        <f>VLOOKUP(L529&amp;TEXT(I529,"mmmm")&amp;YEAR(I529),'[1]Detalle C-Fecha'!$D$2:$E$15921,2,FALSE)</f>
        <v>CENCO_SJ - Cencosud SA - San Juan</v>
      </c>
    </row>
    <row r="530" spans="1:19" x14ac:dyDescent="0.3">
      <c r="A530" s="4">
        <v>35519</v>
      </c>
      <c r="B530" s="4" t="s">
        <v>28</v>
      </c>
      <c r="C530" s="4" t="s">
        <v>124</v>
      </c>
      <c r="D530" s="4" t="s">
        <v>23</v>
      </c>
      <c r="E530" s="4" t="s">
        <v>35</v>
      </c>
      <c r="F530" s="4" t="str">
        <f t="shared" si="8"/>
        <v>2ML</v>
      </c>
      <c r="G530" s="5">
        <v>46183</v>
      </c>
      <c r="H530" s="6">
        <v>0.4375</v>
      </c>
      <c r="I530" s="5">
        <v>46182</v>
      </c>
      <c r="L530" s="4" t="s">
        <v>264</v>
      </c>
      <c r="M530" s="4" t="s">
        <v>163</v>
      </c>
      <c r="N530" s="4" t="s">
        <v>17</v>
      </c>
      <c r="O530" s="4" t="s">
        <v>24</v>
      </c>
      <c r="P530" s="4">
        <v>29924</v>
      </c>
      <c r="Q530" s="4" t="s">
        <v>123</v>
      </c>
      <c r="S530" s="4" t="str">
        <f>VLOOKUP(L530&amp;TEXT(I530,"mmmm")&amp;YEAR(I530),'[1]Detalle C-Fecha'!$D$2:$E$15921,2,FALSE)</f>
        <v>CENCOMLD - Cencosud SA - Mendoza</v>
      </c>
    </row>
    <row r="531" spans="1:19" x14ac:dyDescent="0.3">
      <c r="A531" s="4">
        <v>35520</v>
      </c>
      <c r="B531" s="4" t="s">
        <v>28</v>
      </c>
      <c r="C531" s="4" t="s">
        <v>124</v>
      </c>
      <c r="D531" s="4" t="s">
        <v>23</v>
      </c>
      <c r="E531" s="4" t="s">
        <v>47</v>
      </c>
      <c r="F531" s="4" t="str">
        <f t="shared" si="8"/>
        <v>3ML</v>
      </c>
      <c r="G531" s="5">
        <v>46183</v>
      </c>
      <c r="H531" s="6">
        <v>0.4375</v>
      </c>
      <c r="I531" s="5">
        <v>46182</v>
      </c>
      <c r="L531" s="4" t="s">
        <v>264</v>
      </c>
      <c r="M531" s="4" t="s">
        <v>163</v>
      </c>
      <c r="N531" s="4" t="s">
        <v>17</v>
      </c>
      <c r="O531" s="4" t="s">
        <v>24</v>
      </c>
      <c r="P531" s="4">
        <v>29925</v>
      </c>
      <c r="Q531" s="4" t="s">
        <v>123</v>
      </c>
      <c r="S531" s="4" t="str">
        <f>VLOOKUP(L531&amp;TEXT(I531,"mmmm")&amp;YEAR(I531),'[1]Detalle C-Fecha'!$D$2:$E$15921,2,FALSE)</f>
        <v>CENCOMLD - Cencosud SA - Mendoza</v>
      </c>
    </row>
    <row r="532" spans="1:19" x14ac:dyDescent="0.3">
      <c r="A532" s="4">
        <v>35521</v>
      </c>
      <c r="B532" s="4" t="s">
        <v>28</v>
      </c>
      <c r="C532" s="4" t="s">
        <v>124</v>
      </c>
      <c r="D532" s="4" t="s">
        <v>23</v>
      </c>
      <c r="E532" s="4" t="s">
        <v>46</v>
      </c>
      <c r="F532" s="4" t="str">
        <f t="shared" si="8"/>
        <v>6ML</v>
      </c>
      <c r="G532" s="5">
        <v>46183</v>
      </c>
      <c r="H532" s="6">
        <v>0.4375</v>
      </c>
      <c r="I532" s="5">
        <v>46182</v>
      </c>
      <c r="L532" s="4" t="s">
        <v>264</v>
      </c>
      <c r="M532" s="4" t="s">
        <v>163</v>
      </c>
      <c r="N532" s="4" t="s">
        <v>17</v>
      </c>
      <c r="O532" s="4" t="s">
        <v>24</v>
      </c>
      <c r="P532" s="4">
        <v>29926</v>
      </c>
      <c r="Q532" s="4" t="s">
        <v>123</v>
      </c>
      <c r="S532" s="4" t="str">
        <f>VLOOKUP(L532&amp;TEXT(I532,"mmmm")&amp;YEAR(I532),'[1]Detalle C-Fecha'!$D$2:$E$15921,2,FALSE)</f>
        <v>CENCOMLD - Cencosud SA - Mendoza</v>
      </c>
    </row>
    <row r="533" spans="1:19" x14ac:dyDescent="0.3">
      <c r="A533" s="4">
        <v>35538</v>
      </c>
      <c r="B533" s="4" t="s">
        <v>28</v>
      </c>
      <c r="C533" s="4" t="s">
        <v>124</v>
      </c>
      <c r="D533" s="4" t="s">
        <v>23</v>
      </c>
      <c r="E533" s="4" t="s">
        <v>118</v>
      </c>
      <c r="F533" s="4" t="str">
        <f t="shared" si="8"/>
        <v>2ML</v>
      </c>
      <c r="G533" s="5">
        <v>46183</v>
      </c>
      <c r="H533" s="6">
        <v>0.48333333333333334</v>
      </c>
      <c r="I533" s="5">
        <v>46183</v>
      </c>
      <c r="L533" s="4" t="s">
        <v>165</v>
      </c>
      <c r="M533" s="4" t="s">
        <v>142</v>
      </c>
      <c r="N533" s="4" t="s">
        <v>208</v>
      </c>
      <c r="O533" s="4" t="s">
        <v>25</v>
      </c>
      <c r="P533" s="4">
        <v>29941</v>
      </c>
      <c r="Q533" s="4" t="s">
        <v>123</v>
      </c>
      <c r="S533" s="4" t="str">
        <f>VLOOKUP(L533&amp;TEXT(I533,"mmmm")&amp;YEAR(I533),'[1]Detalle C-Fecha'!$D$2:$E$15921,2,FALSE)</f>
        <v>Expreso - Servicios Troncales</v>
      </c>
    </row>
    <row r="534" spans="1:19" x14ac:dyDescent="0.3">
      <c r="A534" s="4">
        <v>35539</v>
      </c>
      <c r="B534" s="4" t="s">
        <v>28</v>
      </c>
      <c r="C534" s="4" t="s">
        <v>124</v>
      </c>
      <c r="D534" s="4" t="s">
        <v>23</v>
      </c>
      <c r="E534" s="4" t="s">
        <v>119</v>
      </c>
      <c r="F534" s="4" t="str">
        <f t="shared" si="8"/>
        <v>3ML</v>
      </c>
      <c r="G534" s="5">
        <v>46183</v>
      </c>
      <c r="H534" s="6">
        <v>0.48333333333333334</v>
      </c>
      <c r="I534" s="5">
        <v>46183</v>
      </c>
      <c r="L534" s="4" t="s">
        <v>165</v>
      </c>
      <c r="M534" s="4" t="s">
        <v>142</v>
      </c>
      <c r="N534" s="4" t="s">
        <v>208</v>
      </c>
      <c r="O534" s="4" t="s">
        <v>25</v>
      </c>
      <c r="P534" s="4">
        <v>29942</v>
      </c>
      <c r="Q534" s="4" t="s">
        <v>123</v>
      </c>
      <c r="S534" s="4" t="str">
        <f>VLOOKUP(L534&amp;TEXT(I534,"mmmm")&amp;YEAR(I534),'[1]Detalle C-Fecha'!$D$2:$E$15921,2,FALSE)</f>
        <v>Expreso - Servicios Troncales</v>
      </c>
    </row>
    <row r="535" spans="1:19" x14ac:dyDescent="0.3">
      <c r="A535" s="4">
        <v>35540</v>
      </c>
      <c r="B535" s="4" t="s">
        <v>28</v>
      </c>
      <c r="C535" s="4" t="s">
        <v>124</v>
      </c>
      <c r="D535" s="4" t="s">
        <v>23</v>
      </c>
      <c r="E535" s="4" t="s">
        <v>120</v>
      </c>
      <c r="F535" s="4" t="str">
        <f t="shared" si="8"/>
        <v>6ML</v>
      </c>
      <c r="G535" s="5">
        <v>46183</v>
      </c>
      <c r="H535" s="6">
        <v>0.48333333333333334</v>
      </c>
      <c r="I535" s="5">
        <v>46183</v>
      </c>
      <c r="L535" s="4" t="s">
        <v>165</v>
      </c>
      <c r="M535" s="4" t="s">
        <v>142</v>
      </c>
      <c r="N535" s="4" t="s">
        <v>208</v>
      </c>
      <c r="O535" s="4" t="s">
        <v>25</v>
      </c>
      <c r="P535" s="4">
        <v>29944</v>
      </c>
      <c r="Q535" s="4" t="s">
        <v>123</v>
      </c>
      <c r="S535" s="4" t="str">
        <f>VLOOKUP(L535&amp;TEXT(I535,"mmmm")&amp;YEAR(I535),'[1]Detalle C-Fecha'!$D$2:$E$15921,2,FALSE)</f>
        <v>Expreso - Servicios Troncales</v>
      </c>
    </row>
    <row r="536" spans="1:19" x14ac:dyDescent="0.3">
      <c r="A536" s="4">
        <v>35548</v>
      </c>
      <c r="B536" s="4" t="s">
        <v>28</v>
      </c>
      <c r="C536" s="4" t="s">
        <v>124</v>
      </c>
      <c r="D536" s="4" t="s">
        <v>23</v>
      </c>
      <c r="E536" s="4" t="s">
        <v>51</v>
      </c>
      <c r="F536" s="4" t="str">
        <f t="shared" si="8"/>
        <v>2MC</v>
      </c>
      <c r="G536" s="5">
        <v>46183</v>
      </c>
      <c r="H536" s="6">
        <v>0.66180555555555554</v>
      </c>
      <c r="I536" s="5">
        <v>46183</v>
      </c>
      <c r="J536" s="5">
        <v>46183</v>
      </c>
      <c r="K536" s="5">
        <v>46183</v>
      </c>
      <c r="L536" s="4" t="s">
        <v>265</v>
      </c>
      <c r="M536" s="4" t="s">
        <v>130</v>
      </c>
      <c r="N536" s="4" t="s">
        <v>208</v>
      </c>
      <c r="O536" s="4" t="s">
        <v>24</v>
      </c>
      <c r="P536" s="4">
        <v>29983</v>
      </c>
      <c r="Q536" s="4" t="s">
        <v>123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35549</v>
      </c>
      <c r="B537" s="4" t="s">
        <v>28</v>
      </c>
      <c r="C537" s="4" t="s">
        <v>124</v>
      </c>
      <c r="D537" s="4" t="s">
        <v>23</v>
      </c>
      <c r="E537" s="4" t="s">
        <v>53</v>
      </c>
      <c r="F537" s="4" t="str">
        <f t="shared" si="8"/>
        <v>3MC</v>
      </c>
      <c r="G537" s="5">
        <v>46183</v>
      </c>
      <c r="H537" s="6">
        <v>0.66180555555555554</v>
      </c>
      <c r="I537" s="5">
        <v>46183</v>
      </c>
      <c r="J537" s="5">
        <v>46183</v>
      </c>
      <c r="K537" s="5">
        <v>46183</v>
      </c>
      <c r="L537" s="4" t="s">
        <v>265</v>
      </c>
      <c r="M537" s="4" t="s">
        <v>130</v>
      </c>
      <c r="N537" s="4" t="s">
        <v>208</v>
      </c>
      <c r="O537" s="4" t="s">
        <v>24</v>
      </c>
      <c r="P537" s="4">
        <v>29984</v>
      </c>
      <c r="Q537" s="4" t="s">
        <v>123</v>
      </c>
      <c r="S537" s="4" t="str">
        <f>VLOOKUP(L537&amp;TEXT(I537,"mmmm")&amp;YEAR(I537),'[1]Detalle C-Fecha'!$D$2:$E$15921,2,FALSE)</f>
        <v>CCUDyAZA</v>
      </c>
    </row>
    <row r="538" spans="1:19" x14ac:dyDescent="0.3">
      <c r="A538" s="4">
        <v>35550</v>
      </c>
      <c r="B538" s="4" t="s">
        <v>28</v>
      </c>
      <c r="C538" s="4" t="s">
        <v>124</v>
      </c>
      <c r="D538" s="4" t="s">
        <v>23</v>
      </c>
      <c r="E538" s="4" t="s">
        <v>52</v>
      </c>
      <c r="F538" s="4" t="str">
        <f t="shared" si="8"/>
        <v>6MC</v>
      </c>
      <c r="G538" s="5">
        <v>46183</v>
      </c>
      <c r="H538" s="6">
        <v>0.66180555555555554</v>
      </c>
      <c r="I538" s="5">
        <v>46183</v>
      </c>
      <c r="J538" s="5">
        <v>46183</v>
      </c>
      <c r="K538" s="5">
        <v>46183</v>
      </c>
      <c r="L538" s="4" t="s">
        <v>265</v>
      </c>
      <c r="M538" s="4" t="s">
        <v>130</v>
      </c>
      <c r="N538" s="4" t="s">
        <v>208</v>
      </c>
      <c r="O538" s="4" t="s">
        <v>24</v>
      </c>
      <c r="P538" s="4">
        <v>29985</v>
      </c>
      <c r="Q538" s="4" t="s">
        <v>123</v>
      </c>
      <c r="S538" s="4" t="str">
        <f>VLOOKUP(L538&amp;TEXT(I538,"mmmm")&amp;YEAR(I538),'[1]Detalle C-Fecha'!$D$2:$E$15921,2,FALSE)</f>
        <v>CCUDyAZA</v>
      </c>
    </row>
    <row r="539" spans="1:19" x14ac:dyDescent="0.3">
      <c r="A539" s="4">
        <v>35553</v>
      </c>
      <c r="B539" s="4" t="s">
        <v>28</v>
      </c>
      <c r="C539" s="4" t="s">
        <v>124</v>
      </c>
      <c r="D539" s="4" t="s">
        <v>23</v>
      </c>
      <c r="E539" s="4" t="s">
        <v>51</v>
      </c>
      <c r="F539" s="4" t="str">
        <f t="shared" si="8"/>
        <v>2MC</v>
      </c>
      <c r="G539" s="5">
        <v>46183</v>
      </c>
      <c r="H539" s="6">
        <v>0.66180555555555554</v>
      </c>
      <c r="I539" s="5">
        <v>46183</v>
      </c>
      <c r="J539" s="5">
        <v>46183</v>
      </c>
      <c r="K539" s="5">
        <v>46183</v>
      </c>
      <c r="L539" s="4" t="s">
        <v>266</v>
      </c>
      <c r="M539" s="4" t="s">
        <v>163</v>
      </c>
      <c r="N539" s="4" t="s">
        <v>208</v>
      </c>
      <c r="O539" s="4" t="s">
        <v>24</v>
      </c>
      <c r="P539" s="4">
        <v>29989</v>
      </c>
      <c r="Q539" s="4" t="s">
        <v>123</v>
      </c>
      <c r="S539" s="4" t="str">
        <f>VLOOKUP(L539&amp;TEXT(I539,"mmmm")&amp;YEAR(I539),'[1]Detalle C-Fecha'!$D$2:$E$15921,2,FALSE)</f>
        <v>CCUDyAZA</v>
      </c>
    </row>
    <row r="540" spans="1:19" x14ac:dyDescent="0.3">
      <c r="A540" s="4">
        <v>35554</v>
      </c>
      <c r="B540" s="4" t="s">
        <v>28</v>
      </c>
      <c r="C540" s="4" t="s">
        <v>124</v>
      </c>
      <c r="D540" s="4" t="s">
        <v>23</v>
      </c>
      <c r="E540" s="4" t="s">
        <v>53</v>
      </c>
      <c r="F540" s="4" t="str">
        <f t="shared" si="8"/>
        <v>3MC</v>
      </c>
      <c r="G540" s="5">
        <v>46183</v>
      </c>
      <c r="H540" s="6">
        <v>0.66180555555555554</v>
      </c>
      <c r="I540" s="5">
        <v>46183</v>
      </c>
      <c r="J540" s="5">
        <v>46183</v>
      </c>
      <c r="K540" s="5">
        <v>46183</v>
      </c>
      <c r="L540" s="4" t="s">
        <v>266</v>
      </c>
      <c r="M540" s="4" t="s">
        <v>163</v>
      </c>
      <c r="N540" s="4" t="s">
        <v>208</v>
      </c>
      <c r="O540" s="4" t="s">
        <v>24</v>
      </c>
      <c r="P540" s="4">
        <v>29990</v>
      </c>
      <c r="Q540" s="4" t="s">
        <v>123</v>
      </c>
      <c r="S540" s="4" t="str">
        <f>VLOOKUP(L540&amp;TEXT(I540,"mmmm")&amp;YEAR(I540),'[1]Detalle C-Fecha'!$D$2:$E$15921,2,FALSE)</f>
        <v>CCUDyAZA</v>
      </c>
    </row>
    <row r="541" spans="1:19" x14ac:dyDescent="0.3">
      <c r="A541" s="4">
        <v>35555</v>
      </c>
      <c r="B541" s="4" t="s">
        <v>28</v>
      </c>
      <c r="C541" s="4" t="s">
        <v>124</v>
      </c>
      <c r="D541" s="4" t="s">
        <v>23</v>
      </c>
      <c r="E541" s="4" t="s">
        <v>52</v>
      </c>
      <c r="F541" s="4" t="str">
        <f t="shared" si="8"/>
        <v>6MC</v>
      </c>
      <c r="G541" s="5">
        <v>46183</v>
      </c>
      <c r="H541" s="6">
        <v>0.66180555555555554</v>
      </c>
      <c r="I541" s="5">
        <v>46183</v>
      </c>
      <c r="J541" s="5">
        <v>46183</v>
      </c>
      <c r="K541" s="5">
        <v>46183</v>
      </c>
      <c r="L541" s="4" t="s">
        <v>266</v>
      </c>
      <c r="M541" s="4" t="s">
        <v>163</v>
      </c>
      <c r="N541" s="4" t="s">
        <v>208</v>
      </c>
      <c r="O541" s="4" t="s">
        <v>24</v>
      </c>
      <c r="P541" s="4">
        <v>29991</v>
      </c>
      <c r="Q541" s="4" t="s">
        <v>123</v>
      </c>
      <c r="S541" s="4" t="str">
        <f>VLOOKUP(L541&amp;TEXT(I541,"mmmm")&amp;YEAR(I541),'[1]Detalle C-Fecha'!$D$2:$E$15921,2,FALSE)</f>
        <v>CCUDyAZA</v>
      </c>
    </row>
    <row r="542" spans="1:19" x14ac:dyDescent="0.3">
      <c r="A542" s="4">
        <v>35647</v>
      </c>
      <c r="B542" s="4" t="s">
        <v>28</v>
      </c>
      <c r="C542" s="4" t="s">
        <v>15</v>
      </c>
      <c r="D542" s="4" t="s">
        <v>16</v>
      </c>
      <c r="E542" s="4" t="s">
        <v>51</v>
      </c>
      <c r="F542" s="4" t="str">
        <f t="shared" si="8"/>
        <v>2MC</v>
      </c>
      <c r="G542" s="5">
        <v>46184</v>
      </c>
      <c r="H542" s="6">
        <v>0.67361111111111116</v>
      </c>
      <c r="I542" s="5">
        <v>46184</v>
      </c>
      <c r="J542" s="5">
        <v>46184</v>
      </c>
      <c r="K542" s="5">
        <v>46189</v>
      </c>
      <c r="L542" s="4" t="s">
        <v>267</v>
      </c>
      <c r="M542" s="4" t="s">
        <v>130</v>
      </c>
      <c r="N542" s="4" t="s">
        <v>208</v>
      </c>
      <c r="O542" s="4" t="s">
        <v>18</v>
      </c>
      <c r="P542" s="4">
        <v>30049</v>
      </c>
      <c r="Q542" s="4" t="s">
        <v>19</v>
      </c>
      <c r="R542" s="4">
        <v>43415</v>
      </c>
      <c r="S542" s="4" t="str">
        <f>VLOOKUP(L542&amp;TEXT(I542,"mmmm")&amp;YEAR(I542),'[1]Detalle C-Fecha'!$D$2:$E$15921,2,FALSE)</f>
        <v>CMQ_TTE - QUILMES TTE</v>
      </c>
    </row>
    <row r="543" spans="1:19" x14ac:dyDescent="0.3">
      <c r="A543" s="4">
        <v>35648</v>
      </c>
      <c r="B543" s="4" t="s">
        <v>28</v>
      </c>
      <c r="C543" s="4" t="s">
        <v>15</v>
      </c>
      <c r="D543" s="4" t="s">
        <v>16</v>
      </c>
      <c r="E543" s="4" t="s">
        <v>53</v>
      </c>
      <c r="F543" s="4" t="str">
        <f t="shared" si="8"/>
        <v>3MC</v>
      </c>
      <c r="G543" s="5">
        <v>46184</v>
      </c>
      <c r="H543" s="6">
        <v>0.67361111111111116</v>
      </c>
      <c r="I543" s="5">
        <v>46184</v>
      </c>
      <c r="J543" s="5">
        <v>46184</v>
      </c>
      <c r="K543" s="5">
        <v>46189</v>
      </c>
      <c r="L543" s="4" t="s">
        <v>267</v>
      </c>
      <c r="M543" s="4" t="s">
        <v>130</v>
      </c>
      <c r="N543" s="4" t="s">
        <v>208</v>
      </c>
      <c r="O543" s="4" t="s">
        <v>18</v>
      </c>
      <c r="P543" s="4">
        <v>30050</v>
      </c>
      <c r="Q543" s="4" t="s">
        <v>19</v>
      </c>
      <c r="R543" s="4">
        <v>43415</v>
      </c>
      <c r="S543" s="4" t="str">
        <f>VLOOKUP(L543&amp;TEXT(I543,"mmmm")&amp;YEAR(I543),'[1]Detalle C-Fecha'!$D$2:$E$15921,2,FALSE)</f>
        <v>CMQ_TTE - QUILMES TTE</v>
      </c>
    </row>
    <row r="544" spans="1:19" x14ac:dyDescent="0.3">
      <c r="A544" s="4">
        <v>35649</v>
      </c>
      <c r="B544" s="4" t="s">
        <v>28</v>
      </c>
      <c r="C544" s="4" t="s">
        <v>15</v>
      </c>
      <c r="D544" s="4" t="s">
        <v>16</v>
      </c>
      <c r="E544" s="4" t="s">
        <v>52</v>
      </c>
      <c r="F544" s="4" t="str">
        <f t="shared" si="8"/>
        <v>6MC</v>
      </c>
      <c r="G544" s="5">
        <v>46184</v>
      </c>
      <c r="H544" s="6">
        <v>0.67361111111111116</v>
      </c>
      <c r="I544" s="5">
        <v>46184</v>
      </c>
      <c r="J544" s="5">
        <v>46184</v>
      </c>
      <c r="K544" s="5">
        <v>46189</v>
      </c>
      <c r="L544" s="4" t="s">
        <v>267</v>
      </c>
      <c r="M544" s="4" t="s">
        <v>130</v>
      </c>
      <c r="N544" s="4" t="s">
        <v>208</v>
      </c>
      <c r="O544" s="4" t="s">
        <v>18</v>
      </c>
      <c r="P544" s="4">
        <v>30051</v>
      </c>
      <c r="Q544" s="4" t="s">
        <v>19</v>
      </c>
      <c r="R544" s="4">
        <v>43415</v>
      </c>
      <c r="S544" s="4" t="str">
        <f>VLOOKUP(L544&amp;TEXT(I544,"mmmm")&amp;YEAR(I544),'[1]Detalle C-Fecha'!$D$2:$E$15921,2,FALSE)</f>
        <v>CMQ_TTE - QUILMES TTE</v>
      </c>
    </row>
    <row r="545" spans="1:19" x14ac:dyDescent="0.3">
      <c r="A545" s="4">
        <v>35722</v>
      </c>
      <c r="B545" s="4" t="s">
        <v>28</v>
      </c>
      <c r="C545" s="4" t="s">
        <v>15</v>
      </c>
      <c r="D545" s="4" t="s">
        <v>16</v>
      </c>
      <c r="E545" s="4" t="s">
        <v>51</v>
      </c>
      <c r="F545" s="4" t="str">
        <f t="shared" si="8"/>
        <v>2MC</v>
      </c>
      <c r="G545" s="5">
        <v>46184</v>
      </c>
      <c r="H545" s="6">
        <v>0.86458333333333337</v>
      </c>
      <c r="I545" s="5">
        <v>46184</v>
      </c>
      <c r="J545" s="5">
        <v>46184</v>
      </c>
      <c r="K545" s="5">
        <v>46189</v>
      </c>
      <c r="L545" s="4" t="s">
        <v>268</v>
      </c>
      <c r="M545" s="4" t="s">
        <v>163</v>
      </c>
      <c r="N545" s="4" t="s">
        <v>208</v>
      </c>
      <c r="O545" s="4" t="s">
        <v>24</v>
      </c>
      <c r="P545" s="4">
        <v>30057</v>
      </c>
      <c r="Q545" s="4" t="s">
        <v>19</v>
      </c>
      <c r="R545" s="4">
        <v>43416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35723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46184</v>
      </c>
      <c r="H546" s="6">
        <v>0.86458333333333337</v>
      </c>
      <c r="I546" s="5">
        <v>46184</v>
      </c>
      <c r="J546" s="5">
        <v>46184</v>
      </c>
      <c r="K546" s="5">
        <v>46189</v>
      </c>
      <c r="L546" s="4" t="s">
        <v>268</v>
      </c>
      <c r="M546" s="4" t="s">
        <v>163</v>
      </c>
      <c r="N546" s="4" t="s">
        <v>208</v>
      </c>
      <c r="O546" s="4" t="s">
        <v>24</v>
      </c>
      <c r="P546" s="4">
        <v>30058</v>
      </c>
      <c r="Q546" s="4" t="s">
        <v>19</v>
      </c>
      <c r="R546" s="4">
        <v>43416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35724</v>
      </c>
      <c r="B547" s="4" t="s">
        <v>28</v>
      </c>
      <c r="C547" s="4" t="s">
        <v>15</v>
      </c>
      <c r="D547" s="4" t="s">
        <v>16</v>
      </c>
      <c r="E547" s="4" t="s">
        <v>52</v>
      </c>
      <c r="F547" s="4" t="str">
        <f t="shared" si="8"/>
        <v>6MC</v>
      </c>
      <c r="G547" s="5">
        <v>46184</v>
      </c>
      <c r="H547" s="6">
        <v>0.86458333333333337</v>
      </c>
      <c r="I547" s="5">
        <v>46184</v>
      </c>
      <c r="J547" s="5">
        <v>46184</v>
      </c>
      <c r="K547" s="5">
        <v>46189</v>
      </c>
      <c r="L547" s="4" t="s">
        <v>268</v>
      </c>
      <c r="M547" s="4" t="s">
        <v>163</v>
      </c>
      <c r="N547" s="4" t="s">
        <v>208</v>
      </c>
      <c r="O547" s="4" t="s">
        <v>24</v>
      </c>
      <c r="P547" s="4">
        <v>30059</v>
      </c>
      <c r="Q547" s="4" t="s">
        <v>19</v>
      </c>
      <c r="R547" s="4">
        <v>43416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35909</v>
      </c>
      <c r="B548" s="4" t="s">
        <v>28</v>
      </c>
      <c r="C548" s="4" t="s">
        <v>15</v>
      </c>
      <c r="D548" s="4" t="s">
        <v>16</v>
      </c>
      <c r="E548" s="4" t="s">
        <v>51</v>
      </c>
      <c r="F548" s="4" t="str">
        <f t="shared" si="8"/>
        <v>2MC</v>
      </c>
      <c r="G548" s="5">
        <v>46190</v>
      </c>
      <c r="H548" s="6">
        <v>0.45347222222222222</v>
      </c>
      <c r="I548" s="5">
        <v>46190</v>
      </c>
      <c r="J548" s="5">
        <v>46190</v>
      </c>
      <c r="K548" s="5">
        <v>46190</v>
      </c>
      <c r="L548" s="4" t="s">
        <v>269</v>
      </c>
      <c r="M548" s="4" t="s">
        <v>178</v>
      </c>
      <c r="N548" s="4" t="s">
        <v>31</v>
      </c>
      <c r="O548" s="4" t="s">
        <v>25</v>
      </c>
      <c r="P548" s="4">
        <v>30187</v>
      </c>
      <c r="Q548" s="4" t="s">
        <v>19</v>
      </c>
      <c r="R548" s="4">
        <v>44451</v>
      </c>
      <c r="S548" s="4" t="str">
        <f>VLOOKUP(L548&amp;TEXT(I548,"mmmm")&amp;YEAR(I548),'[1]Detalle C-Fecha'!$D$2:$E$15921,2,FALSE)</f>
        <v>SUC_GAL - Sucursal General Alvear</v>
      </c>
    </row>
    <row r="549" spans="1:19" x14ac:dyDescent="0.3">
      <c r="A549" s="4">
        <v>35910</v>
      </c>
      <c r="B549" s="4" t="s">
        <v>28</v>
      </c>
      <c r="C549" s="4" t="s">
        <v>15</v>
      </c>
      <c r="D549" s="4" t="s">
        <v>16</v>
      </c>
      <c r="E549" s="4" t="s">
        <v>53</v>
      </c>
      <c r="F549" s="4" t="str">
        <f t="shared" si="8"/>
        <v>3MC</v>
      </c>
      <c r="G549" s="5">
        <v>46190</v>
      </c>
      <c r="H549" s="6">
        <v>0.45347222222222222</v>
      </c>
      <c r="I549" s="5">
        <v>46190</v>
      </c>
      <c r="J549" s="5">
        <v>46190</v>
      </c>
      <c r="K549" s="5">
        <v>46190</v>
      </c>
      <c r="L549" s="4" t="s">
        <v>269</v>
      </c>
      <c r="M549" s="4" t="s">
        <v>178</v>
      </c>
      <c r="N549" s="4" t="s">
        <v>31</v>
      </c>
      <c r="O549" s="4" t="s">
        <v>25</v>
      </c>
      <c r="P549" s="4">
        <v>30188</v>
      </c>
      <c r="Q549" s="4" t="s">
        <v>19</v>
      </c>
      <c r="R549" s="4">
        <v>44453</v>
      </c>
      <c r="S549" s="4" t="str">
        <f>VLOOKUP(L549&amp;TEXT(I549,"mmmm")&amp;YEAR(I549),'[1]Detalle C-Fecha'!$D$2:$E$15921,2,FALSE)</f>
        <v>SUC_GAL - Sucursal General Alvear</v>
      </c>
    </row>
    <row r="550" spans="1:19" x14ac:dyDescent="0.3">
      <c r="A550" s="4">
        <v>35911</v>
      </c>
      <c r="B550" s="4" t="s">
        <v>28</v>
      </c>
      <c r="C550" s="4" t="s">
        <v>15</v>
      </c>
      <c r="D550" s="4" t="s">
        <v>16</v>
      </c>
      <c r="E550" s="4" t="s">
        <v>52</v>
      </c>
      <c r="F550" s="4" t="str">
        <f t="shared" si="8"/>
        <v>6MC</v>
      </c>
      <c r="G550" s="5">
        <v>46190</v>
      </c>
      <c r="H550" s="6">
        <v>0.45347222222222222</v>
      </c>
      <c r="I550" s="5">
        <v>46190</v>
      </c>
      <c r="J550" s="5">
        <v>46190</v>
      </c>
      <c r="K550" s="5">
        <v>46190</v>
      </c>
      <c r="L550" s="4" t="s">
        <v>269</v>
      </c>
      <c r="M550" s="4" t="s">
        <v>178</v>
      </c>
      <c r="N550" s="4" t="s">
        <v>31</v>
      </c>
      <c r="O550" s="4" t="s">
        <v>25</v>
      </c>
      <c r="P550" s="4">
        <v>30189</v>
      </c>
      <c r="Q550" s="4" t="s">
        <v>19</v>
      </c>
      <c r="R550" s="4">
        <v>44456</v>
      </c>
      <c r="S550" s="4" t="str">
        <f>VLOOKUP(L550&amp;TEXT(I550,"mmmm")&amp;YEAR(I550),'[1]Detalle C-Fecha'!$D$2:$E$15921,2,FALSE)</f>
        <v>SUC_GAL - Sucursal General Alvear</v>
      </c>
    </row>
    <row r="551" spans="1:19" x14ac:dyDescent="0.3">
      <c r="A551" s="4">
        <v>35940</v>
      </c>
      <c r="B551" s="4" t="s">
        <v>28</v>
      </c>
      <c r="C551" s="4" t="s">
        <v>15</v>
      </c>
      <c r="D551" s="4" t="s">
        <v>16</v>
      </c>
      <c r="E551" s="4" t="s">
        <v>51</v>
      </c>
      <c r="F551" s="4" t="str">
        <f t="shared" si="8"/>
        <v>2MC</v>
      </c>
      <c r="G551" s="5">
        <v>46191</v>
      </c>
      <c r="H551" s="6">
        <v>0.3347222222222222</v>
      </c>
      <c r="I551" s="5">
        <v>46191</v>
      </c>
      <c r="J551" s="5"/>
      <c r="K551" s="5">
        <v>46195</v>
      </c>
      <c r="L551" s="4" t="s">
        <v>271</v>
      </c>
      <c r="M551" s="4" t="s">
        <v>178</v>
      </c>
      <c r="N551" s="4" t="s">
        <v>208</v>
      </c>
      <c r="O551" s="4" t="s">
        <v>27</v>
      </c>
      <c r="P551" s="4">
        <v>30217</v>
      </c>
      <c r="Q551" s="4" t="s">
        <v>19</v>
      </c>
      <c r="R551" s="4">
        <v>44224</v>
      </c>
      <c r="S551" s="4" t="str">
        <f>VLOOKUP(L551&amp;TEXT(I551,"mmmm")&amp;YEAR(I551),'[1]Detalle C-Fecha'!$D$2:$E$15921,2,FALSE)</f>
        <v>CCUCoAZA</v>
      </c>
    </row>
    <row r="552" spans="1:19" x14ac:dyDescent="0.3">
      <c r="A552" s="4">
        <v>35941</v>
      </c>
      <c r="B552" s="4" t="s">
        <v>28</v>
      </c>
      <c r="C552" s="4" t="s">
        <v>15</v>
      </c>
      <c r="D552" s="4" t="s">
        <v>16</v>
      </c>
      <c r="E552" s="4" t="s">
        <v>53</v>
      </c>
      <c r="F552" s="4" t="str">
        <f t="shared" si="8"/>
        <v>3MC</v>
      </c>
      <c r="G552" s="5">
        <v>46191</v>
      </c>
      <c r="H552" s="6">
        <v>0.3347222222222222</v>
      </c>
      <c r="I552" s="5">
        <v>46191</v>
      </c>
      <c r="J552" s="5"/>
      <c r="K552" s="5">
        <v>46195</v>
      </c>
      <c r="L552" s="4" t="s">
        <v>271</v>
      </c>
      <c r="M552" s="4" t="s">
        <v>178</v>
      </c>
      <c r="N552" s="4" t="s">
        <v>208</v>
      </c>
      <c r="O552" s="4" t="s">
        <v>27</v>
      </c>
      <c r="P552" s="4">
        <v>30219</v>
      </c>
      <c r="Q552" s="4" t="s">
        <v>19</v>
      </c>
      <c r="R552" s="4">
        <v>44224</v>
      </c>
      <c r="S552" s="4" t="str">
        <f>VLOOKUP(L552&amp;TEXT(I552,"mmmm")&amp;YEAR(I552),'[1]Detalle C-Fecha'!$D$2:$E$15921,2,FALSE)</f>
        <v>CCUCoAZA</v>
      </c>
    </row>
    <row r="553" spans="1:19" x14ac:dyDescent="0.3">
      <c r="A553" s="4">
        <v>35942</v>
      </c>
      <c r="B553" s="4" t="s">
        <v>28</v>
      </c>
      <c r="C553" s="4" t="s">
        <v>15</v>
      </c>
      <c r="D553" s="4" t="s">
        <v>16</v>
      </c>
      <c r="E553" s="4" t="s">
        <v>112</v>
      </c>
      <c r="F553" s="4" t="str">
        <f t="shared" si="8"/>
        <v>6MC</v>
      </c>
      <c r="G553" s="5">
        <v>46191</v>
      </c>
      <c r="H553" s="6">
        <v>0.3347222222222222</v>
      </c>
      <c r="I553" s="5">
        <v>46191</v>
      </c>
      <c r="J553" s="5"/>
      <c r="K553" s="5">
        <v>46195</v>
      </c>
      <c r="L553" s="4" t="s">
        <v>271</v>
      </c>
      <c r="M553" s="4" t="s">
        <v>178</v>
      </c>
      <c r="N553" s="4" t="s">
        <v>208</v>
      </c>
      <c r="O553" s="4" t="s">
        <v>27</v>
      </c>
      <c r="P553" s="4">
        <v>30218</v>
      </c>
      <c r="Q553" s="4" t="s">
        <v>19</v>
      </c>
      <c r="R553" s="4">
        <v>44224</v>
      </c>
      <c r="S553" s="4" t="str">
        <f>VLOOKUP(L553&amp;TEXT(I553,"mmmm")&amp;YEAR(I553),'[1]Detalle C-Fecha'!$D$2:$E$15921,2,FALSE)</f>
        <v>CCUCoAZA</v>
      </c>
    </row>
    <row r="554" spans="1:19" x14ac:dyDescent="0.3">
      <c r="A554" s="4">
        <v>35977</v>
      </c>
      <c r="B554" s="4" t="s">
        <v>28</v>
      </c>
      <c r="C554" s="4" t="s">
        <v>15</v>
      </c>
      <c r="D554" s="4" t="s">
        <v>16</v>
      </c>
      <c r="E554" s="4" t="s">
        <v>35</v>
      </c>
      <c r="F554" s="4" t="str">
        <f t="shared" si="8"/>
        <v>2ML</v>
      </c>
      <c r="G554" s="5">
        <v>46191</v>
      </c>
      <c r="H554" s="6">
        <v>0.48472222222222222</v>
      </c>
      <c r="I554" s="5">
        <v>46191</v>
      </c>
      <c r="J554" s="5">
        <v>46191</v>
      </c>
      <c r="K554" s="5">
        <v>46191</v>
      </c>
      <c r="L554" s="4" t="s">
        <v>272</v>
      </c>
      <c r="M554" s="4" t="s">
        <v>149</v>
      </c>
      <c r="N554" s="4" t="s">
        <v>31</v>
      </c>
      <c r="O554" s="4" t="s">
        <v>25</v>
      </c>
      <c r="P554" s="4">
        <v>30252</v>
      </c>
      <c r="Q554" s="4" t="s">
        <v>19</v>
      </c>
      <c r="R554" s="4">
        <v>44511</v>
      </c>
      <c r="S554" s="4" t="str">
        <f>VLOOKUP(L554&amp;TEXT(I554,"mmmm")&amp;YEAR(I554),'[1]Detalle C-Fecha'!$D$2:$E$15921,2,FALSE)</f>
        <v>Expreso - Servicios Troncales</v>
      </c>
    </row>
    <row r="555" spans="1:19" x14ac:dyDescent="0.3">
      <c r="A555" s="4">
        <v>35978</v>
      </c>
      <c r="B555" s="4" t="s">
        <v>28</v>
      </c>
      <c r="C555" s="4" t="s">
        <v>15</v>
      </c>
      <c r="D555" s="4" t="s">
        <v>16</v>
      </c>
      <c r="E555" s="4" t="s">
        <v>47</v>
      </c>
      <c r="F555" s="4" t="str">
        <f t="shared" si="8"/>
        <v>3ML</v>
      </c>
      <c r="G555" s="5">
        <v>46191</v>
      </c>
      <c r="H555" s="6">
        <v>0.48472222222222222</v>
      </c>
      <c r="I555" s="5">
        <v>46191</v>
      </c>
      <c r="J555" s="5">
        <v>46191</v>
      </c>
      <c r="K555" s="5">
        <v>46191</v>
      </c>
      <c r="L555" s="4" t="s">
        <v>272</v>
      </c>
      <c r="M555" s="4" t="s">
        <v>149</v>
      </c>
      <c r="N555" s="4" t="s">
        <v>31</v>
      </c>
      <c r="O555" s="4" t="s">
        <v>25</v>
      </c>
      <c r="P555" s="4">
        <v>30256</v>
      </c>
      <c r="Q555" s="4" t="s">
        <v>19</v>
      </c>
      <c r="R555" s="4">
        <v>44513</v>
      </c>
      <c r="S555" s="4" t="str">
        <f>VLOOKUP(L555&amp;TEXT(I555,"mmmm")&amp;YEAR(I555),'[1]Detalle C-Fecha'!$D$2:$E$15921,2,FALSE)</f>
        <v>Expreso - Servicios Troncales</v>
      </c>
    </row>
    <row r="556" spans="1:19" x14ac:dyDescent="0.3">
      <c r="A556" s="4">
        <v>35979</v>
      </c>
      <c r="B556" s="4" t="s">
        <v>28</v>
      </c>
      <c r="C556" s="4" t="s">
        <v>15</v>
      </c>
      <c r="D556" s="4" t="s">
        <v>16</v>
      </c>
      <c r="E556" s="4" t="s">
        <v>46</v>
      </c>
      <c r="F556" s="4" t="str">
        <f t="shared" si="8"/>
        <v>6ML</v>
      </c>
      <c r="G556" s="5">
        <v>46191</v>
      </c>
      <c r="H556" s="6">
        <v>0.48472222222222222</v>
      </c>
      <c r="I556" s="5">
        <v>46191</v>
      </c>
      <c r="J556" s="5">
        <v>46191</v>
      </c>
      <c r="K556" s="5">
        <v>46191</v>
      </c>
      <c r="L556" s="4" t="s">
        <v>272</v>
      </c>
      <c r="M556" s="4" t="s">
        <v>149</v>
      </c>
      <c r="N556" s="4" t="s">
        <v>31</v>
      </c>
      <c r="O556" s="4" t="s">
        <v>25</v>
      </c>
      <c r="P556" s="4">
        <v>30257</v>
      </c>
      <c r="Q556" s="4" t="s">
        <v>19</v>
      </c>
      <c r="R556" s="4">
        <v>44515</v>
      </c>
      <c r="S556" s="4" t="str">
        <f>VLOOKUP(L556&amp;TEXT(I556,"mmmm")&amp;YEAR(I556),'[1]Detalle C-Fecha'!$D$2:$E$15921,2,FALSE)</f>
        <v>Expreso - Servicios Troncales</v>
      </c>
    </row>
    <row r="557" spans="1:19" x14ac:dyDescent="0.3">
      <c r="A557" s="4">
        <v>35980</v>
      </c>
      <c r="B557" s="4" t="s">
        <v>28</v>
      </c>
      <c r="C557" s="4" t="s">
        <v>15</v>
      </c>
      <c r="D557" s="4" t="s">
        <v>16</v>
      </c>
      <c r="E557" s="4" t="s">
        <v>137</v>
      </c>
      <c r="F557" s="4" t="str">
        <f t="shared" si="8"/>
        <v>7ML</v>
      </c>
      <c r="G557" s="5">
        <v>46191</v>
      </c>
      <c r="H557" s="6">
        <v>0.48472222222222222</v>
      </c>
      <c r="I557" s="5">
        <v>46191</v>
      </c>
      <c r="J557" s="5">
        <v>46191</v>
      </c>
      <c r="K557" s="5">
        <v>46191</v>
      </c>
      <c r="L557" s="4" t="s">
        <v>272</v>
      </c>
      <c r="M557" s="4" t="s">
        <v>149</v>
      </c>
      <c r="N557" s="4" t="s">
        <v>31</v>
      </c>
      <c r="O557" s="4" t="s">
        <v>25</v>
      </c>
      <c r="P557" s="4">
        <v>30258</v>
      </c>
      <c r="Q557" s="4" t="s">
        <v>19</v>
      </c>
      <c r="R557" s="4">
        <v>44517</v>
      </c>
      <c r="S557" s="4" t="str">
        <f>VLOOKUP(L557&amp;TEXT(I557,"mmmm")&amp;YEAR(I557),'[1]Detalle C-Fecha'!$D$2:$E$15921,2,FALSE)</f>
        <v>Expreso - Servicios Troncales</v>
      </c>
    </row>
    <row r="558" spans="1:19" x14ac:dyDescent="0.3">
      <c r="A558" s="4">
        <v>35981</v>
      </c>
      <c r="B558" s="4" t="s">
        <v>28</v>
      </c>
      <c r="C558" s="4" t="s">
        <v>15</v>
      </c>
      <c r="D558" s="4" t="s">
        <v>16</v>
      </c>
      <c r="E558" s="4" t="s">
        <v>216</v>
      </c>
      <c r="F558" s="4" t="str">
        <f t="shared" si="8"/>
        <v>8ML</v>
      </c>
      <c r="G558" s="5">
        <v>46191</v>
      </c>
      <c r="H558" s="6">
        <v>0.48472222222222222</v>
      </c>
      <c r="I558" s="5">
        <v>46191</v>
      </c>
      <c r="J558" s="5">
        <v>46191</v>
      </c>
      <c r="K558" s="5">
        <v>46191</v>
      </c>
      <c r="L558" s="4" t="s">
        <v>272</v>
      </c>
      <c r="M558" s="4" t="s">
        <v>149</v>
      </c>
      <c r="N558" s="4" t="s">
        <v>31</v>
      </c>
      <c r="O558" s="4" t="s">
        <v>25</v>
      </c>
      <c r="P558" s="4">
        <v>30259</v>
      </c>
      <c r="Q558" s="4" t="s">
        <v>19</v>
      </c>
      <c r="R558" s="4">
        <v>44519</v>
      </c>
      <c r="S558" s="4" t="str">
        <f>VLOOKUP(L558&amp;TEXT(I558,"mmmm")&amp;YEAR(I558),'[1]Detalle C-Fecha'!$D$2:$E$15921,2,FALSE)</f>
        <v>Expreso - Servicios Troncales</v>
      </c>
    </row>
    <row r="559" spans="1:19" x14ac:dyDescent="0.3">
      <c r="A559" s="4">
        <v>35991</v>
      </c>
      <c r="B559" s="4" t="s">
        <v>28</v>
      </c>
      <c r="C559" s="4" t="s">
        <v>15</v>
      </c>
      <c r="D559" s="4" t="s">
        <v>16</v>
      </c>
      <c r="E559" s="4" t="s">
        <v>51</v>
      </c>
      <c r="F559" s="4" t="str">
        <f t="shared" si="8"/>
        <v>2MC</v>
      </c>
      <c r="G559" s="5">
        <v>46191</v>
      </c>
      <c r="H559" s="6">
        <v>0.75555555555555554</v>
      </c>
      <c r="I559" s="5">
        <v>46191</v>
      </c>
      <c r="J559" s="5">
        <v>46191</v>
      </c>
      <c r="K559" s="5">
        <v>46195</v>
      </c>
      <c r="L559" s="4" t="s">
        <v>273</v>
      </c>
      <c r="M559" s="4">
        <v>1624</v>
      </c>
      <c r="N559" s="4" t="s">
        <v>208</v>
      </c>
      <c r="O559" s="4" t="s">
        <v>27</v>
      </c>
      <c r="P559" s="4">
        <v>30300</v>
      </c>
      <c r="Q559" s="4" t="s">
        <v>19</v>
      </c>
      <c r="R559" s="4">
        <v>44224</v>
      </c>
      <c r="S559" s="4" t="str">
        <f>VLOOKUP(L559&amp;TEXT(I559,"mmmm")&amp;YEAR(I559),'[1]Detalle C-Fecha'!$D$2:$E$15921,2,FALSE)</f>
        <v>CCUCoAZA</v>
      </c>
    </row>
    <row r="560" spans="1:19" x14ac:dyDescent="0.3">
      <c r="A560" s="4">
        <v>35992</v>
      </c>
      <c r="B560" s="4" t="s">
        <v>28</v>
      </c>
      <c r="C560" s="4" t="s">
        <v>15</v>
      </c>
      <c r="D560" s="4" t="s">
        <v>16</v>
      </c>
      <c r="E560" s="4" t="s">
        <v>53</v>
      </c>
      <c r="F560" s="4" t="str">
        <f t="shared" si="8"/>
        <v>3MC</v>
      </c>
      <c r="G560" s="5">
        <v>46191</v>
      </c>
      <c r="H560" s="6">
        <v>0.75555555555555554</v>
      </c>
      <c r="I560" s="5">
        <v>46191</v>
      </c>
      <c r="J560" s="5">
        <v>46191</v>
      </c>
      <c r="K560" s="5">
        <v>46195</v>
      </c>
      <c r="L560" s="4" t="s">
        <v>273</v>
      </c>
      <c r="M560" s="4">
        <v>1624</v>
      </c>
      <c r="N560" s="4" t="s">
        <v>208</v>
      </c>
      <c r="O560" s="4" t="s">
        <v>27</v>
      </c>
      <c r="P560" s="4">
        <v>30301</v>
      </c>
      <c r="Q560" s="4" t="s">
        <v>19</v>
      </c>
      <c r="R560" s="4">
        <v>44224</v>
      </c>
      <c r="S560" s="4" t="str">
        <f>VLOOKUP(L560&amp;TEXT(I560,"mmmm")&amp;YEAR(I560),'[1]Detalle C-Fecha'!$D$2:$E$15921,2,FALSE)</f>
        <v>CCUCoAZA</v>
      </c>
    </row>
    <row r="561" spans="1:19" x14ac:dyDescent="0.3">
      <c r="A561" s="4">
        <v>35993</v>
      </c>
      <c r="B561" s="4" t="s">
        <v>28</v>
      </c>
      <c r="C561" s="4" t="s">
        <v>15</v>
      </c>
      <c r="D561" s="4" t="s">
        <v>16</v>
      </c>
      <c r="E561" s="4" t="s">
        <v>52</v>
      </c>
      <c r="F561" s="4" t="str">
        <f t="shared" si="8"/>
        <v>6MC</v>
      </c>
      <c r="G561" s="5">
        <v>46191</v>
      </c>
      <c r="H561" s="6">
        <v>0.75555555555555554</v>
      </c>
      <c r="I561" s="5">
        <v>46191</v>
      </c>
      <c r="J561" s="5">
        <v>46191</v>
      </c>
      <c r="K561" s="5">
        <v>46195</v>
      </c>
      <c r="L561" s="4" t="s">
        <v>273</v>
      </c>
      <c r="M561" s="4">
        <v>1624</v>
      </c>
      <c r="N561" s="4" t="s">
        <v>208</v>
      </c>
      <c r="O561" s="4" t="s">
        <v>27</v>
      </c>
      <c r="P561" s="4">
        <v>30302</v>
      </c>
      <c r="Q561" s="4" t="s">
        <v>19</v>
      </c>
      <c r="R561" s="4">
        <v>44224</v>
      </c>
      <c r="S561" s="4" t="str">
        <f>VLOOKUP(L561&amp;TEXT(I561,"mmmm")&amp;YEAR(I561),'[1]Detalle C-Fecha'!$D$2:$E$15921,2,FALSE)</f>
        <v>CCUCoAZA</v>
      </c>
    </row>
    <row r="562" spans="1:19" x14ac:dyDescent="0.3">
      <c r="A562" s="4">
        <v>35998</v>
      </c>
      <c r="B562" s="4" t="s">
        <v>28</v>
      </c>
      <c r="C562" s="4" t="s">
        <v>15</v>
      </c>
      <c r="D562" s="4" t="s">
        <v>16</v>
      </c>
      <c r="E562" s="4" t="s">
        <v>121</v>
      </c>
      <c r="F562" s="4" t="str">
        <f t="shared" si="8"/>
        <v>2MC</v>
      </c>
      <c r="G562" s="5">
        <v>46192</v>
      </c>
      <c r="H562" s="6">
        <v>0.34027777777777773</v>
      </c>
      <c r="I562" s="5">
        <v>46192</v>
      </c>
      <c r="K562" s="5">
        <v>46195</v>
      </c>
      <c r="L562" s="4" t="s">
        <v>232</v>
      </c>
      <c r="M562" s="4" t="s">
        <v>155</v>
      </c>
      <c r="N562" s="4" t="s">
        <v>208</v>
      </c>
      <c r="O562" s="4" t="s">
        <v>18</v>
      </c>
      <c r="P562" s="4">
        <v>30306</v>
      </c>
      <c r="Q562" s="4" t="s">
        <v>19</v>
      </c>
      <c r="R562" s="4">
        <v>44187</v>
      </c>
      <c r="S562" s="4" t="str">
        <f>VLOOKUP(L562&amp;TEXT(I562,"mmmm")&amp;YEAR(I562),'[1]Detalle C-Fecha'!$D$2:$E$15921,2,FALSE)</f>
        <v>CMQ_TTE - QUILMES TTE</v>
      </c>
    </row>
    <row r="563" spans="1:19" x14ac:dyDescent="0.3">
      <c r="A563" s="4">
        <v>35999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46192</v>
      </c>
      <c r="H563" s="6">
        <v>0.34027777777777773</v>
      </c>
      <c r="I563" s="5">
        <v>46192</v>
      </c>
      <c r="K563" s="5">
        <v>46195</v>
      </c>
      <c r="L563" s="4" t="s">
        <v>232</v>
      </c>
      <c r="M563" s="4" t="s">
        <v>155</v>
      </c>
      <c r="N563" s="4" t="s">
        <v>208</v>
      </c>
      <c r="O563" s="4" t="s">
        <v>18</v>
      </c>
      <c r="P563" s="4">
        <v>30307</v>
      </c>
      <c r="Q563" s="4" t="s">
        <v>19</v>
      </c>
      <c r="R563" s="4">
        <v>44187</v>
      </c>
      <c r="S563" s="4" t="str">
        <f>VLOOKUP(L563&amp;TEXT(I563,"mmmm")&amp;YEAR(I563),'[1]Detalle C-Fecha'!$D$2:$E$15921,2,FALSE)</f>
        <v>CMQ_TTE - QUILMES TTE</v>
      </c>
    </row>
    <row r="564" spans="1:19" x14ac:dyDescent="0.3">
      <c r="A564" s="4">
        <v>36000</v>
      </c>
      <c r="B564" s="4" t="s">
        <v>28</v>
      </c>
      <c r="C564" s="4" t="s">
        <v>15</v>
      </c>
      <c r="D564" s="4" t="s">
        <v>16</v>
      </c>
      <c r="E564" s="4" t="s">
        <v>111</v>
      </c>
      <c r="F564" s="4" t="str">
        <f t="shared" si="8"/>
        <v>6MC</v>
      </c>
      <c r="G564" s="5">
        <v>46192</v>
      </c>
      <c r="H564" s="6">
        <v>0.34027777777777773</v>
      </c>
      <c r="I564" s="5">
        <v>46192</v>
      </c>
      <c r="J564" s="5"/>
      <c r="K564" s="5">
        <v>46195</v>
      </c>
      <c r="L564" s="4" t="s">
        <v>232</v>
      </c>
      <c r="M564" s="4" t="s">
        <v>155</v>
      </c>
      <c r="N564" s="4" t="s">
        <v>208</v>
      </c>
      <c r="O564" s="4" t="s">
        <v>18</v>
      </c>
      <c r="P564" s="4">
        <v>30308</v>
      </c>
      <c r="Q564" s="4" t="s">
        <v>19</v>
      </c>
      <c r="R564" s="4">
        <v>44187</v>
      </c>
      <c r="S564" s="4" t="str">
        <f>VLOOKUP(L564&amp;TEXT(I564,"mmmm")&amp;YEAR(I564),'[1]Detalle C-Fecha'!$D$2:$E$15921,2,FALSE)</f>
        <v>CMQ_TTE - QUILMES TTE</v>
      </c>
    </row>
    <row r="565" spans="1:19" x14ac:dyDescent="0.3">
      <c r="A565" s="4">
        <v>36162</v>
      </c>
      <c r="B565" s="4" t="s">
        <v>28</v>
      </c>
      <c r="C565" s="4" t="s">
        <v>15</v>
      </c>
      <c r="D565" s="4" t="s">
        <v>16</v>
      </c>
      <c r="E565" s="4" t="s">
        <v>51</v>
      </c>
      <c r="F565" s="4" t="str">
        <f t="shared" si="8"/>
        <v>2MC</v>
      </c>
      <c r="G565" s="5">
        <v>46195</v>
      </c>
      <c r="H565" s="6">
        <v>0.8354166666666667</v>
      </c>
      <c r="I565" s="5">
        <v>46195</v>
      </c>
      <c r="J565" s="5">
        <v>46195</v>
      </c>
      <c r="K565" s="5">
        <v>46198</v>
      </c>
      <c r="L565" s="4" t="s">
        <v>274</v>
      </c>
      <c r="M565" s="4" t="s">
        <v>163</v>
      </c>
      <c r="N565" s="4" t="s">
        <v>208</v>
      </c>
      <c r="O565" s="4" t="s">
        <v>18</v>
      </c>
      <c r="P565" s="4">
        <v>30363</v>
      </c>
      <c r="Q565" s="4" t="s">
        <v>19</v>
      </c>
      <c r="R565" s="4">
        <v>44187</v>
      </c>
      <c r="S565" s="4" t="str">
        <f>VLOOKUP(L565&amp;TEXT(I565,"mmmm")&amp;YEAR(I565),'[1]Detalle C-Fecha'!$D$2:$E$15921,2,FALSE)</f>
        <v>CMQ_TTE - QUILMES TTE</v>
      </c>
    </row>
    <row r="566" spans="1:19" x14ac:dyDescent="0.3">
      <c r="A566" s="4">
        <v>36163</v>
      </c>
      <c r="B566" s="4" t="s">
        <v>28</v>
      </c>
      <c r="C566" s="4" t="s">
        <v>15</v>
      </c>
      <c r="D566" s="4" t="s">
        <v>16</v>
      </c>
      <c r="E566" s="4" t="s">
        <v>53</v>
      </c>
      <c r="F566" s="4" t="str">
        <f t="shared" si="8"/>
        <v>3MC</v>
      </c>
      <c r="G566" s="5">
        <v>46195</v>
      </c>
      <c r="H566" s="6">
        <v>0.8354166666666667</v>
      </c>
      <c r="I566" s="5">
        <v>46195</v>
      </c>
      <c r="J566" s="5">
        <v>46195</v>
      </c>
      <c r="K566" s="5">
        <v>46198</v>
      </c>
      <c r="L566" s="4" t="s">
        <v>274</v>
      </c>
      <c r="M566" s="4" t="s">
        <v>163</v>
      </c>
      <c r="N566" s="4" t="s">
        <v>208</v>
      </c>
      <c r="O566" s="4" t="s">
        <v>18</v>
      </c>
      <c r="P566" s="4">
        <v>30364</v>
      </c>
      <c r="Q566" s="4" t="s">
        <v>19</v>
      </c>
      <c r="R566" s="4">
        <v>44187</v>
      </c>
      <c r="S566" s="4" t="str">
        <f>VLOOKUP(L566&amp;TEXT(I566,"mmmm")&amp;YEAR(I566),'[1]Detalle C-Fecha'!$D$2:$E$15921,2,FALSE)</f>
        <v>CMQ_TTE - QUILMES TTE</v>
      </c>
    </row>
    <row r="567" spans="1:19" x14ac:dyDescent="0.3">
      <c r="A567" s="4">
        <v>36164</v>
      </c>
      <c r="B567" s="4" t="s">
        <v>28</v>
      </c>
      <c r="C567" s="4" t="s">
        <v>15</v>
      </c>
      <c r="D567" s="4" t="s">
        <v>16</v>
      </c>
      <c r="E567" s="4" t="s">
        <v>52</v>
      </c>
      <c r="F567" s="4" t="str">
        <f t="shared" si="8"/>
        <v>6MC</v>
      </c>
      <c r="G567" s="5">
        <v>46195</v>
      </c>
      <c r="H567" s="6">
        <v>0.8354166666666667</v>
      </c>
      <c r="I567" s="5">
        <v>46195</v>
      </c>
      <c r="J567" s="5">
        <v>46195</v>
      </c>
      <c r="K567" s="5">
        <v>46198</v>
      </c>
      <c r="L567" s="4" t="s">
        <v>274</v>
      </c>
      <c r="M567" s="4" t="s">
        <v>163</v>
      </c>
      <c r="N567" s="4" t="s">
        <v>208</v>
      </c>
      <c r="O567" s="4" t="s">
        <v>18</v>
      </c>
      <c r="P567" s="4">
        <v>30365</v>
      </c>
      <c r="Q567" s="4" t="s">
        <v>19</v>
      </c>
      <c r="R567" s="4">
        <v>44187</v>
      </c>
      <c r="S567" s="4" t="str">
        <f>VLOOKUP(L567&amp;TEXT(I567,"mmmm")&amp;YEAR(I567),'[1]Detalle C-Fecha'!$D$2:$E$15921,2,FALSE)</f>
        <v>CMQ_TTE - QUILMES TTE</v>
      </c>
    </row>
    <row r="568" spans="1:19" x14ac:dyDescent="0.3">
      <c r="A568" s="4">
        <v>36181</v>
      </c>
      <c r="B568" s="4" t="s">
        <v>28</v>
      </c>
      <c r="C568" s="4" t="s">
        <v>15</v>
      </c>
      <c r="D568" s="4" t="s">
        <v>16</v>
      </c>
      <c r="E568" s="4" t="s">
        <v>35</v>
      </c>
      <c r="F568" s="4" t="str">
        <f t="shared" si="8"/>
        <v>2ML</v>
      </c>
      <c r="G568" s="5">
        <v>46196</v>
      </c>
      <c r="H568" s="6">
        <v>0.4680555555555555</v>
      </c>
      <c r="I568" s="5">
        <v>46191</v>
      </c>
      <c r="J568" s="5">
        <v>46191</v>
      </c>
      <c r="K568" s="5">
        <v>46191</v>
      </c>
      <c r="L568" s="4" t="s">
        <v>147</v>
      </c>
      <c r="M568" s="4" t="s">
        <v>126</v>
      </c>
      <c r="N568" s="4" t="s">
        <v>17</v>
      </c>
      <c r="O568" s="4" t="s">
        <v>25</v>
      </c>
      <c r="P568" s="4">
        <v>30382</v>
      </c>
      <c r="Q568" s="4" t="s">
        <v>19</v>
      </c>
      <c r="R568" s="4">
        <v>44261</v>
      </c>
      <c r="S568" s="4" t="str">
        <f>VLOOKUP(L568&amp;TEXT(I568,"mmmm")&amp;YEAR(I568),'[1]Detalle C-Fecha'!$D$2:$E$15921,2,FALSE)</f>
        <v>Expreso - Servicios Troncales</v>
      </c>
    </row>
    <row r="569" spans="1:19" x14ac:dyDescent="0.3">
      <c r="A569" s="4">
        <v>36182</v>
      </c>
      <c r="B569" s="4" t="s">
        <v>28</v>
      </c>
      <c r="C569" s="4" t="s">
        <v>15</v>
      </c>
      <c r="D569" s="4" t="s">
        <v>16</v>
      </c>
      <c r="E569" s="4" t="s">
        <v>47</v>
      </c>
      <c r="F569" s="4" t="str">
        <f t="shared" si="8"/>
        <v>3ML</v>
      </c>
      <c r="G569" s="5">
        <v>46196</v>
      </c>
      <c r="H569" s="6">
        <v>0.4680555555555555</v>
      </c>
      <c r="I569" s="5">
        <v>46191</v>
      </c>
      <c r="J569" s="5">
        <v>46191</v>
      </c>
      <c r="K569" s="5">
        <v>46191</v>
      </c>
      <c r="L569" s="4" t="s">
        <v>147</v>
      </c>
      <c r="M569" s="4" t="s">
        <v>126</v>
      </c>
      <c r="N569" s="4" t="s">
        <v>17</v>
      </c>
      <c r="O569" s="4" t="s">
        <v>25</v>
      </c>
      <c r="P569" s="4">
        <v>30383</v>
      </c>
      <c r="Q569" s="4" t="s">
        <v>19</v>
      </c>
      <c r="R569" s="4">
        <v>44263</v>
      </c>
      <c r="S569" s="4" t="str">
        <f>VLOOKUP(L569&amp;TEXT(I569,"mmmm")&amp;YEAR(I569),'[1]Detalle C-Fecha'!$D$2:$E$15921,2,FALSE)</f>
        <v>Expreso - Servicios Troncales</v>
      </c>
    </row>
    <row r="570" spans="1:19" x14ac:dyDescent="0.3">
      <c r="A570" s="4">
        <v>36183</v>
      </c>
      <c r="B570" s="4" t="s">
        <v>28</v>
      </c>
      <c r="C570" s="4" t="s">
        <v>15</v>
      </c>
      <c r="D570" s="4" t="s">
        <v>16</v>
      </c>
      <c r="E570" s="4" t="s">
        <v>46</v>
      </c>
      <c r="F570" s="4" t="str">
        <f t="shared" si="8"/>
        <v>6ML</v>
      </c>
      <c r="G570" s="5">
        <v>46196</v>
      </c>
      <c r="H570" s="6">
        <v>0.4680555555555555</v>
      </c>
      <c r="I570" s="5">
        <v>46191</v>
      </c>
      <c r="J570" s="5">
        <v>46191</v>
      </c>
      <c r="K570" s="5">
        <v>46191</v>
      </c>
      <c r="L570" s="4" t="s">
        <v>147</v>
      </c>
      <c r="M570" s="4" t="s">
        <v>126</v>
      </c>
      <c r="N570" s="4" t="s">
        <v>17</v>
      </c>
      <c r="O570" s="4" t="s">
        <v>25</v>
      </c>
      <c r="P570" s="4">
        <v>30384</v>
      </c>
      <c r="Q570" s="4" t="s">
        <v>19</v>
      </c>
      <c r="R570" s="4">
        <v>44265</v>
      </c>
      <c r="S570" s="4" t="str">
        <f>VLOOKUP(L570&amp;TEXT(I570,"mmmm")&amp;YEAR(I570),'[1]Detalle C-Fecha'!$D$2:$E$15921,2,FALSE)</f>
        <v>Expreso - Servicios Troncales</v>
      </c>
    </row>
    <row r="571" spans="1:19" x14ac:dyDescent="0.3">
      <c r="A571" s="4">
        <v>36190</v>
      </c>
      <c r="B571" s="4" t="s">
        <v>28</v>
      </c>
      <c r="C571" s="4" t="s">
        <v>15</v>
      </c>
      <c r="D571" s="4" t="s">
        <v>16</v>
      </c>
      <c r="E571" s="4" t="s">
        <v>47</v>
      </c>
      <c r="F571" s="4" t="str">
        <f t="shared" si="8"/>
        <v>3ML</v>
      </c>
      <c r="G571" s="5">
        <v>46196</v>
      </c>
      <c r="H571" s="6">
        <v>0.52152777777777781</v>
      </c>
      <c r="I571" s="5">
        <v>46195</v>
      </c>
      <c r="J571" s="5">
        <v>46203</v>
      </c>
      <c r="K571" s="5">
        <v>46203</v>
      </c>
      <c r="L571" s="4" t="s">
        <v>76</v>
      </c>
      <c r="M571" s="4" t="s">
        <v>127</v>
      </c>
      <c r="N571" s="4" t="s">
        <v>17</v>
      </c>
      <c r="O571" s="4" t="s">
        <v>24</v>
      </c>
      <c r="P571" s="4">
        <v>30390</v>
      </c>
      <c r="Q571" s="4" t="s">
        <v>19</v>
      </c>
      <c r="R571" s="4">
        <v>44406</v>
      </c>
      <c r="S571" s="4" t="str">
        <f>VLOOKUP(L571&amp;TEXT(I571,"mmmm")&amp;YEAR(I571),'[1]Detalle C-Fecha'!$D$2:$E$15921,2,FALSE)</f>
        <v>CENCOMLD - Cencosud SA - Mendoza</v>
      </c>
    </row>
    <row r="572" spans="1:19" x14ac:dyDescent="0.3">
      <c r="A572" s="4">
        <v>36191</v>
      </c>
      <c r="B572" s="4" t="s">
        <v>28</v>
      </c>
      <c r="C572" s="4" t="s">
        <v>15</v>
      </c>
      <c r="D572" s="4" t="s">
        <v>16</v>
      </c>
      <c r="E572" s="4" t="s">
        <v>35</v>
      </c>
      <c r="F572" s="4" t="str">
        <f t="shared" si="8"/>
        <v>2ML</v>
      </c>
      <c r="G572" s="5">
        <v>46196</v>
      </c>
      <c r="H572" s="6">
        <v>0.52152777777777781</v>
      </c>
      <c r="I572" s="5">
        <v>46195</v>
      </c>
      <c r="J572" s="5">
        <v>46203</v>
      </c>
      <c r="K572" s="5">
        <v>46203</v>
      </c>
      <c r="L572" s="4" t="s">
        <v>76</v>
      </c>
      <c r="M572" s="4" t="s">
        <v>127</v>
      </c>
      <c r="N572" s="4" t="s">
        <v>17</v>
      </c>
      <c r="O572" s="4" t="s">
        <v>24</v>
      </c>
      <c r="P572" s="4">
        <v>30391</v>
      </c>
      <c r="Q572" s="4" t="s">
        <v>19</v>
      </c>
      <c r="R572" s="4">
        <v>44408</v>
      </c>
      <c r="S572" s="4" t="str">
        <f>VLOOKUP(L572&amp;TEXT(I572,"mmmm")&amp;YEAR(I572),'[1]Detalle C-Fecha'!$D$2:$E$15921,2,FALSE)</f>
        <v>CENCOMLD - Cencosud SA - Mendoza</v>
      </c>
    </row>
    <row r="573" spans="1:19" x14ac:dyDescent="0.3">
      <c r="A573" s="4">
        <v>36192</v>
      </c>
      <c r="B573" s="4" t="s">
        <v>28</v>
      </c>
      <c r="C573" s="4" t="s">
        <v>15</v>
      </c>
      <c r="D573" s="4" t="s">
        <v>16</v>
      </c>
      <c r="E573" s="4" t="s">
        <v>46</v>
      </c>
      <c r="F573" s="4" t="str">
        <f t="shared" si="8"/>
        <v>6ML</v>
      </c>
      <c r="G573" s="5">
        <v>46196</v>
      </c>
      <c r="H573" s="6">
        <v>0.52222222222222225</v>
      </c>
      <c r="I573" s="5">
        <v>46195</v>
      </c>
      <c r="J573" s="5">
        <v>46203</v>
      </c>
      <c r="K573" s="5">
        <v>46203</v>
      </c>
      <c r="L573" s="4" t="s">
        <v>76</v>
      </c>
      <c r="M573" s="4" t="s">
        <v>127</v>
      </c>
      <c r="N573" s="4" t="s">
        <v>17</v>
      </c>
      <c r="O573" s="4" t="s">
        <v>24</v>
      </c>
      <c r="P573" s="4">
        <v>30392</v>
      </c>
      <c r="Q573" s="4" t="s">
        <v>19</v>
      </c>
      <c r="R573" s="4">
        <v>44410</v>
      </c>
      <c r="S573" s="4" t="str">
        <f>VLOOKUP(L573&amp;TEXT(I573,"mmmm")&amp;YEAR(I573),'[1]Detalle C-Fecha'!$D$2:$E$15921,2,FALSE)</f>
        <v>CENCOMLD - Cencosud SA - Mendoza</v>
      </c>
    </row>
    <row r="574" spans="1:19" x14ac:dyDescent="0.3">
      <c r="A574" s="4">
        <v>36212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46196</v>
      </c>
      <c r="H574" s="6">
        <v>0.6791666666666667</v>
      </c>
      <c r="I574" s="5">
        <v>46196</v>
      </c>
      <c r="J574" s="5">
        <v>46196</v>
      </c>
      <c r="K574" s="5">
        <v>46198</v>
      </c>
      <c r="L574" s="4" t="s">
        <v>275</v>
      </c>
      <c r="M574" s="4">
        <v>1620</v>
      </c>
      <c r="N574" s="4" t="s">
        <v>208</v>
      </c>
      <c r="O574" s="4" t="s">
        <v>18</v>
      </c>
      <c r="P574" s="4">
        <v>30429</v>
      </c>
      <c r="Q574" s="4" t="s">
        <v>19</v>
      </c>
      <c r="R574" s="4">
        <v>44187</v>
      </c>
      <c r="S574" s="4" t="str">
        <f>VLOOKUP(L574&amp;TEXT(I574,"mmmm")&amp;YEAR(I574),'[1]Detalle C-Fecha'!$D$2:$E$15921,2,FALSE)</f>
        <v>CMQ_TTE - QUILMES TTE</v>
      </c>
    </row>
    <row r="575" spans="1:19" x14ac:dyDescent="0.3">
      <c r="A575" s="4">
        <v>36213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46196</v>
      </c>
      <c r="H575" s="6">
        <v>0.6791666666666667</v>
      </c>
      <c r="I575" s="5">
        <v>46196</v>
      </c>
      <c r="J575" s="5">
        <v>46196</v>
      </c>
      <c r="K575" s="5">
        <v>46198</v>
      </c>
      <c r="L575" s="4" t="s">
        <v>275</v>
      </c>
      <c r="M575" s="4">
        <v>1620</v>
      </c>
      <c r="N575" s="4" t="s">
        <v>208</v>
      </c>
      <c r="O575" s="4" t="s">
        <v>18</v>
      </c>
      <c r="P575" s="4">
        <v>30430</v>
      </c>
      <c r="Q575" s="4" t="s">
        <v>19</v>
      </c>
      <c r="R575" s="4">
        <v>44187</v>
      </c>
      <c r="S575" s="4" t="str">
        <f>VLOOKUP(L575&amp;TEXT(I575,"mmmm")&amp;YEAR(I575),'[1]Detalle C-Fecha'!$D$2:$E$15921,2,FALSE)</f>
        <v>CMQ_TTE - QUILMES TTE</v>
      </c>
    </row>
    <row r="576" spans="1:19" x14ac:dyDescent="0.3">
      <c r="A576" s="4">
        <v>36214</v>
      </c>
      <c r="B576" s="4" t="s">
        <v>28</v>
      </c>
      <c r="C576" s="4" t="s">
        <v>15</v>
      </c>
      <c r="D576" s="4" t="s">
        <v>16</v>
      </c>
      <c r="E576" s="4" t="s">
        <v>111</v>
      </c>
      <c r="F576" s="4" t="str">
        <f t="shared" si="8"/>
        <v>6MC</v>
      </c>
      <c r="G576" s="5">
        <v>46196</v>
      </c>
      <c r="H576" s="6">
        <v>0.6791666666666667</v>
      </c>
      <c r="I576" s="5">
        <v>46196</v>
      </c>
      <c r="J576" s="5">
        <v>46196</v>
      </c>
      <c r="K576" s="5">
        <v>46198</v>
      </c>
      <c r="L576" s="4" t="s">
        <v>275</v>
      </c>
      <c r="M576" s="4">
        <v>1620</v>
      </c>
      <c r="N576" s="4" t="s">
        <v>208</v>
      </c>
      <c r="O576" s="4" t="s">
        <v>18</v>
      </c>
      <c r="P576" s="4">
        <v>30431</v>
      </c>
      <c r="Q576" s="4" t="s">
        <v>19</v>
      </c>
      <c r="R576" s="4">
        <v>44187</v>
      </c>
      <c r="S576" s="4" t="str">
        <f>VLOOKUP(L576&amp;TEXT(I576,"mmmm")&amp;YEAR(I576),'[1]Detalle C-Fecha'!$D$2:$E$15921,2,FALSE)</f>
        <v>CMQ_TTE - QUILMES TTE</v>
      </c>
    </row>
    <row r="577" spans="1:19" x14ac:dyDescent="0.3">
      <c r="A577" s="4">
        <v>36217</v>
      </c>
      <c r="B577" s="4" t="s">
        <v>28</v>
      </c>
      <c r="C577" s="4" t="s">
        <v>15</v>
      </c>
      <c r="D577" s="4" t="s">
        <v>16</v>
      </c>
      <c r="E577" s="4" t="s">
        <v>51</v>
      </c>
      <c r="F577" s="4" t="str">
        <f t="shared" si="8"/>
        <v>2MC</v>
      </c>
      <c r="G577" s="5">
        <v>46196</v>
      </c>
      <c r="H577" s="6">
        <v>0.6791666666666667</v>
      </c>
      <c r="I577" s="5">
        <v>46196</v>
      </c>
      <c r="J577" s="5">
        <v>46196</v>
      </c>
      <c r="K577" s="5">
        <v>46198</v>
      </c>
      <c r="L577" s="4" t="s">
        <v>276</v>
      </c>
      <c r="M577" s="4" t="s">
        <v>130</v>
      </c>
      <c r="N577" s="4" t="s">
        <v>208</v>
      </c>
      <c r="O577" s="4" t="s">
        <v>24</v>
      </c>
      <c r="P577" s="4">
        <v>30434</v>
      </c>
      <c r="Q577" s="4" t="s">
        <v>19</v>
      </c>
      <c r="R577" s="4">
        <v>44172</v>
      </c>
      <c r="S577" s="4" t="str">
        <f>VLOOKUP(L577&amp;TEXT(I577,"mmmm")&amp;YEAR(I577),'[1]Detalle C-Fecha'!$D$2:$E$15921,2,FALSE)</f>
        <v>CCUDyAZA</v>
      </c>
    </row>
    <row r="578" spans="1:19" x14ac:dyDescent="0.3">
      <c r="A578" s="4">
        <v>36218</v>
      </c>
      <c r="B578" s="4" t="s">
        <v>28</v>
      </c>
      <c r="C578" s="4" t="s">
        <v>15</v>
      </c>
      <c r="D578" s="4" t="s">
        <v>16</v>
      </c>
      <c r="E578" s="4" t="s">
        <v>53</v>
      </c>
      <c r="F578" s="4" t="str">
        <f t="shared" ref="F578:F641" si="9">MID(E578,1,3)</f>
        <v>3MC</v>
      </c>
      <c r="G578" s="5">
        <v>46196</v>
      </c>
      <c r="H578" s="6">
        <v>0.6791666666666667</v>
      </c>
      <c r="I578" s="5">
        <v>46196</v>
      </c>
      <c r="J578" s="5">
        <v>46196</v>
      </c>
      <c r="K578" s="5">
        <v>46198</v>
      </c>
      <c r="L578" s="4" t="s">
        <v>276</v>
      </c>
      <c r="M578" s="4" t="s">
        <v>130</v>
      </c>
      <c r="N578" s="4" t="s">
        <v>208</v>
      </c>
      <c r="O578" s="4" t="s">
        <v>24</v>
      </c>
      <c r="P578" s="4">
        <v>30435</v>
      </c>
      <c r="Q578" s="4" t="s">
        <v>19</v>
      </c>
      <c r="R578" s="4">
        <v>44173</v>
      </c>
      <c r="S578" s="4" t="str">
        <f>VLOOKUP(L578&amp;TEXT(I578,"mmmm")&amp;YEAR(I578),'[1]Detalle C-Fecha'!$D$2:$E$15921,2,FALSE)</f>
        <v>CCUDyAZA</v>
      </c>
    </row>
    <row r="579" spans="1:19" x14ac:dyDescent="0.3">
      <c r="A579" s="4">
        <v>36219</v>
      </c>
      <c r="B579" s="4" t="s">
        <v>28</v>
      </c>
      <c r="C579" s="4" t="s">
        <v>15</v>
      </c>
      <c r="D579" s="4" t="s">
        <v>16</v>
      </c>
      <c r="E579" s="4" t="s">
        <v>52</v>
      </c>
      <c r="F579" s="4" t="str">
        <f t="shared" si="9"/>
        <v>6MC</v>
      </c>
      <c r="G579" s="5">
        <v>46196</v>
      </c>
      <c r="H579" s="6">
        <v>0.6791666666666667</v>
      </c>
      <c r="I579" s="5">
        <v>46196</v>
      </c>
      <c r="J579" s="5">
        <v>46196</v>
      </c>
      <c r="K579" s="5">
        <v>46198</v>
      </c>
      <c r="L579" s="4" t="s">
        <v>276</v>
      </c>
      <c r="M579" s="4" t="s">
        <v>130</v>
      </c>
      <c r="N579" s="4" t="s">
        <v>208</v>
      </c>
      <c r="O579" s="4" t="s">
        <v>24</v>
      </c>
      <c r="P579" s="4">
        <v>30436</v>
      </c>
      <c r="Q579" s="4" t="s">
        <v>19</v>
      </c>
      <c r="R579" s="4">
        <v>44174</v>
      </c>
      <c r="S579" s="4" t="str">
        <f>VLOOKUP(L579&amp;TEXT(I579,"mmmm")&amp;YEAR(I579),'[1]Detalle C-Fecha'!$D$2:$E$15921,2,FALSE)</f>
        <v>CCUDyAZA</v>
      </c>
    </row>
    <row r="580" spans="1:19" x14ac:dyDescent="0.3">
      <c r="A580" s="4">
        <v>36222</v>
      </c>
      <c r="B580" s="4" t="s">
        <v>28</v>
      </c>
      <c r="C580" s="4" t="s">
        <v>15</v>
      </c>
      <c r="D580" s="4" t="s">
        <v>16</v>
      </c>
      <c r="E580" s="4" t="s">
        <v>51</v>
      </c>
      <c r="F580" s="4" t="str">
        <f t="shared" si="9"/>
        <v>2MC</v>
      </c>
      <c r="G580" s="5">
        <v>46196</v>
      </c>
      <c r="H580" s="6">
        <v>0.7944444444444444</v>
      </c>
      <c r="I580" s="5">
        <v>46196</v>
      </c>
      <c r="J580" s="5">
        <v>46196</v>
      </c>
      <c r="K580" s="5">
        <v>46198</v>
      </c>
      <c r="L580" s="4" t="s">
        <v>277</v>
      </c>
      <c r="M580" s="4" t="s">
        <v>130</v>
      </c>
      <c r="N580" s="4" t="s">
        <v>208</v>
      </c>
      <c r="O580" s="4" t="s">
        <v>24</v>
      </c>
      <c r="P580" s="4">
        <v>30444</v>
      </c>
      <c r="Q580" s="4" t="s">
        <v>19</v>
      </c>
      <c r="R580" s="4">
        <v>44176</v>
      </c>
      <c r="S580" s="4" t="str">
        <f>VLOOKUP(L580&amp;TEXT(I580,"mmmm")&amp;YEAR(I580),'[1]Detalle C-Fecha'!$D$2:$E$15921,2,FALSE)</f>
        <v>CCUDyAZA</v>
      </c>
    </row>
    <row r="581" spans="1:19" x14ac:dyDescent="0.3">
      <c r="A581" s="4">
        <v>36223</v>
      </c>
      <c r="B581" s="4" t="s">
        <v>28</v>
      </c>
      <c r="C581" s="4" t="s">
        <v>15</v>
      </c>
      <c r="D581" s="4" t="s">
        <v>16</v>
      </c>
      <c r="E581" s="4" t="s">
        <v>53</v>
      </c>
      <c r="F581" s="4" t="str">
        <f t="shared" si="9"/>
        <v>3MC</v>
      </c>
      <c r="G581" s="5">
        <v>46196</v>
      </c>
      <c r="H581" s="6">
        <v>0.7944444444444444</v>
      </c>
      <c r="I581" s="5">
        <v>46196</v>
      </c>
      <c r="J581" s="5">
        <v>46196</v>
      </c>
      <c r="K581" s="5">
        <v>46196</v>
      </c>
      <c r="L581" s="4" t="s">
        <v>277</v>
      </c>
      <c r="M581" s="4" t="s">
        <v>130</v>
      </c>
      <c r="N581" s="4" t="s">
        <v>208</v>
      </c>
      <c r="O581" s="4" t="s">
        <v>24</v>
      </c>
      <c r="P581" s="4">
        <v>30443</v>
      </c>
      <c r="Q581" s="4" t="s">
        <v>19</v>
      </c>
      <c r="R581" s="4">
        <v>44665</v>
      </c>
      <c r="S581" s="4" t="str">
        <f>VLOOKUP(L581&amp;TEXT(I581,"mmmm")&amp;YEAR(I581),'[1]Detalle C-Fecha'!$D$2:$E$15921,2,FALSE)</f>
        <v>CCUDyAZA</v>
      </c>
    </row>
    <row r="582" spans="1:19" x14ac:dyDescent="0.3">
      <c r="A582" s="4">
        <v>36224</v>
      </c>
      <c r="B582" s="4" t="s">
        <v>28</v>
      </c>
      <c r="C582" s="4" t="s">
        <v>15</v>
      </c>
      <c r="D582" s="4" t="s">
        <v>16</v>
      </c>
      <c r="E582" s="4" t="s">
        <v>52</v>
      </c>
      <c r="F582" s="4" t="str">
        <f t="shared" si="9"/>
        <v>6MC</v>
      </c>
      <c r="G582" s="5">
        <v>46196</v>
      </c>
      <c r="H582" s="6">
        <v>0.7944444444444444</v>
      </c>
      <c r="I582" s="5">
        <v>46196</v>
      </c>
      <c r="J582" s="5">
        <v>46196</v>
      </c>
      <c r="K582" s="5">
        <v>46203</v>
      </c>
      <c r="L582" s="4" t="s">
        <v>277</v>
      </c>
      <c r="M582" s="4" t="s">
        <v>130</v>
      </c>
      <c r="N582" s="4" t="s">
        <v>208</v>
      </c>
      <c r="O582" s="4" t="s">
        <v>24</v>
      </c>
      <c r="P582" s="4">
        <v>30442</v>
      </c>
      <c r="Q582" s="4" t="s">
        <v>19</v>
      </c>
      <c r="R582" s="4">
        <v>44665</v>
      </c>
      <c r="S582" s="4" t="str">
        <f>VLOOKUP(L582&amp;TEXT(I582,"mmmm")&amp;YEAR(I582),'[1]Detalle C-Fecha'!$D$2:$E$15921,2,FALSE)</f>
        <v>CCUDyAZA</v>
      </c>
    </row>
    <row r="583" spans="1:19" x14ac:dyDescent="0.3">
      <c r="A583" s="4">
        <v>36237</v>
      </c>
      <c r="B583" s="4" t="s">
        <v>28</v>
      </c>
      <c r="C583" s="4" t="s">
        <v>15</v>
      </c>
      <c r="D583" s="4" t="s">
        <v>16</v>
      </c>
      <c r="E583" s="4" t="s">
        <v>51</v>
      </c>
      <c r="F583" s="4" t="str">
        <f t="shared" si="9"/>
        <v>2MC</v>
      </c>
      <c r="G583" s="5">
        <v>46197</v>
      </c>
      <c r="H583" s="6">
        <v>0.63541666666666663</v>
      </c>
      <c r="I583" s="5">
        <v>46197</v>
      </c>
      <c r="J583" s="5">
        <v>46197</v>
      </c>
      <c r="K583" s="5">
        <v>46197</v>
      </c>
      <c r="L583" s="4" t="s">
        <v>278</v>
      </c>
      <c r="M583" s="4" t="s">
        <v>161</v>
      </c>
      <c r="N583" s="4" t="s">
        <v>31</v>
      </c>
      <c r="O583" s="4" t="s">
        <v>25</v>
      </c>
      <c r="P583" s="4">
        <v>30457</v>
      </c>
      <c r="Q583" s="4" t="s">
        <v>19</v>
      </c>
      <c r="R583" s="4">
        <v>44543</v>
      </c>
      <c r="S583" s="4" t="str">
        <f>VLOOKUP(L583&amp;TEXT(I583,"mmmm")&amp;YEAR(I583),'[1]Detalle C-Fecha'!$D$2:$E$15921,2,FALSE)</f>
        <v>SUC_SRA - Sucursal San Rafael</v>
      </c>
    </row>
    <row r="584" spans="1:19" x14ac:dyDescent="0.3">
      <c r="A584" s="4">
        <v>36238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46197</v>
      </c>
      <c r="H584" s="6">
        <v>0.63541666666666663</v>
      </c>
      <c r="I584" s="5">
        <v>46197</v>
      </c>
      <c r="J584" s="5">
        <v>46197</v>
      </c>
      <c r="K584" s="5">
        <v>46197</v>
      </c>
      <c r="L584" s="4" t="s">
        <v>278</v>
      </c>
      <c r="M584" s="4" t="s">
        <v>161</v>
      </c>
      <c r="N584" s="4" t="s">
        <v>31</v>
      </c>
      <c r="O584" s="4" t="s">
        <v>25</v>
      </c>
      <c r="P584" s="4">
        <v>30458</v>
      </c>
      <c r="Q584" s="4" t="s">
        <v>19</v>
      </c>
      <c r="R584" s="4">
        <v>44545</v>
      </c>
      <c r="S584" s="4" t="str">
        <f>VLOOKUP(L584&amp;TEXT(I584,"mmmm")&amp;YEAR(I584),'[1]Detalle C-Fecha'!$D$2:$E$15921,2,FALSE)</f>
        <v>SUC_SRA - Sucursal San Rafael</v>
      </c>
    </row>
    <row r="585" spans="1:19" x14ac:dyDescent="0.3">
      <c r="A585" s="4">
        <v>36239</v>
      </c>
      <c r="B585" s="4" t="s">
        <v>28</v>
      </c>
      <c r="C585" s="4" t="s">
        <v>15</v>
      </c>
      <c r="D585" s="4" t="s">
        <v>16</v>
      </c>
      <c r="E585" s="4" t="s">
        <v>52</v>
      </c>
      <c r="F585" s="4" t="str">
        <f t="shared" si="9"/>
        <v>6MC</v>
      </c>
      <c r="G585" s="5">
        <v>46197</v>
      </c>
      <c r="H585" s="6">
        <v>0.63541666666666663</v>
      </c>
      <c r="I585" s="5">
        <v>46197</v>
      </c>
      <c r="J585" s="5">
        <v>46197</v>
      </c>
      <c r="K585" s="5">
        <v>46197</v>
      </c>
      <c r="L585" s="4" t="s">
        <v>278</v>
      </c>
      <c r="M585" s="4" t="s">
        <v>161</v>
      </c>
      <c r="N585" s="4" t="s">
        <v>31</v>
      </c>
      <c r="O585" s="4" t="s">
        <v>25</v>
      </c>
      <c r="P585" s="4">
        <v>30459</v>
      </c>
      <c r="Q585" s="4" t="s">
        <v>19</v>
      </c>
      <c r="R585" s="4">
        <v>44547</v>
      </c>
      <c r="S585" s="4" t="str">
        <f>VLOOKUP(L585&amp;TEXT(I585,"mmmm")&amp;YEAR(I585),'[1]Detalle C-Fecha'!$D$2:$E$15921,2,FALSE)</f>
        <v>SUC_SRA - Sucursal San Rafael</v>
      </c>
    </row>
    <row r="586" spans="1:19" x14ac:dyDescent="0.3">
      <c r="A586" s="4">
        <v>36240</v>
      </c>
      <c r="B586" s="4" t="s">
        <v>28</v>
      </c>
      <c r="C586" s="4" t="s">
        <v>15</v>
      </c>
      <c r="D586" s="4" t="s">
        <v>16</v>
      </c>
      <c r="E586" s="4" t="s">
        <v>110</v>
      </c>
      <c r="F586" s="4" t="str">
        <f t="shared" si="9"/>
        <v>5MU</v>
      </c>
      <c r="G586" s="5">
        <v>46197</v>
      </c>
      <c r="H586" s="6">
        <v>0.63541666666666663</v>
      </c>
      <c r="I586" s="5">
        <v>46197</v>
      </c>
      <c r="J586" s="5">
        <v>46197</v>
      </c>
      <c r="K586" s="5">
        <v>46197</v>
      </c>
      <c r="L586" s="4" t="s">
        <v>278</v>
      </c>
      <c r="M586" s="4" t="s">
        <v>161</v>
      </c>
      <c r="N586" s="4" t="s">
        <v>31</v>
      </c>
      <c r="O586" s="4" t="s">
        <v>25</v>
      </c>
      <c r="P586" s="4">
        <v>30460</v>
      </c>
      <c r="Q586" s="4" t="s">
        <v>19</v>
      </c>
      <c r="R586" s="4">
        <v>44549</v>
      </c>
      <c r="S586" s="4" t="str">
        <f>VLOOKUP(L586&amp;TEXT(I586,"mmmm")&amp;YEAR(I586),'[1]Detalle C-Fecha'!$D$2:$E$15921,2,FALSE)</f>
        <v>SUC_SRA - Sucursal San Rafael</v>
      </c>
    </row>
    <row r="587" spans="1:19" x14ac:dyDescent="0.3">
      <c r="A587" s="4">
        <v>36244</v>
      </c>
      <c r="B587" s="4" t="s">
        <v>28</v>
      </c>
      <c r="C587" s="4" t="s">
        <v>15</v>
      </c>
      <c r="D587" s="4" t="s">
        <v>16</v>
      </c>
      <c r="E587" s="4" t="s">
        <v>51</v>
      </c>
      <c r="F587" s="4" t="str">
        <f t="shared" si="9"/>
        <v>2MC</v>
      </c>
      <c r="G587" s="5">
        <v>46197</v>
      </c>
      <c r="H587" s="6">
        <v>0.66597222222222219</v>
      </c>
      <c r="I587" s="5">
        <v>46197</v>
      </c>
      <c r="J587" s="5">
        <v>46197</v>
      </c>
      <c r="K587" s="5">
        <v>46198</v>
      </c>
      <c r="L587" s="4" t="s">
        <v>279</v>
      </c>
      <c r="M587" s="4" t="s">
        <v>163</v>
      </c>
      <c r="N587" s="4" t="s">
        <v>208</v>
      </c>
      <c r="O587" s="4" t="s">
        <v>24</v>
      </c>
      <c r="P587" s="4">
        <v>30465</v>
      </c>
      <c r="Q587" s="4" t="s">
        <v>19</v>
      </c>
      <c r="R587" s="4">
        <v>44182</v>
      </c>
      <c r="S587" s="4" t="str">
        <f>VLOOKUP(L587&amp;TEXT(I587,"mmmm")&amp;YEAR(I587),'[1]Detalle C-Fecha'!$D$2:$E$15921,2,FALSE)</f>
        <v>CCUDyAZA</v>
      </c>
    </row>
    <row r="588" spans="1:19" x14ac:dyDescent="0.3">
      <c r="A588" s="4">
        <v>36245</v>
      </c>
      <c r="B588" s="4" t="s">
        <v>28</v>
      </c>
      <c r="C588" s="4" t="s">
        <v>15</v>
      </c>
      <c r="D588" s="4" t="s">
        <v>16</v>
      </c>
      <c r="E588" s="4" t="s">
        <v>53</v>
      </c>
      <c r="F588" s="4" t="str">
        <f t="shared" si="9"/>
        <v>3MC</v>
      </c>
      <c r="G588" s="5">
        <v>46197</v>
      </c>
      <c r="H588" s="6">
        <v>0.66597222222222219</v>
      </c>
      <c r="I588" s="5">
        <v>46197</v>
      </c>
      <c r="J588" s="5">
        <v>46197</v>
      </c>
      <c r="K588" s="5">
        <v>46198</v>
      </c>
      <c r="L588" s="4" t="s">
        <v>279</v>
      </c>
      <c r="M588" s="4" t="s">
        <v>163</v>
      </c>
      <c r="N588" s="4" t="s">
        <v>208</v>
      </c>
      <c r="O588" s="4" t="s">
        <v>24</v>
      </c>
      <c r="P588" s="4">
        <v>30467</v>
      </c>
      <c r="Q588" s="4" t="s">
        <v>19</v>
      </c>
      <c r="R588" s="4">
        <v>44183</v>
      </c>
      <c r="S588" s="4" t="str">
        <f>VLOOKUP(L588&amp;TEXT(I588,"mmmm")&amp;YEAR(I588),'[1]Detalle C-Fecha'!$D$2:$E$15921,2,FALSE)</f>
        <v>CCUDyAZA</v>
      </c>
    </row>
    <row r="589" spans="1:19" x14ac:dyDescent="0.3">
      <c r="A589" s="4">
        <v>36246</v>
      </c>
      <c r="B589" s="4" t="s">
        <v>28</v>
      </c>
      <c r="C589" s="4" t="s">
        <v>15</v>
      </c>
      <c r="D589" s="4" t="s">
        <v>16</v>
      </c>
      <c r="E589" s="4" t="s">
        <v>52</v>
      </c>
      <c r="F589" s="4" t="str">
        <f t="shared" si="9"/>
        <v>6MC</v>
      </c>
      <c r="G589" s="5">
        <v>46197</v>
      </c>
      <c r="H589" s="6">
        <v>0.66597222222222219</v>
      </c>
      <c r="I589" s="5">
        <v>46197</v>
      </c>
      <c r="J589" s="5">
        <v>46197</v>
      </c>
      <c r="K589" s="5">
        <v>46198</v>
      </c>
      <c r="L589" s="4" t="s">
        <v>279</v>
      </c>
      <c r="M589" s="4" t="s">
        <v>163</v>
      </c>
      <c r="N589" s="4" t="s">
        <v>208</v>
      </c>
      <c r="O589" s="4" t="s">
        <v>24</v>
      </c>
      <c r="P589" s="4">
        <v>30468</v>
      </c>
      <c r="Q589" s="4" t="s">
        <v>19</v>
      </c>
      <c r="R589" s="4">
        <v>44184</v>
      </c>
      <c r="S589" s="4" t="str">
        <f>VLOOKUP(L589&amp;TEXT(I589,"mmmm")&amp;YEAR(I589),'[1]Detalle C-Fecha'!$D$2:$E$15921,2,FALSE)</f>
        <v>CCUDyAZA</v>
      </c>
    </row>
    <row r="590" spans="1:19" x14ac:dyDescent="0.3">
      <c r="A590" s="4">
        <v>36305</v>
      </c>
      <c r="B590" s="4" t="s">
        <v>28</v>
      </c>
      <c r="C590" s="4" t="s">
        <v>15</v>
      </c>
      <c r="D590" s="4" t="s">
        <v>16</v>
      </c>
      <c r="E590" s="4" t="s">
        <v>35</v>
      </c>
      <c r="F590" s="4" t="str">
        <f t="shared" si="9"/>
        <v>2ML</v>
      </c>
      <c r="G590" s="5">
        <v>46198</v>
      </c>
      <c r="H590" s="6">
        <v>0.38750000000000001</v>
      </c>
      <c r="I590" s="5">
        <v>46198</v>
      </c>
      <c r="J590" s="5">
        <v>46198</v>
      </c>
      <c r="K590" s="5">
        <v>46198</v>
      </c>
      <c r="L590" s="4" t="s">
        <v>29</v>
      </c>
      <c r="M590" s="4" t="s">
        <v>142</v>
      </c>
      <c r="N590" s="4" t="s">
        <v>31</v>
      </c>
      <c r="O590" s="4" t="s">
        <v>25</v>
      </c>
      <c r="P590" s="4">
        <v>30481</v>
      </c>
      <c r="Q590" s="4" t="s">
        <v>19</v>
      </c>
      <c r="R590" s="4">
        <v>44553</v>
      </c>
      <c r="S590" s="4" t="str">
        <f>VLOOKUP(L590&amp;TEXT(I590,"mmmm")&amp;YEAR(I590),'[1]Detalle C-Fecha'!$D$2:$E$15921,2,FALSE)</f>
        <v>Expreso - Servicios Troncales</v>
      </c>
    </row>
    <row r="591" spans="1:19" x14ac:dyDescent="0.3">
      <c r="A591" s="4">
        <v>36306</v>
      </c>
      <c r="B591" s="4" t="s">
        <v>28</v>
      </c>
      <c r="C591" s="4" t="s">
        <v>15</v>
      </c>
      <c r="D591" s="4" t="s">
        <v>16</v>
      </c>
      <c r="E591" s="4" t="s">
        <v>47</v>
      </c>
      <c r="F591" s="4" t="str">
        <f t="shared" si="9"/>
        <v>3ML</v>
      </c>
      <c r="G591" s="5">
        <v>46198</v>
      </c>
      <c r="H591" s="6">
        <v>0.38750000000000001</v>
      </c>
      <c r="I591" s="5">
        <v>46198</v>
      </c>
      <c r="J591" s="5">
        <v>46198</v>
      </c>
      <c r="K591" s="5">
        <v>46198</v>
      </c>
      <c r="L591" s="4" t="s">
        <v>29</v>
      </c>
      <c r="M591" s="4" t="s">
        <v>142</v>
      </c>
      <c r="N591" s="4" t="s">
        <v>31</v>
      </c>
      <c r="O591" s="4" t="s">
        <v>25</v>
      </c>
      <c r="P591" s="4">
        <v>30484</v>
      </c>
      <c r="Q591" s="4" t="s">
        <v>19</v>
      </c>
      <c r="R591" s="4">
        <v>44555</v>
      </c>
      <c r="S591" s="4" t="str">
        <f>VLOOKUP(L591&amp;TEXT(I591,"mmmm")&amp;YEAR(I591),'[1]Detalle C-Fecha'!$D$2:$E$15921,2,FALSE)</f>
        <v>Expreso - Servicios Troncales</v>
      </c>
    </row>
    <row r="592" spans="1:19" x14ac:dyDescent="0.3">
      <c r="A592" s="4">
        <v>36363</v>
      </c>
      <c r="B592" s="4" t="s">
        <v>28</v>
      </c>
      <c r="C592" s="4" t="s">
        <v>15</v>
      </c>
      <c r="D592" s="4" t="s">
        <v>16</v>
      </c>
      <c r="E592" s="4" t="s">
        <v>51</v>
      </c>
      <c r="F592" s="4" t="str">
        <f t="shared" si="9"/>
        <v>2MC</v>
      </c>
      <c r="G592" s="5">
        <v>46199</v>
      </c>
      <c r="H592" s="6">
        <v>0.49513888888888885</v>
      </c>
      <c r="I592" s="5">
        <v>46199</v>
      </c>
      <c r="J592" s="5"/>
      <c r="K592" s="5">
        <v>46203</v>
      </c>
      <c r="L592" s="4" t="s">
        <v>280</v>
      </c>
      <c r="M592" s="4">
        <v>1318</v>
      </c>
      <c r="N592" s="4" t="s">
        <v>208</v>
      </c>
      <c r="O592" s="4" t="s">
        <v>27</v>
      </c>
      <c r="P592" s="4">
        <v>30542</v>
      </c>
      <c r="Q592" s="4" t="s">
        <v>19</v>
      </c>
      <c r="R592" s="4">
        <v>44666</v>
      </c>
      <c r="S592" s="4" t="str">
        <f>VLOOKUP(L592&amp;TEXT(I592,"mmmm")&amp;YEAR(I592),'[1]Detalle C-Fecha'!$D$2:$E$15921,2,FALSE)</f>
        <v>Alfavinil SA</v>
      </c>
    </row>
    <row r="593" spans="1:19" x14ac:dyDescent="0.3">
      <c r="A593" s="4">
        <v>36364</v>
      </c>
      <c r="B593" s="4" t="s">
        <v>28</v>
      </c>
      <c r="C593" s="4" t="s">
        <v>15</v>
      </c>
      <c r="D593" s="4" t="s">
        <v>16</v>
      </c>
      <c r="E593" s="4" t="s">
        <v>53</v>
      </c>
      <c r="F593" s="4" t="str">
        <f t="shared" si="9"/>
        <v>3MC</v>
      </c>
      <c r="G593" s="5">
        <v>46199</v>
      </c>
      <c r="H593" s="6">
        <v>0.49513888888888885</v>
      </c>
      <c r="I593" s="5">
        <v>46199</v>
      </c>
      <c r="J593" s="5"/>
      <c r="K593" s="5">
        <v>46203</v>
      </c>
      <c r="L593" s="4" t="s">
        <v>280</v>
      </c>
      <c r="M593" s="4">
        <v>1318</v>
      </c>
      <c r="N593" s="4" t="s">
        <v>208</v>
      </c>
      <c r="O593" s="4" t="s">
        <v>27</v>
      </c>
      <c r="P593" s="4">
        <v>30543</v>
      </c>
      <c r="Q593" s="4" t="s">
        <v>19</v>
      </c>
      <c r="R593" s="4">
        <v>44666</v>
      </c>
      <c r="S593" s="4" t="str">
        <f>VLOOKUP(L593&amp;TEXT(I593,"mmmm")&amp;YEAR(I593),'[1]Detalle C-Fecha'!$D$2:$E$15921,2,FALSE)</f>
        <v>Alfavinil SA</v>
      </c>
    </row>
    <row r="594" spans="1:19" x14ac:dyDescent="0.3">
      <c r="A594" s="4">
        <v>36365</v>
      </c>
      <c r="B594" s="4" t="s">
        <v>28</v>
      </c>
      <c r="C594" s="4" t="s">
        <v>15</v>
      </c>
      <c r="D594" s="4" t="s">
        <v>16</v>
      </c>
      <c r="E594" s="4" t="s">
        <v>52</v>
      </c>
      <c r="F594" s="4" t="str">
        <f t="shared" si="9"/>
        <v>6MC</v>
      </c>
      <c r="G594" s="5">
        <v>46199</v>
      </c>
      <c r="H594" s="6">
        <v>0.49513888888888885</v>
      </c>
      <c r="I594" s="5">
        <v>46199</v>
      </c>
      <c r="J594" s="5"/>
      <c r="K594" s="5">
        <v>46203</v>
      </c>
      <c r="L594" s="4" t="s">
        <v>280</v>
      </c>
      <c r="M594" s="4">
        <v>1318</v>
      </c>
      <c r="N594" s="4" t="s">
        <v>208</v>
      </c>
      <c r="O594" s="4" t="s">
        <v>27</v>
      </c>
      <c r="P594" s="4">
        <v>30544</v>
      </c>
      <c r="Q594" s="4" t="s">
        <v>19</v>
      </c>
      <c r="R594" s="4">
        <v>44666</v>
      </c>
      <c r="S594" s="4" t="str">
        <f>VLOOKUP(L594&amp;TEXT(I594,"mmmm")&amp;YEAR(I594),'[1]Detalle C-Fecha'!$D$2:$E$15921,2,FALSE)</f>
        <v>Alfavinil SA</v>
      </c>
    </row>
    <row r="595" spans="1:19" x14ac:dyDescent="0.3">
      <c r="A595" s="4">
        <v>36366</v>
      </c>
      <c r="B595" s="4" t="s">
        <v>28</v>
      </c>
      <c r="C595" s="4" t="s">
        <v>15</v>
      </c>
      <c r="D595" s="4" t="s">
        <v>16</v>
      </c>
      <c r="E595" s="4" t="s">
        <v>35</v>
      </c>
      <c r="F595" s="4" t="str">
        <f t="shared" si="9"/>
        <v>2ML</v>
      </c>
      <c r="G595" s="5">
        <v>46199</v>
      </c>
      <c r="H595" s="6">
        <v>0.53541666666666665</v>
      </c>
      <c r="I595" s="5">
        <v>46199</v>
      </c>
      <c r="J595" s="5">
        <v>46199</v>
      </c>
      <c r="K595" s="5">
        <v>46199</v>
      </c>
      <c r="L595" s="4" t="s">
        <v>206</v>
      </c>
      <c r="M595" s="4" t="s">
        <v>149</v>
      </c>
      <c r="N595" s="4" t="s">
        <v>31</v>
      </c>
      <c r="O595" s="4" t="s">
        <v>25</v>
      </c>
      <c r="P595" s="4">
        <v>30556</v>
      </c>
      <c r="Q595" s="4" t="s">
        <v>19</v>
      </c>
      <c r="R595" s="4">
        <v>44557</v>
      </c>
      <c r="S595" s="4" t="str">
        <f>VLOOKUP(L595&amp;TEXT(I595,"mmmm")&amp;YEAR(I595),'[1]Detalle C-Fecha'!$D$2:$E$15921,2,FALSE)</f>
        <v>Expreso - Servicios Troncales</v>
      </c>
    </row>
    <row r="596" spans="1:19" x14ac:dyDescent="0.3">
      <c r="A596" s="4">
        <v>36367</v>
      </c>
      <c r="B596" s="4" t="s">
        <v>28</v>
      </c>
      <c r="C596" s="4" t="s">
        <v>15</v>
      </c>
      <c r="D596" s="4" t="s">
        <v>16</v>
      </c>
      <c r="E596" s="4" t="s">
        <v>47</v>
      </c>
      <c r="F596" s="4" t="str">
        <f t="shared" si="9"/>
        <v>3ML</v>
      </c>
      <c r="G596" s="5">
        <v>46199</v>
      </c>
      <c r="H596" s="6">
        <v>0.53541666666666665</v>
      </c>
      <c r="I596" s="5">
        <v>46199</v>
      </c>
      <c r="J596" s="5">
        <v>46199</v>
      </c>
      <c r="K596" s="5">
        <v>46199</v>
      </c>
      <c r="L596" s="4" t="s">
        <v>206</v>
      </c>
      <c r="M596" s="4" t="s">
        <v>149</v>
      </c>
      <c r="N596" s="4" t="s">
        <v>31</v>
      </c>
      <c r="O596" s="4" t="s">
        <v>25</v>
      </c>
      <c r="P596" s="4">
        <v>30555</v>
      </c>
      <c r="Q596" s="4" t="s">
        <v>19</v>
      </c>
      <c r="R596" s="4">
        <v>44559</v>
      </c>
      <c r="S596" s="4" t="str">
        <f>VLOOKUP(L596&amp;TEXT(I596,"mmmm")&amp;YEAR(I596),'[1]Detalle C-Fecha'!$D$2:$E$15921,2,FALSE)</f>
        <v>Expreso - Servicios Troncales</v>
      </c>
    </row>
    <row r="597" spans="1:19" x14ac:dyDescent="0.3">
      <c r="A597" s="4">
        <v>36368</v>
      </c>
      <c r="B597" s="4" t="s">
        <v>28</v>
      </c>
      <c r="C597" s="4" t="s">
        <v>15</v>
      </c>
      <c r="D597" s="4" t="s">
        <v>16</v>
      </c>
      <c r="E597" s="4" t="s">
        <v>137</v>
      </c>
      <c r="F597" s="4" t="str">
        <f t="shared" si="9"/>
        <v>7ML</v>
      </c>
      <c r="G597" s="5">
        <v>46199</v>
      </c>
      <c r="H597" s="6">
        <v>0.53541666666666665</v>
      </c>
      <c r="I597" s="5">
        <v>46199</v>
      </c>
      <c r="J597" s="5">
        <v>46199</v>
      </c>
      <c r="K597" s="5">
        <v>46199</v>
      </c>
      <c r="L597" s="4" t="s">
        <v>206</v>
      </c>
      <c r="M597" s="4" t="s">
        <v>149</v>
      </c>
      <c r="N597" s="4" t="s">
        <v>31</v>
      </c>
      <c r="O597" s="4" t="s">
        <v>25</v>
      </c>
      <c r="P597" s="4">
        <v>30554</v>
      </c>
      <c r="Q597" s="4" t="s">
        <v>19</v>
      </c>
      <c r="R597" s="4">
        <v>44561</v>
      </c>
      <c r="S597" s="4" t="str">
        <f>VLOOKUP(L597&amp;TEXT(I597,"mmmm")&amp;YEAR(I597),'[1]Detalle C-Fecha'!$D$2:$E$15921,2,FALSE)</f>
        <v>Expreso - Servicios Troncales</v>
      </c>
    </row>
    <row r="598" spans="1:19" x14ac:dyDescent="0.3">
      <c r="A598" s="4">
        <v>36369</v>
      </c>
      <c r="B598" s="4" t="s">
        <v>28</v>
      </c>
      <c r="C598" s="4" t="s">
        <v>15</v>
      </c>
      <c r="D598" s="4" t="s">
        <v>16</v>
      </c>
      <c r="E598" s="4" t="s">
        <v>216</v>
      </c>
      <c r="F598" s="4" t="str">
        <f t="shared" si="9"/>
        <v>8ML</v>
      </c>
      <c r="G598" s="5">
        <v>46199</v>
      </c>
      <c r="H598" s="6">
        <v>0.53541666666666665</v>
      </c>
      <c r="I598" s="5">
        <v>46199</v>
      </c>
      <c r="J598" s="5">
        <v>46199</v>
      </c>
      <c r="K598" s="5">
        <v>46199</v>
      </c>
      <c r="L598" s="4" t="s">
        <v>206</v>
      </c>
      <c r="M598" s="4" t="s">
        <v>149</v>
      </c>
      <c r="N598" s="4" t="s">
        <v>31</v>
      </c>
      <c r="O598" s="4" t="s">
        <v>25</v>
      </c>
      <c r="P598" s="4">
        <v>30553</v>
      </c>
      <c r="Q598" s="4" t="s">
        <v>19</v>
      </c>
      <c r="R598" s="4">
        <v>44563</v>
      </c>
      <c r="S598" s="4" t="str">
        <f>VLOOKUP(L598&amp;TEXT(I598,"mmmm")&amp;YEAR(I598),'[1]Detalle C-Fecha'!$D$2:$E$15921,2,FALSE)</f>
        <v>Expreso - Servicios Troncales</v>
      </c>
    </row>
    <row r="599" spans="1:19" x14ac:dyDescent="0.3">
      <c r="A599" s="4">
        <v>36370</v>
      </c>
      <c r="B599" s="4" t="s">
        <v>28</v>
      </c>
      <c r="C599" s="4" t="s">
        <v>15</v>
      </c>
      <c r="D599" s="4" t="s">
        <v>16</v>
      </c>
      <c r="E599" s="4" t="s">
        <v>110</v>
      </c>
      <c r="F599" s="4" t="str">
        <f t="shared" si="9"/>
        <v>5MU</v>
      </c>
      <c r="G599" s="5">
        <v>46199</v>
      </c>
      <c r="H599" s="6">
        <v>0.53541666666666665</v>
      </c>
      <c r="I599" s="5">
        <v>46199</v>
      </c>
      <c r="J599" s="5">
        <v>46199</v>
      </c>
      <c r="K599" s="5">
        <v>46199</v>
      </c>
      <c r="L599" s="4" t="s">
        <v>206</v>
      </c>
      <c r="M599" s="4" t="s">
        <v>149</v>
      </c>
      <c r="N599" s="4" t="s">
        <v>31</v>
      </c>
      <c r="O599" s="4" t="s">
        <v>25</v>
      </c>
      <c r="P599" s="4">
        <v>30551</v>
      </c>
      <c r="Q599" s="4" t="s">
        <v>19</v>
      </c>
      <c r="R599" s="4">
        <v>44565</v>
      </c>
      <c r="S599" s="4" t="str">
        <f>VLOOKUP(L599&amp;TEXT(I599,"mmmm")&amp;YEAR(I599),'[1]Detalle C-Fecha'!$D$2:$E$15921,2,FALSE)</f>
        <v>Expreso - Servicios Troncales</v>
      </c>
    </row>
    <row r="600" spans="1:19" x14ac:dyDescent="0.3">
      <c r="A600" s="4">
        <v>36474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46200</v>
      </c>
      <c r="H600" s="6">
        <v>0.40208333333333335</v>
      </c>
      <c r="I600" s="5">
        <v>46200</v>
      </c>
      <c r="J600" s="5">
        <v>46200</v>
      </c>
      <c r="K600" s="5">
        <v>46200</v>
      </c>
      <c r="L600" s="4" t="s">
        <v>104</v>
      </c>
      <c r="M600" s="4" t="s">
        <v>129</v>
      </c>
      <c r="N600" s="4" t="s">
        <v>208</v>
      </c>
      <c r="O600" s="4" t="s">
        <v>24</v>
      </c>
      <c r="P600" s="4">
        <v>30590</v>
      </c>
      <c r="Q600" s="4" t="s">
        <v>19</v>
      </c>
      <c r="R600" s="4">
        <v>44820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36475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46200</v>
      </c>
      <c r="H601" s="6">
        <v>0.40208333333333335</v>
      </c>
      <c r="I601" s="5">
        <v>46200</v>
      </c>
      <c r="J601" s="5">
        <v>46200</v>
      </c>
      <c r="K601" s="5">
        <v>46200</v>
      </c>
      <c r="L601" s="4" t="s">
        <v>104</v>
      </c>
      <c r="M601" s="4" t="s">
        <v>129</v>
      </c>
      <c r="N601" s="4" t="s">
        <v>208</v>
      </c>
      <c r="O601" s="4" t="s">
        <v>24</v>
      </c>
      <c r="P601" s="4">
        <v>30591</v>
      </c>
      <c r="Q601" s="4" t="s">
        <v>19</v>
      </c>
      <c r="R601" s="4">
        <v>44821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36476</v>
      </c>
      <c r="B602" s="4" t="s">
        <v>28</v>
      </c>
      <c r="C602" s="4" t="s">
        <v>15</v>
      </c>
      <c r="D602" s="4" t="s">
        <v>16</v>
      </c>
      <c r="E602" s="4" t="s">
        <v>117</v>
      </c>
      <c r="F602" s="4" t="str">
        <f t="shared" si="9"/>
        <v>6ML</v>
      </c>
      <c r="G602" s="5">
        <v>46200</v>
      </c>
      <c r="H602" s="6">
        <v>0.40208333333333335</v>
      </c>
      <c r="I602" s="5">
        <v>46200</v>
      </c>
      <c r="J602" s="5">
        <v>46200</v>
      </c>
      <c r="K602" s="5">
        <v>46200</v>
      </c>
      <c r="L602" s="4" t="s">
        <v>104</v>
      </c>
      <c r="M602" s="4" t="s">
        <v>129</v>
      </c>
      <c r="N602" s="4" t="s">
        <v>208</v>
      </c>
      <c r="O602" s="4" t="s">
        <v>24</v>
      </c>
      <c r="P602" s="4">
        <v>30592</v>
      </c>
      <c r="Q602" s="4" t="s">
        <v>19</v>
      </c>
      <c r="R602" s="4">
        <v>44822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36477</v>
      </c>
      <c r="B603" s="4" t="s">
        <v>28</v>
      </c>
      <c r="C603" s="4" t="s">
        <v>15</v>
      </c>
      <c r="D603" s="4" t="s">
        <v>16</v>
      </c>
      <c r="E603" s="4" t="s">
        <v>137</v>
      </c>
      <c r="F603" s="4" t="str">
        <f t="shared" si="9"/>
        <v>7ML</v>
      </c>
      <c r="G603" s="5">
        <v>46200</v>
      </c>
      <c r="H603" s="6">
        <v>0.40208333333333335</v>
      </c>
      <c r="I603" s="5">
        <v>46200</v>
      </c>
      <c r="J603" s="5">
        <v>46200</v>
      </c>
      <c r="K603" s="5">
        <v>46200</v>
      </c>
      <c r="L603" s="4" t="s">
        <v>104</v>
      </c>
      <c r="M603" s="4" t="s">
        <v>129</v>
      </c>
      <c r="N603" s="4" t="s">
        <v>208</v>
      </c>
      <c r="O603" s="4" t="s">
        <v>24</v>
      </c>
      <c r="P603" s="4">
        <v>30593</v>
      </c>
      <c r="Q603" s="4" t="s">
        <v>19</v>
      </c>
      <c r="R603" s="4">
        <v>44823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36513</v>
      </c>
      <c r="B604" s="4" t="s">
        <v>28</v>
      </c>
      <c r="C604" s="4" t="s">
        <v>15</v>
      </c>
      <c r="D604" s="4" t="s">
        <v>16</v>
      </c>
      <c r="E604" s="4" t="s">
        <v>108</v>
      </c>
      <c r="F604" s="4" t="str">
        <f t="shared" si="9"/>
        <v>2MU</v>
      </c>
      <c r="G604" s="5">
        <v>46203</v>
      </c>
      <c r="H604" s="6">
        <v>0.50138888888888888</v>
      </c>
      <c r="I604" s="5">
        <v>46197</v>
      </c>
      <c r="J604" s="5">
        <v>46197</v>
      </c>
      <c r="K604" s="5">
        <v>46197</v>
      </c>
      <c r="L604" s="4" t="s">
        <v>281</v>
      </c>
      <c r="M604" s="4" t="s">
        <v>161</v>
      </c>
      <c r="N604" s="4" t="s">
        <v>17</v>
      </c>
      <c r="O604" s="4" t="s">
        <v>25</v>
      </c>
      <c r="P604" s="4">
        <v>30631</v>
      </c>
      <c r="Q604" s="4" t="s">
        <v>19</v>
      </c>
      <c r="R604" s="4">
        <v>44435</v>
      </c>
      <c r="S604" s="4" t="str">
        <f>VLOOKUP(L604&amp;TEXT(I604,"mmmm")&amp;YEAR(I604),'[1]Detalle C-Fecha'!$D$2:$E$15921,2,FALSE)</f>
        <v>SUC_SLU - Sucursal San Luis</v>
      </c>
    </row>
    <row r="605" spans="1:19" x14ac:dyDescent="0.3">
      <c r="A605" s="4">
        <v>36514</v>
      </c>
      <c r="B605" s="4" t="s">
        <v>28</v>
      </c>
      <c r="C605" s="4" t="s">
        <v>15</v>
      </c>
      <c r="D605" s="4" t="s">
        <v>16</v>
      </c>
      <c r="E605" s="4" t="s">
        <v>109</v>
      </c>
      <c r="F605" s="4" t="str">
        <f t="shared" si="9"/>
        <v>3MU</v>
      </c>
      <c r="G605" s="5">
        <v>46203</v>
      </c>
      <c r="H605" s="6">
        <v>0.50138888888888888</v>
      </c>
      <c r="I605" s="5">
        <v>46197</v>
      </c>
      <c r="J605" s="5">
        <v>46197</v>
      </c>
      <c r="K605" s="5">
        <v>46197</v>
      </c>
      <c r="L605" s="4" t="s">
        <v>281</v>
      </c>
      <c r="M605" s="4" t="s">
        <v>161</v>
      </c>
      <c r="N605" s="4" t="s">
        <v>17</v>
      </c>
      <c r="O605" s="4" t="s">
        <v>25</v>
      </c>
      <c r="P605" s="4">
        <v>30632</v>
      </c>
      <c r="Q605" s="4" t="s">
        <v>19</v>
      </c>
      <c r="R605" s="4">
        <v>44437</v>
      </c>
      <c r="S605" s="4" t="str">
        <f>VLOOKUP(L605&amp;TEXT(I605,"mmmm")&amp;YEAR(I605),'[1]Detalle C-Fecha'!$D$2:$E$15921,2,FALSE)</f>
        <v>SUC_SLU - Sucursal San Luis</v>
      </c>
    </row>
    <row r="606" spans="1:19" x14ac:dyDescent="0.3">
      <c r="A606" s="4">
        <v>36515</v>
      </c>
      <c r="B606" s="4" t="s">
        <v>28</v>
      </c>
      <c r="C606" s="4" t="s">
        <v>15</v>
      </c>
      <c r="D606" s="4" t="s">
        <v>16</v>
      </c>
      <c r="E606" s="4" t="s">
        <v>107</v>
      </c>
      <c r="F606" s="4" t="str">
        <f t="shared" si="9"/>
        <v>4MU</v>
      </c>
      <c r="G606" s="5">
        <v>46203</v>
      </c>
      <c r="H606" s="6">
        <v>0.50138888888888888</v>
      </c>
      <c r="I606" s="5">
        <v>46197</v>
      </c>
      <c r="J606" s="5">
        <v>46197</v>
      </c>
      <c r="K606" s="5">
        <v>46197</v>
      </c>
      <c r="L606" s="4" t="s">
        <v>281</v>
      </c>
      <c r="M606" s="4" t="s">
        <v>161</v>
      </c>
      <c r="N606" s="4" t="s">
        <v>17</v>
      </c>
      <c r="O606" s="4" t="s">
        <v>25</v>
      </c>
      <c r="P606" s="4">
        <v>30633</v>
      </c>
      <c r="Q606" s="4" t="s">
        <v>19</v>
      </c>
      <c r="R606" s="4">
        <v>44439</v>
      </c>
      <c r="S606" s="4" t="str">
        <f>VLOOKUP(L606&amp;TEXT(I606,"mmmm")&amp;YEAR(I606),'[1]Detalle C-Fecha'!$D$2:$E$15921,2,FALSE)</f>
        <v>SUC_SLU - Sucursal San Luis</v>
      </c>
    </row>
    <row r="607" spans="1:19" x14ac:dyDescent="0.3">
      <c r="A607" s="4">
        <v>36516</v>
      </c>
      <c r="B607" s="4" t="s">
        <v>28</v>
      </c>
      <c r="C607" s="4" t="s">
        <v>15</v>
      </c>
      <c r="D607" s="4" t="s">
        <v>16</v>
      </c>
      <c r="E607" s="4" t="s">
        <v>35</v>
      </c>
      <c r="F607" s="4" t="str">
        <f t="shared" si="9"/>
        <v>2ML</v>
      </c>
      <c r="G607" s="5">
        <v>46203</v>
      </c>
      <c r="H607" s="6">
        <v>0.50138888888888888</v>
      </c>
      <c r="I607" s="5">
        <v>46197</v>
      </c>
      <c r="J607" s="5">
        <v>46197</v>
      </c>
      <c r="K607" s="5">
        <v>46197</v>
      </c>
      <c r="L607" s="4" t="s">
        <v>282</v>
      </c>
      <c r="M607" s="4">
        <v>1633</v>
      </c>
      <c r="N607" s="4" t="s">
        <v>17</v>
      </c>
      <c r="O607" s="4" t="s">
        <v>25</v>
      </c>
      <c r="P607" s="4">
        <v>30634</v>
      </c>
      <c r="Q607" s="4" t="s">
        <v>19</v>
      </c>
      <c r="R607" s="4">
        <v>44441</v>
      </c>
      <c r="S607" s="4" t="str">
        <f>VLOOKUP(L607&amp;TEXT(I607,"mmmm")&amp;YEAR(I607),'[1]Detalle C-Fecha'!$D$2:$E$15921,2,FALSE)</f>
        <v>Expreso - Servicios Troncales</v>
      </c>
    </row>
    <row r="608" spans="1:19" x14ac:dyDescent="0.3">
      <c r="A608" s="4">
        <v>36517</v>
      </c>
      <c r="B608" s="4" t="s">
        <v>28</v>
      </c>
      <c r="C608" s="4" t="s">
        <v>15</v>
      </c>
      <c r="D608" s="4" t="s">
        <v>16</v>
      </c>
      <c r="E608" s="4" t="s">
        <v>47</v>
      </c>
      <c r="F608" s="4" t="str">
        <f t="shared" si="9"/>
        <v>3ML</v>
      </c>
      <c r="G608" s="5">
        <v>46203</v>
      </c>
      <c r="H608" s="6">
        <v>0.50138888888888888</v>
      </c>
      <c r="I608" s="5">
        <v>46197</v>
      </c>
      <c r="J608" s="5">
        <v>46197</v>
      </c>
      <c r="K608" s="5">
        <v>46197</v>
      </c>
      <c r="L608" s="4" t="s">
        <v>282</v>
      </c>
      <c r="M608" s="4">
        <v>1633</v>
      </c>
      <c r="N608" s="4" t="s">
        <v>17</v>
      </c>
      <c r="O608" s="4" t="s">
        <v>25</v>
      </c>
      <c r="P608" s="4">
        <v>30635</v>
      </c>
      <c r="Q608" s="4" t="s">
        <v>19</v>
      </c>
      <c r="R608" s="4">
        <v>44445</v>
      </c>
      <c r="S608" s="4" t="str">
        <f>VLOOKUP(L608&amp;TEXT(I608,"mmmm")&amp;YEAR(I608),'[1]Detalle C-Fecha'!$D$2:$E$15921,2,FALSE)</f>
        <v>Expreso - Servicios Troncales</v>
      </c>
    </row>
    <row r="609" spans="1:19" x14ac:dyDescent="0.3">
      <c r="A609" s="4">
        <v>36518</v>
      </c>
      <c r="B609" s="4" t="s">
        <v>28</v>
      </c>
      <c r="C609" s="4" t="s">
        <v>15</v>
      </c>
      <c r="D609" s="4" t="s">
        <v>16</v>
      </c>
      <c r="E609" s="4" t="s">
        <v>46</v>
      </c>
      <c r="F609" s="4" t="str">
        <f t="shared" si="9"/>
        <v>6ML</v>
      </c>
      <c r="G609" s="5">
        <v>46203</v>
      </c>
      <c r="H609" s="6">
        <v>0.50138888888888888</v>
      </c>
      <c r="I609" s="5">
        <v>46197</v>
      </c>
      <c r="J609" s="5">
        <v>46197</v>
      </c>
      <c r="K609" s="5">
        <v>46197</v>
      </c>
      <c r="L609" s="4" t="s">
        <v>282</v>
      </c>
      <c r="M609" s="4">
        <v>1633</v>
      </c>
      <c r="N609" s="4" t="s">
        <v>17</v>
      </c>
      <c r="O609" s="4" t="s">
        <v>25</v>
      </c>
      <c r="P609" s="4">
        <v>30636</v>
      </c>
      <c r="Q609" s="4" t="s">
        <v>19</v>
      </c>
      <c r="R609" s="4">
        <v>44443</v>
      </c>
      <c r="S609" s="4" t="str">
        <f>VLOOKUP(L609&amp;TEXT(I609,"mmmm")&amp;YEAR(I609),'[1]Detalle C-Fecha'!$D$2:$E$15921,2,FALSE)</f>
        <v>Expreso - Servicios Troncales</v>
      </c>
    </row>
    <row r="610" spans="1:19" x14ac:dyDescent="0.3">
      <c r="A610" s="4">
        <v>36530</v>
      </c>
      <c r="B610" s="4" t="s">
        <v>28</v>
      </c>
      <c r="C610" s="4" t="s">
        <v>15</v>
      </c>
      <c r="D610" s="4" t="s">
        <v>16</v>
      </c>
      <c r="E610" s="4" t="s">
        <v>109</v>
      </c>
      <c r="F610" s="4" t="str">
        <f t="shared" si="9"/>
        <v>3MU</v>
      </c>
      <c r="G610" s="5">
        <v>46203</v>
      </c>
      <c r="H610" s="6">
        <v>0.64097222222222217</v>
      </c>
      <c r="I610" s="5">
        <v>46200</v>
      </c>
      <c r="J610" s="5">
        <v>46200</v>
      </c>
      <c r="K610" s="5">
        <v>46200</v>
      </c>
      <c r="L610" s="4" t="s">
        <v>160</v>
      </c>
      <c r="M610" s="4" t="s">
        <v>161</v>
      </c>
      <c r="N610" s="4" t="s">
        <v>17</v>
      </c>
      <c r="O610" s="4" t="s">
        <v>25</v>
      </c>
      <c r="P610" s="4">
        <v>30685</v>
      </c>
      <c r="Q610" s="4" t="s">
        <v>19</v>
      </c>
      <c r="R610" s="4">
        <v>44501</v>
      </c>
      <c r="S610" s="4" t="str">
        <f>VLOOKUP(L610&amp;TEXT(I610,"mmmm")&amp;YEAR(I610),'[1]Detalle C-Fecha'!$D$2:$E$15921,2,FALSE)</f>
        <v>SUC_MEN - Sucursal Mendoza</v>
      </c>
    </row>
    <row r="611" spans="1:19" x14ac:dyDescent="0.3">
      <c r="A611" s="4">
        <v>36531</v>
      </c>
      <c r="B611" s="4" t="s">
        <v>28</v>
      </c>
      <c r="C611" s="4" t="s">
        <v>15</v>
      </c>
      <c r="D611" s="4" t="s">
        <v>16</v>
      </c>
      <c r="E611" s="4" t="s">
        <v>107</v>
      </c>
      <c r="F611" s="4" t="str">
        <f t="shared" si="9"/>
        <v>4MU</v>
      </c>
      <c r="G611" s="5">
        <v>46203</v>
      </c>
      <c r="H611" s="6">
        <v>0.64097222222222217</v>
      </c>
      <c r="I611" s="5">
        <v>46200</v>
      </c>
      <c r="J611" s="5">
        <v>46200</v>
      </c>
      <c r="K611" s="5">
        <v>46200</v>
      </c>
      <c r="L611" s="4" t="s">
        <v>160</v>
      </c>
      <c r="M611" s="4" t="s">
        <v>161</v>
      </c>
      <c r="N611" s="4" t="s">
        <v>17</v>
      </c>
      <c r="O611" s="4" t="s">
        <v>25</v>
      </c>
      <c r="P611" s="4">
        <v>30684</v>
      </c>
      <c r="Q611" s="4" t="s">
        <v>19</v>
      </c>
      <c r="R611" s="4">
        <v>44499</v>
      </c>
      <c r="S611" s="4" t="str">
        <f>VLOOKUP(L611&amp;TEXT(I611,"mmmm")&amp;YEAR(I611),'[1]Detalle C-Fecha'!$D$2:$E$15921,2,FALSE)</f>
        <v>SUC_MEN - Sucursal Mendoza</v>
      </c>
    </row>
    <row r="612" spans="1:19" x14ac:dyDescent="0.3">
      <c r="A612" s="4">
        <v>36532</v>
      </c>
      <c r="B612" s="4" t="s">
        <v>28</v>
      </c>
      <c r="C612" s="4" t="s">
        <v>15</v>
      </c>
      <c r="D612" s="4" t="s">
        <v>16</v>
      </c>
      <c r="E612" s="4" t="s">
        <v>110</v>
      </c>
      <c r="F612" s="4" t="str">
        <f t="shared" si="9"/>
        <v>5MU</v>
      </c>
      <c r="G612" s="5">
        <v>46203</v>
      </c>
      <c r="H612" s="6">
        <v>0.65208333333333335</v>
      </c>
      <c r="I612" s="5">
        <v>46200</v>
      </c>
      <c r="J612" s="5">
        <v>46200</v>
      </c>
      <c r="K612" s="5">
        <v>46200</v>
      </c>
      <c r="L612" s="4" t="s">
        <v>160</v>
      </c>
      <c r="M612" s="4" t="s">
        <v>161</v>
      </c>
      <c r="N612" s="4" t="s">
        <v>17</v>
      </c>
      <c r="O612" s="4" t="s">
        <v>25</v>
      </c>
      <c r="P612" s="4">
        <v>30687</v>
      </c>
      <c r="Q612" s="4" t="s">
        <v>19</v>
      </c>
      <c r="R612" s="4">
        <v>44497</v>
      </c>
      <c r="S612" s="4" t="str">
        <f>VLOOKUP(L612&amp;TEXT(I612,"mmmm")&amp;YEAR(I612),'[1]Detalle C-Fecha'!$D$2:$E$15921,2,FALSE)</f>
        <v>SUC_MEN - Sucursal Mendoza</v>
      </c>
    </row>
    <row r="613" spans="1:19" x14ac:dyDescent="0.3">
      <c r="A613" s="4">
        <v>36636</v>
      </c>
      <c r="B613" s="4" t="s">
        <v>28</v>
      </c>
      <c r="C613" s="4" t="s">
        <v>15</v>
      </c>
      <c r="D613" s="4" t="s">
        <v>16</v>
      </c>
      <c r="E613" s="4" t="s">
        <v>115</v>
      </c>
      <c r="F613" s="4" t="str">
        <f t="shared" si="9"/>
        <v>2ML</v>
      </c>
      <c r="G613" s="5">
        <v>46204</v>
      </c>
      <c r="H613" s="6">
        <v>0.33402777777777781</v>
      </c>
      <c r="I613" s="5">
        <v>46204</v>
      </c>
      <c r="J613" s="5"/>
      <c r="K613" s="5">
        <v>46213</v>
      </c>
      <c r="L613" s="4" t="s">
        <v>69</v>
      </c>
      <c r="M613" s="4" t="s">
        <v>129</v>
      </c>
      <c r="N613" s="4" t="s">
        <v>208</v>
      </c>
      <c r="O613" s="4" t="s">
        <v>24</v>
      </c>
      <c r="P613" s="4">
        <v>30708</v>
      </c>
      <c r="Q613" s="4" t="s">
        <v>19</v>
      </c>
      <c r="R613" s="4">
        <v>44991</v>
      </c>
      <c r="S613" s="4" t="str">
        <f>VLOOKUP(L613&amp;TEXT(I613,"mmmm")&amp;YEAR(I613),'[1]Detalle C-Fecha'!$D$2:$E$15921,2,FALSE)</f>
        <v>ADA_CH - Danone Arg. S.A. - Chascomus</v>
      </c>
    </row>
    <row r="614" spans="1:19" x14ac:dyDescent="0.3">
      <c r="A614" s="4">
        <v>36669</v>
      </c>
      <c r="B614" s="4" t="s">
        <v>28</v>
      </c>
      <c r="C614" s="4" t="s">
        <v>15</v>
      </c>
      <c r="D614" s="4" t="s">
        <v>16</v>
      </c>
      <c r="E614" s="4" t="s">
        <v>51</v>
      </c>
      <c r="F614" s="4" t="str">
        <f t="shared" si="9"/>
        <v>2MC</v>
      </c>
      <c r="G614" s="5">
        <v>46205</v>
      </c>
      <c r="H614" s="6">
        <v>0.5131944444444444</v>
      </c>
      <c r="I614" s="5">
        <v>46205</v>
      </c>
      <c r="J614" s="5"/>
      <c r="K614" s="5">
        <v>46213</v>
      </c>
      <c r="L614" s="4" t="s">
        <v>283</v>
      </c>
      <c r="M614" s="4" t="s">
        <v>178</v>
      </c>
      <c r="N614" s="4" t="s">
        <v>208</v>
      </c>
      <c r="O614" s="4" t="s">
        <v>27</v>
      </c>
      <c r="P614" s="4">
        <v>30732</v>
      </c>
      <c r="Q614" s="4" t="s">
        <v>19</v>
      </c>
      <c r="R614" s="4">
        <v>44946</v>
      </c>
      <c r="S614" s="4" t="str">
        <f>VLOOKUP(L614&amp;TEXT(I614,"mmmm")&amp;YEAR(I614),'[1]Detalle C-Fecha'!$D$2:$E$15921,2,FALSE)</f>
        <v>Topacio</v>
      </c>
    </row>
    <row r="615" spans="1:19" x14ac:dyDescent="0.3">
      <c r="A615" s="4">
        <v>36674</v>
      </c>
      <c r="B615" s="4" t="s">
        <v>28</v>
      </c>
      <c r="C615" s="4" t="s">
        <v>15</v>
      </c>
      <c r="D615" s="4" t="s">
        <v>23</v>
      </c>
      <c r="E615" s="4" t="s">
        <v>35</v>
      </c>
      <c r="F615" s="4" t="str">
        <f t="shared" si="9"/>
        <v>2ML</v>
      </c>
      <c r="G615" s="5">
        <v>46205</v>
      </c>
      <c r="H615" s="6">
        <v>0.5229166666666667</v>
      </c>
      <c r="I615" s="5">
        <v>46205</v>
      </c>
      <c r="J615" s="5"/>
      <c r="K615" s="5">
        <v>46213</v>
      </c>
      <c r="L615" s="4" t="s">
        <v>284</v>
      </c>
      <c r="M615" s="4" t="s">
        <v>126</v>
      </c>
      <c r="N615" s="4" t="s">
        <v>208</v>
      </c>
      <c r="O615" s="4" t="s">
        <v>27</v>
      </c>
      <c r="P615" s="4">
        <v>30737</v>
      </c>
      <c r="Q615" s="4" t="s">
        <v>123</v>
      </c>
      <c r="S615" s="4" t="str">
        <f>VLOOKUP(L615&amp;TEXT(I615,"mmmm")&amp;YEAR(I615),'[1]Detalle C-Fecha'!$D$2:$E$15921,2,FALSE)</f>
        <v>Unilever - Unilever de Arg. S.A.</v>
      </c>
    </row>
    <row r="616" spans="1:19" x14ac:dyDescent="0.3">
      <c r="A616" s="4">
        <v>36690</v>
      </c>
      <c r="B616" s="4" t="s">
        <v>28</v>
      </c>
      <c r="C616" s="4" t="s">
        <v>15</v>
      </c>
      <c r="D616" s="4" t="s">
        <v>23</v>
      </c>
      <c r="E616" s="4" t="s">
        <v>113</v>
      </c>
      <c r="F616" s="4" t="str">
        <f t="shared" si="9"/>
        <v>2MC</v>
      </c>
      <c r="G616" s="5">
        <v>46205</v>
      </c>
      <c r="H616" s="6">
        <v>0.77361111111111114</v>
      </c>
      <c r="I616" s="5">
        <v>46205</v>
      </c>
      <c r="J616" s="5">
        <v>46205</v>
      </c>
      <c r="K616" s="5">
        <v>46213</v>
      </c>
      <c r="L616" s="4" t="s">
        <v>285</v>
      </c>
      <c r="M616" s="4" t="s">
        <v>128</v>
      </c>
      <c r="N616" s="4" t="s">
        <v>208</v>
      </c>
      <c r="O616" s="4" t="s">
        <v>18</v>
      </c>
      <c r="P616" s="4">
        <v>30751</v>
      </c>
      <c r="Q616" s="4" t="s">
        <v>123</v>
      </c>
      <c r="S616" s="4" t="str">
        <f>VLOOKUP(L616&amp;TEXT(I616,"mmmm")&amp;YEAR(I616),'[1]Detalle C-Fecha'!$D$2:$E$15921,2,FALSE)</f>
        <v>CMQ_TTE - QUILMES TTE</v>
      </c>
    </row>
    <row r="617" spans="1:19" x14ac:dyDescent="0.3">
      <c r="A617" s="4">
        <v>36699</v>
      </c>
      <c r="B617" s="4" t="s">
        <v>28</v>
      </c>
      <c r="C617" s="4" t="s">
        <v>15</v>
      </c>
      <c r="D617" s="4" t="s">
        <v>23</v>
      </c>
      <c r="E617" s="4" t="s">
        <v>51</v>
      </c>
      <c r="F617" s="4" t="str">
        <f t="shared" si="9"/>
        <v>2MC</v>
      </c>
      <c r="G617" s="5">
        <v>46206</v>
      </c>
      <c r="H617" s="6">
        <v>0.39305555555555555</v>
      </c>
      <c r="I617" s="5">
        <v>46206</v>
      </c>
      <c r="J617" s="5"/>
      <c r="K617" s="5">
        <v>46213</v>
      </c>
      <c r="L617" s="4" t="s">
        <v>286</v>
      </c>
      <c r="M617" s="4">
        <v>1620</v>
      </c>
      <c r="N617" s="4" t="s">
        <v>208</v>
      </c>
      <c r="O617" s="4" t="s">
        <v>27</v>
      </c>
      <c r="P617" s="4">
        <v>30759</v>
      </c>
      <c r="Q617" s="4" t="s">
        <v>123</v>
      </c>
      <c r="S617" s="4" t="str">
        <f>VLOOKUP(L617&amp;TEXT(I617,"mmmm")&amp;YEAR(I617),'[1]Detalle C-Fecha'!$D$2:$E$15921,2,FALSE)</f>
        <v>Molca</v>
      </c>
    </row>
    <row r="618" spans="1:19" x14ac:dyDescent="0.3">
      <c r="A618" s="4">
        <v>36891</v>
      </c>
      <c r="B618" s="4" t="s">
        <v>28</v>
      </c>
      <c r="C618" s="4" t="s">
        <v>15</v>
      </c>
      <c r="D618" s="4" t="s">
        <v>23</v>
      </c>
      <c r="E618" s="4" t="s">
        <v>115</v>
      </c>
      <c r="F618" s="4" t="str">
        <f t="shared" si="9"/>
        <v>2ML</v>
      </c>
      <c r="G618" s="5">
        <v>46209</v>
      </c>
      <c r="H618" s="6">
        <v>0.37847222222222227</v>
      </c>
      <c r="I618" s="5">
        <v>46209</v>
      </c>
      <c r="J618" s="5"/>
      <c r="K618" s="5">
        <v>46213</v>
      </c>
      <c r="L618" s="4" t="s">
        <v>64</v>
      </c>
      <c r="M618" s="4" t="s">
        <v>129</v>
      </c>
      <c r="N618" s="4" t="s">
        <v>208</v>
      </c>
      <c r="O618" s="4" t="s">
        <v>24</v>
      </c>
      <c r="P618" s="4">
        <v>30842</v>
      </c>
      <c r="Q618" s="4" t="s">
        <v>123</v>
      </c>
      <c r="S618" s="4" t="str">
        <f>VLOOKUP(L618&amp;TEXT(I618,"mmmm")&amp;YEAR(I618),'[1]Detalle C-Fecha'!$D$2:$E$15921,2,FALSE)</f>
        <v>ADA_CH - Danone Arg. S.A. - Chascomus</v>
      </c>
    </row>
    <row r="619" spans="1:19" x14ac:dyDescent="0.3">
      <c r="A619" s="4">
        <v>37038</v>
      </c>
      <c r="B619" s="4" t="s">
        <v>28</v>
      </c>
      <c r="C619" s="4" t="s">
        <v>15</v>
      </c>
      <c r="D619" s="4" t="s">
        <v>16</v>
      </c>
      <c r="E619" s="4" t="s">
        <v>51</v>
      </c>
      <c r="F619" s="4" t="str">
        <f t="shared" si="9"/>
        <v>2MC</v>
      </c>
      <c r="G619" s="5">
        <v>46210</v>
      </c>
      <c r="H619" s="6">
        <v>0.82152777777777775</v>
      </c>
      <c r="I619" s="5">
        <v>46210</v>
      </c>
      <c r="J619" s="5">
        <v>46210</v>
      </c>
      <c r="K619" s="5">
        <v>46210</v>
      </c>
      <c r="L619" s="4" t="s">
        <v>287</v>
      </c>
      <c r="M619" s="4" t="s">
        <v>128</v>
      </c>
      <c r="N619" s="4" t="s">
        <v>208</v>
      </c>
      <c r="O619" s="4" t="s">
        <v>18</v>
      </c>
      <c r="P619" s="4">
        <v>30926</v>
      </c>
      <c r="Q619" s="4" t="s">
        <v>19</v>
      </c>
      <c r="R619" s="4">
        <v>44990</v>
      </c>
      <c r="S619" s="4" t="str">
        <f>VLOOKUP(L619&amp;TEXT(I619,"mmmm")&amp;YEAR(I619),'[1]Detalle C-Fecha'!$D$2:$E$15921,2,FALSE)</f>
        <v>CMQ_TTE - QUILMES TTE</v>
      </c>
    </row>
    <row r="620" spans="1:19" x14ac:dyDescent="0.3">
      <c r="A620" s="4">
        <v>37051</v>
      </c>
      <c r="B620" s="4" t="s">
        <v>28</v>
      </c>
      <c r="C620" s="4" t="s">
        <v>15</v>
      </c>
      <c r="D620" s="4" t="s">
        <v>16</v>
      </c>
      <c r="E620" s="4" t="s">
        <v>35</v>
      </c>
      <c r="F620" s="4" t="str">
        <f t="shared" si="9"/>
        <v>2ML</v>
      </c>
      <c r="G620" s="5">
        <v>46211</v>
      </c>
      <c r="H620" s="6">
        <v>0.3611111111111111</v>
      </c>
      <c r="I620" s="5">
        <v>46211</v>
      </c>
      <c r="J620" s="5">
        <v>46211</v>
      </c>
      <c r="K620" s="5">
        <v>46211</v>
      </c>
      <c r="L620" s="4" t="s">
        <v>288</v>
      </c>
      <c r="M620" s="4" t="s">
        <v>146</v>
      </c>
      <c r="N620" s="4" t="s">
        <v>208</v>
      </c>
      <c r="O620" s="4" t="s">
        <v>27</v>
      </c>
      <c r="P620" s="4">
        <v>30938</v>
      </c>
      <c r="Q620" s="4" t="s">
        <v>19</v>
      </c>
      <c r="R620" s="4">
        <v>44980</v>
      </c>
      <c r="S620" s="4" t="str">
        <f>VLOOKUP(L620&amp;TEXT(I620,"mmmm")&amp;YEAR(I620),'[1]Detalle C-Fecha'!$D$2:$E$15921,2,FALSE)</f>
        <v>Arcor S.A.I.C.</v>
      </c>
    </row>
    <row r="621" spans="1:19" x14ac:dyDescent="0.3">
      <c r="A621" s="4">
        <v>37217</v>
      </c>
      <c r="B621" s="4" t="s">
        <v>28</v>
      </c>
      <c r="C621" s="4" t="s">
        <v>124</v>
      </c>
      <c r="D621" s="4" t="s">
        <v>23</v>
      </c>
      <c r="E621" s="4" t="s">
        <v>35</v>
      </c>
      <c r="F621" s="4" t="str">
        <f t="shared" si="9"/>
        <v>2ML</v>
      </c>
      <c r="G621" s="5">
        <v>46216</v>
      </c>
      <c r="H621" s="6">
        <v>0.37083333333333335</v>
      </c>
      <c r="I621" s="5">
        <v>46216</v>
      </c>
      <c r="J621" s="5"/>
      <c r="K621" s="5"/>
      <c r="L621" s="4" t="s">
        <v>181</v>
      </c>
      <c r="M621" s="4" t="s">
        <v>126</v>
      </c>
      <c r="N621" s="4" t="s">
        <v>208</v>
      </c>
      <c r="O621" s="4" t="s">
        <v>25</v>
      </c>
      <c r="P621" s="4">
        <v>31025</v>
      </c>
      <c r="Q621" s="4" t="s">
        <v>123</v>
      </c>
      <c r="S621" s="4" t="str">
        <f>VLOOKUP(L621&amp;TEXT(I621,"mmmm")&amp;YEAR(I621),'[1]Detalle C-Fecha'!$D$2:$E$15921,2,FALSE)</f>
        <v>Expreso - Servicios Troncales</v>
      </c>
    </row>
    <row r="622" spans="1:19" x14ac:dyDescent="0.3">
      <c r="A622" s="4">
        <v>37230</v>
      </c>
      <c r="B622" s="4" t="s">
        <v>28</v>
      </c>
      <c r="C622" s="4" t="s">
        <v>15</v>
      </c>
      <c r="D622" s="4" t="s">
        <v>16</v>
      </c>
      <c r="E622" s="4" t="s">
        <v>118</v>
      </c>
      <c r="F622" s="4" t="str">
        <f t="shared" si="9"/>
        <v>2ML</v>
      </c>
      <c r="G622" s="5">
        <v>46216</v>
      </c>
      <c r="H622" s="6">
        <v>0.5493055555555556</v>
      </c>
      <c r="I622" s="5">
        <v>46216</v>
      </c>
      <c r="J622" s="5">
        <v>46217</v>
      </c>
      <c r="K622" s="5">
        <v>46217</v>
      </c>
      <c r="L622" s="4" t="s">
        <v>56</v>
      </c>
      <c r="M622" s="4" t="s">
        <v>142</v>
      </c>
      <c r="N622" s="4" t="s">
        <v>17</v>
      </c>
      <c r="O622" s="4" t="s">
        <v>25</v>
      </c>
      <c r="P622" s="4">
        <v>31036</v>
      </c>
      <c r="Q622" s="4" t="s">
        <v>19</v>
      </c>
      <c r="R622" s="4">
        <v>44949</v>
      </c>
      <c r="S622" s="4" t="str">
        <f>VLOOKUP(L622&amp;TEXT(I622,"mmmm")&amp;YEAR(I622),'[1]Detalle C-Fecha'!$D$2:$E$15921,2,FALSE)</f>
        <v>Expreso - Servicios Troncales</v>
      </c>
    </row>
    <row r="623" spans="1:19" x14ac:dyDescent="0.3">
      <c r="A623" s="4">
        <v>37250</v>
      </c>
      <c r="B623" s="4" t="s">
        <v>28</v>
      </c>
      <c r="C623" s="4" t="s">
        <v>15</v>
      </c>
      <c r="D623" s="4" t="s">
        <v>23</v>
      </c>
      <c r="E623" s="4" t="s">
        <v>113</v>
      </c>
      <c r="F623" s="4" t="str">
        <f t="shared" si="9"/>
        <v>2MC</v>
      </c>
      <c r="G623" s="5">
        <v>46216</v>
      </c>
      <c r="H623" s="6">
        <v>0.68194444444444446</v>
      </c>
      <c r="I623" s="5">
        <v>46216</v>
      </c>
      <c r="J623" s="5">
        <v>46216</v>
      </c>
      <c r="K623" s="5">
        <v>46216</v>
      </c>
      <c r="L623" s="4" t="s">
        <v>289</v>
      </c>
      <c r="M623" s="4" t="s">
        <v>290</v>
      </c>
      <c r="N623" s="4" t="s">
        <v>208</v>
      </c>
      <c r="O623" s="4" t="s">
        <v>27</v>
      </c>
      <c r="P623" s="4">
        <v>31046</v>
      </c>
      <c r="Q623" s="4" t="s">
        <v>123</v>
      </c>
      <c r="S623" s="4" t="str">
        <f>VLOOKUP(L623&amp;TEXT(I623,"mmmm")&amp;YEAR(I623),'[1]Detalle C-Fecha'!$D$2:$E$15921,2,FALSE)</f>
        <v>CCUCoAZA</v>
      </c>
    </row>
    <row r="624" spans="1:19" x14ac:dyDescent="0.3">
      <c r="A624" s="4">
        <v>37256</v>
      </c>
      <c r="B624" s="4" t="s">
        <v>28</v>
      </c>
      <c r="C624" s="4" t="s">
        <v>15</v>
      </c>
      <c r="D624" s="4" t="s">
        <v>23</v>
      </c>
      <c r="E624" s="4" t="s">
        <v>51</v>
      </c>
      <c r="F624" s="4" t="str">
        <f t="shared" si="9"/>
        <v>2MC</v>
      </c>
      <c r="G624" s="5">
        <v>46217</v>
      </c>
      <c r="H624" s="6">
        <v>0.4381944444444445</v>
      </c>
      <c r="I624" s="5">
        <v>46217</v>
      </c>
      <c r="J624" s="5">
        <v>46217</v>
      </c>
      <c r="K624" s="5">
        <v>46217</v>
      </c>
      <c r="L624" s="4" t="s">
        <v>291</v>
      </c>
      <c r="M624" s="4">
        <v>710</v>
      </c>
      <c r="N624" s="4" t="s">
        <v>31</v>
      </c>
      <c r="O624" s="4" t="s">
        <v>25</v>
      </c>
      <c r="P624" s="4">
        <v>31050</v>
      </c>
      <c r="Q624" s="4" t="s">
        <v>123</v>
      </c>
      <c r="S624" s="4" t="str">
        <f>VLOOKUP(L624&amp;TEXT(I624,"mmmm")&amp;YEAR(I624),'[1]Detalle C-Fecha'!$D$2:$E$15921,2,FALSE)</f>
        <v>SUC_GAL - Sucursal General Alvear</v>
      </c>
    </row>
    <row r="625" spans="1:19" x14ac:dyDescent="0.3">
      <c r="A625" s="4">
        <v>37283</v>
      </c>
      <c r="B625" s="4" t="s">
        <v>28</v>
      </c>
      <c r="C625" s="4" t="s">
        <v>15</v>
      </c>
      <c r="D625" s="4" t="s">
        <v>23</v>
      </c>
      <c r="E625" s="4" t="s">
        <v>51</v>
      </c>
      <c r="F625" s="4" t="str">
        <f t="shared" si="9"/>
        <v>2MC</v>
      </c>
      <c r="G625" s="5">
        <v>46217</v>
      </c>
      <c r="H625" s="6">
        <v>0.79722222222222217</v>
      </c>
      <c r="I625" s="5">
        <v>46217</v>
      </c>
      <c r="J625" s="5">
        <v>46217</v>
      </c>
      <c r="K625" s="5">
        <v>46217</v>
      </c>
      <c r="L625" s="4" t="s">
        <v>292</v>
      </c>
      <c r="M625" s="4" t="s">
        <v>293</v>
      </c>
      <c r="N625" s="4" t="s">
        <v>208</v>
      </c>
      <c r="O625" s="4" t="s">
        <v>18</v>
      </c>
      <c r="P625" s="4">
        <v>31073</v>
      </c>
      <c r="Q625" s="4" t="s">
        <v>123</v>
      </c>
      <c r="S625" s="4" t="str">
        <f>VLOOKUP(L625&amp;TEXT(I625,"mmmm")&amp;YEAR(I625),'[1]Detalle C-Fecha'!$D$2:$E$15921,2,FALSE)</f>
        <v>CMQ_TTE - QUILMES TTE</v>
      </c>
    </row>
    <row r="626" spans="1:19" x14ac:dyDescent="0.3">
      <c r="A626" s="4">
        <v>37467</v>
      </c>
      <c r="B626" s="4" t="s">
        <v>28</v>
      </c>
      <c r="C626" s="4" t="s">
        <v>124</v>
      </c>
      <c r="D626" s="4" t="s">
        <v>23</v>
      </c>
      <c r="E626" s="4" t="s">
        <v>115</v>
      </c>
      <c r="F626" s="4" t="str">
        <f t="shared" si="9"/>
        <v>2ML</v>
      </c>
      <c r="G626" s="5">
        <v>46220</v>
      </c>
      <c r="H626" s="6">
        <v>0.5625</v>
      </c>
      <c r="I626" s="5">
        <v>46220</v>
      </c>
      <c r="J626" s="5"/>
      <c r="K626" s="5"/>
      <c r="L626" s="4" t="s">
        <v>55</v>
      </c>
      <c r="M626" s="4" t="s">
        <v>131</v>
      </c>
      <c r="N626" s="4" t="s">
        <v>208</v>
      </c>
      <c r="O626" s="4" t="s">
        <v>25</v>
      </c>
      <c r="P626" s="4">
        <v>31202</v>
      </c>
      <c r="Q626" s="4" t="s">
        <v>123</v>
      </c>
      <c r="S626" s="4" t="str">
        <f>VLOOKUP(L626&amp;TEXT(I626,"mmmm")&amp;YEAR(I626),'[1]Detalle C-Fecha'!$D$2:$E$15921,2,FALSE)</f>
        <v>Expreso - Servicios Troncales</v>
      </c>
    </row>
    <row r="627" spans="1:19" x14ac:dyDescent="0.3">
      <c r="A627" s="4">
        <v>37515</v>
      </c>
      <c r="B627" s="4" t="s">
        <v>28</v>
      </c>
      <c r="C627" s="4" t="s">
        <v>15</v>
      </c>
      <c r="D627" s="4" t="s">
        <v>16</v>
      </c>
      <c r="E627" s="4" t="s">
        <v>121</v>
      </c>
      <c r="F627" s="4" t="str">
        <f t="shared" si="9"/>
        <v>2MC</v>
      </c>
      <c r="G627" s="5">
        <v>46224</v>
      </c>
      <c r="H627" s="6">
        <v>0.45069444444444445</v>
      </c>
      <c r="I627" s="5">
        <v>46219</v>
      </c>
      <c r="J627" s="5">
        <v>46219</v>
      </c>
      <c r="K627" s="5">
        <v>46219</v>
      </c>
      <c r="L627" s="4" t="s">
        <v>294</v>
      </c>
      <c r="M627" s="4">
        <v>1624</v>
      </c>
      <c r="N627" s="4" t="s">
        <v>17</v>
      </c>
      <c r="O627" s="4" t="s">
        <v>24</v>
      </c>
      <c r="P627" s="4">
        <v>31276</v>
      </c>
      <c r="Q627" s="4" t="s">
        <v>19</v>
      </c>
      <c r="R627" s="4">
        <v>45120</v>
      </c>
      <c r="S627" s="4" t="str">
        <f>VLOOKUP(L627&amp;TEXT(I627,"mmmm")&amp;YEAR(I627),'[1]Detalle C-Fecha'!$D$2:$E$15921,2,FALSE)</f>
        <v>CENCO_SJ - Cencosud SA - San Juan</v>
      </c>
    </row>
    <row r="628" spans="1:19" x14ac:dyDescent="0.3">
      <c r="A628" s="4">
        <v>37524</v>
      </c>
      <c r="B628" s="4" t="s">
        <v>28</v>
      </c>
      <c r="C628" s="4" t="s">
        <v>15</v>
      </c>
      <c r="D628" s="4" t="s">
        <v>16</v>
      </c>
      <c r="E628" s="4" t="s">
        <v>118</v>
      </c>
      <c r="F628" s="4" t="str">
        <f t="shared" si="9"/>
        <v>2ML</v>
      </c>
      <c r="G628" s="5">
        <v>46224</v>
      </c>
      <c r="H628" s="6">
        <v>0.4861111111111111</v>
      </c>
      <c r="I628" s="5">
        <v>46223</v>
      </c>
      <c r="J628" s="5">
        <v>46223</v>
      </c>
      <c r="K628" s="5">
        <v>46223</v>
      </c>
      <c r="L628" s="4" t="s">
        <v>166</v>
      </c>
      <c r="M628" s="4" t="s">
        <v>142</v>
      </c>
      <c r="N628" s="4" t="s">
        <v>17</v>
      </c>
      <c r="O628" s="4" t="s">
        <v>25</v>
      </c>
      <c r="P628" s="4">
        <v>31302</v>
      </c>
      <c r="Q628" s="4" t="s">
        <v>19</v>
      </c>
      <c r="R628" s="4">
        <v>45124</v>
      </c>
      <c r="S628" s="4" t="str">
        <f>VLOOKUP(L628&amp;TEXT(I628,"mmmm")&amp;YEAR(I628),'[1]Detalle C-Fecha'!$D$2:$E$15921,2,FALSE)</f>
        <v>Expreso - Servicios Troncales</v>
      </c>
    </row>
    <row r="629" spans="1:19" x14ac:dyDescent="0.3">
      <c r="A629" s="4">
        <v>37543</v>
      </c>
      <c r="B629" s="4" t="s">
        <v>28</v>
      </c>
      <c r="C629" s="4" t="s">
        <v>15</v>
      </c>
      <c r="D629" s="4" t="s">
        <v>16</v>
      </c>
      <c r="E629" s="4" t="s">
        <v>35</v>
      </c>
      <c r="F629" s="4" t="str">
        <f t="shared" si="9"/>
        <v>2ML</v>
      </c>
      <c r="G629" s="5">
        <v>46224</v>
      </c>
      <c r="H629" s="6">
        <v>0.59027777777777779</v>
      </c>
      <c r="I629" s="5">
        <v>46224</v>
      </c>
      <c r="J629" s="5">
        <v>46224</v>
      </c>
      <c r="K629" s="5">
        <v>46224</v>
      </c>
      <c r="L629" s="4" t="s">
        <v>61</v>
      </c>
      <c r="M629" s="4" t="s">
        <v>204</v>
      </c>
      <c r="N629" s="4" t="s">
        <v>31</v>
      </c>
      <c r="O629" s="4" t="s">
        <v>25</v>
      </c>
      <c r="P629" s="4">
        <v>31234</v>
      </c>
      <c r="Q629" s="4" t="s">
        <v>19</v>
      </c>
      <c r="R629" s="4">
        <v>45098</v>
      </c>
      <c r="S629" s="4" t="str">
        <f>VLOOKUP(L629&amp;TEXT(I629,"mmmm")&amp;YEAR(I629),'[1]Detalle C-Fecha'!$D$2:$E$15921,2,FALSE)</f>
        <v>Expreso - Servicios Troncales</v>
      </c>
    </row>
    <row r="630" spans="1:19" x14ac:dyDescent="0.3">
      <c r="A630" s="4">
        <v>37759</v>
      </c>
      <c r="B630" s="4" t="s">
        <v>28</v>
      </c>
      <c r="C630" s="4" t="s">
        <v>15</v>
      </c>
      <c r="D630" s="4" t="s">
        <v>16</v>
      </c>
      <c r="E630" s="4" t="s">
        <v>35</v>
      </c>
      <c r="F630" s="4" t="str">
        <f t="shared" si="9"/>
        <v>2ML</v>
      </c>
      <c r="G630" s="5">
        <v>46225</v>
      </c>
      <c r="H630" s="6">
        <v>0.42569444444444443</v>
      </c>
      <c r="I630" s="5">
        <v>46225</v>
      </c>
      <c r="J630" s="5">
        <v>46225</v>
      </c>
      <c r="K630" s="5">
        <v>46225</v>
      </c>
      <c r="L630" s="4" t="s">
        <v>219</v>
      </c>
      <c r="M630" s="4" t="s">
        <v>126</v>
      </c>
      <c r="N630" s="4" t="s">
        <v>31</v>
      </c>
      <c r="O630" s="4" t="s">
        <v>25</v>
      </c>
      <c r="P630" s="4">
        <v>31373</v>
      </c>
      <c r="Q630" s="4" t="s">
        <v>19</v>
      </c>
      <c r="R630" s="4">
        <v>45086</v>
      </c>
      <c r="S630" s="4" t="str">
        <f>VLOOKUP(L630&amp;TEXT(I630,"mmmm")&amp;YEAR(I630),'[1]Detalle C-Fecha'!$D$2:$E$15921,2,FALSE)</f>
        <v>Expreso - Servicios Troncales</v>
      </c>
    </row>
    <row r="631" spans="1:19" x14ac:dyDescent="0.3">
      <c r="A631" s="4">
        <v>37791</v>
      </c>
      <c r="B631" s="4" t="s">
        <v>28</v>
      </c>
      <c r="C631" s="4" t="s">
        <v>15</v>
      </c>
      <c r="D631" s="4" t="s">
        <v>16</v>
      </c>
      <c r="E631" s="4" t="s">
        <v>35</v>
      </c>
      <c r="F631" s="4" t="str">
        <f t="shared" si="9"/>
        <v>2ML</v>
      </c>
      <c r="G631" s="5">
        <v>46226</v>
      </c>
      <c r="H631" s="6">
        <v>0.64513888888888882</v>
      </c>
      <c r="I631" s="5">
        <v>46225</v>
      </c>
      <c r="J631" s="5">
        <v>46225</v>
      </c>
      <c r="K631" s="5">
        <v>46225</v>
      </c>
      <c r="L631" s="4" t="s">
        <v>296</v>
      </c>
      <c r="M631" s="4" t="s">
        <v>163</v>
      </c>
      <c r="N631" s="4" t="s">
        <v>17</v>
      </c>
      <c r="O631" s="4" t="s">
        <v>25</v>
      </c>
      <c r="P631" s="4">
        <v>31403</v>
      </c>
      <c r="Q631" s="4" t="s">
        <v>19</v>
      </c>
      <c r="R631" s="4">
        <v>45134</v>
      </c>
      <c r="S631" s="4" t="str">
        <f>VLOOKUP(L631&amp;TEXT(I631,"mmmm")&amp;YEAR(I631),'[1]Detalle C-Fecha'!$D$2:$E$15921,2,FALSE)</f>
        <v>Expreso - Servicios Troncales</v>
      </c>
    </row>
    <row r="632" spans="1:19" x14ac:dyDescent="0.3">
      <c r="A632" s="4">
        <v>37799</v>
      </c>
      <c r="B632" s="4" t="s">
        <v>28</v>
      </c>
      <c r="C632" s="4" t="s">
        <v>15</v>
      </c>
      <c r="D632" s="4" t="s">
        <v>16</v>
      </c>
      <c r="E632" s="4" t="s">
        <v>51</v>
      </c>
      <c r="F632" s="4" t="str">
        <f t="shared" si="9"/>
        <v>2MC</v>
      </c>
      <c r="G632" s="5">
        <v>46226</v>
      </c>
      <c r="H632" s="6">
        <v>0.67499999999999993</v>
      </c>
      <c r="I632" s="5">
        <v>46226</v>
      </c>
      <c r="J632" s="5">
        <v>46226</v>
      </c>
      <c r="K632" s="5">
        <v>46226</v>
      </c>
      <c r="L632" s="4" t="s">
        <v>297</v>
      </c>
      <c r="M632" s="4">
        <v>1624</v>
      </c>
      <c r="N632" s="4" t="s">
        <v>17</v>
      </c>
      <c r="O632" s="4" t="s">
        <v>24</v>
      </c>
      <c r="P632" s="4">
        <v>31408</v>
      </c>
      <c r="Q632" s="4" t="s">
        <v>19</v>
      </c>
      <c r="R632" s="4">
        <v>45188</v>
      </c>
      <c r="S632" s="4" t="str">
        <f>VLOOKUP(L632&amp;TEXT(I632,"mmmm")&amp;YEAR(I632),'[1]Detalle C-Fecha'!$D$2:$E$15921,2,FALSE)</f>
        <v>Sin Operación</v>
      </c>
    </row>
    <row r="633" spans="1:19" x14ac:dyDescent="0.3">
      <c r="A633" s="4">
        <v>37804</v>
      </c>
      <c r="B633" s="4" t="s">
        <v>28</v>
      </c>
      <c r="C633" s="4" t="s">
        <v>15</v>
      </c>
      <c r="D633" s="4" t="s">
        <v>16</v>
      </c>
      <c r="E633" s="4" t="s">
        <v>118</v>
      </c>
      <c r="F633" s="4" t="str">
        <f t="shared" si="9"/>
        <v>2ML</v>
      </c>
      <c r="G633" s="5">
        <v>46226</v>
      </c>
      <c r="H633" s="6">
        <v>0.68958333333333333</v>
      </c>
      <c r="I633" s="5">
        <v>46226</v>
      </c>
      <c r="J633" s="5">
        <v>46226</v>
      </c>
      <c r="K633" s="5">
        <v>46226</v>
      </c>
      <c r="L633" s="4" t="s">
        <v>65</v>
      </c>
      <c r="M633" s="4" t="s">
        <v>142</v>
      </c>
      <c r="N633" s="4" t="s">
        <v>17</v>
      </c>
      <c r="O633" s="4" t="s">
        <v>25</v>
      </c>
      <c r="P633" s="4">
        <v>31413</v>
      </c>
      <c r="Q633" s="4" t="s">
        <v>19</v>
      </c>
      <c r="R633" s="4">
        <v>45176</v>
      </c>
      <c r="S633" s="4" t="str">
        <f>VLOOKUP(L633&amp;TEXT(I633,"mmmm")&amp;YEAR(I633),'[1]Detalle C-Fecha'!$D$2:$E$15921,2,FALSE)</f>
        <v>Expreso - Servicios Troncales</v>
      </c>
    </row>
    <row r="634" spans="1:19" x14ac:dyDescent="0.3">
      <c r="A634" s="4">
        <v>37865</v>
      </c>
      <c r="B634" s="4" t="s">
        <v>28</v>
      </c>
      <c r="C634" s="4" t="s">
        <v>124</v>
      </c>
      <c r="D634" s="4" t="s">
        <v>23</v>
      </c>
      <c r="E634" s="4" t="s">
        <v>51</v>
      </c>
      <c r="F634" s="4" t="str">
        <f t="shared" si="9"/>
        <v>2MC</v>
      </c>
      <c r="G634" s="5">
        <v>46230</v>
      </c>
      <c r="H634" s="6">
        <v>0.49374999999999997</v>
      </c>
      <c r="I634" s="5">
        <v>46230</v>
      </c>
      <c r="J634" s="5"/>
      <c r="K634" s="5"/>
      <c r="L634" s="4" t="s">
        <v>194</v>
      </c>
      <c r="M634" s="4" t="s">
        <v>163</v>
      </c>
      <c r="N634" s="4" t="s">
        <v>17</v>
      </c>
      <c r="O634" s="4" t="s">
        <v>24</v>
      </c>
      <c r="P634" s="4">
        <v>31463</v>
      </c>
      <c r="Q634" s="4" t="s">
        <v>123</v>
      </c>
      <c r="S634" s="4" t="str">
        <f>VLOOKUP(L634&amp;TEXT(I634,"mmmm")&amp;YEAR(I634),'[1]Detalle C-Fecha'!$D$2:$E$15921,2,FALSE)</f>
        <v>CENCOMLD - Cencosud SA - Mendoza</v>
      </c>
    </row>
    <row r="635" spans="1:19" x14ac:dyDescent="0.3">
      <c r="A635" s="4">
        <v>37870</v>
      </c>
      <c r="B635" s="4" t="s">
        <v>28</v>
      </c>
      <c r="C635" s="4" t="s">
        <v>15</v>
      </c>
      <c r="D635" s="4" t="s">
        <v>16</v>
      </c>
      <c r="E635" s="4" t="s">
        <v>35</v>
      </c>
      <c r="F635" s="4" t="str">
        <f t="shared" si="9"/>
        <v>2ML</v>
      </c>
      <c r="G635" s="5">
        <v>46230</v>
      </c>
      <c r="H635" s="6">
        <v>0.51250000000000007</v>
      </c>
      <c r="I635" s="5">
        <v>46214</v>
      </c>
      <c r="J635" s="5">
        <v>46214</v>
      </c>
      <c r="K635" s="5">
        <v>46214</v>
      </c>
      <c r="L635" s="4" t="s">
        <v>173</v>
      </c>
      <c r="M635" s="4" t="s">
        <v>146</v>
      </c>
      <c r="N635" s="4" t="s">
        <v>17</v>
      </c>
      <c r="O635" s="4" t="s">
        <v>24</v>
      </c>
      <c r="P635" s="4">
        <v>31468</v>
      </c>
      <c r="Q635" s="4" t="s">
        <v>19</v>
      </c>
      <c r="R635" s="4">
        <v>45115</v>
      </c>
      <c r="S635" s="4" t="str">
        <f>VLOOKUP(L635&amp;TEXT(I635,"mmmm")&amp;YEAR(I635),'[1]Detalle C-Fecha'!$D$2:$E$15921,2,FALSE)</f>
        <v>CENCOMLD - Cencosud SA - Mendoza</v>
      </c>
    </row>
    <row r="636" spans="1:19" x14ac:dyDescent="0.3">
      <c r="A636" s="4">
        <v>38120</v>
      </c>
      <c r="B636" s="4" t="s">
        <v>28</v>
      </c>
      <c r="C636" s="4" t="s">
        <v>124</v>
      </c>
      <c r="D636" s="4" t="s">
        <v>23</v>
      </c>
      <c r="E636" s="4" t="s">
        <v>51</v>
      </c>
      <c r="F636" s="4" t="str">
        <f t="shared" si="9"/>
        <v>2MC</v>
      </c>
      <c r="G636" s="5">
        <v>46231</v>
      </c>
      <c r="H636" s="6">
        <v>0.74861111111111101</v>
      </c>
      <c r="I636" s="5">
        <v>46231</v>
      </c>
      <c r="J636" s="5">
        <v>46231</v>
      </c>
      <c r="K636" s="5">
        <v>46231</v>
      </c>
      <c r="L636" s="4" t="s">
        <v>295</v>
      </c>
      <c r="M636" s="4" t="s">
        <v>290</v>
      </c>
      <c r="N636" s="4" t="s">
        <v>208</v>
      </c>
      <c r="O636" s="4" t="s">
        <v>27</v>
      </c>
      <c r="P636" s="4">
        <v>31597</v>
      </c>
      <c r="Q636" s="4" t="s">
        <v>123</v>
      </c>
      <c r="S636" s="4" t="str">
        <f>VLOOKUP(L636&amp;TEXT(I636,"mmmm")&amp;YEAR(I636),'[1]Detalle C-Fecha'!$D$2:$E$15921,2,FALSE)</f>
        <v>CCUCoAZA</v>
      </c>
    </row>
    <row r="637" spans="1:19" x14ac:dyDescent="0.3">
      <c r="A637" s="4">
        <v>38128</v>
      </c>
      <c r="B637" s="4" t="s">
        <v>28</v>
      </c>
      <c r="C637" s="4" t="s">
        <v>124</v>
      </c>
      <c r="D637" s="4" t="s">
        <v>23</v>
      </c>
      <c r="E637" s="4" t="s">
        <v>35</v>
      </c>
      <c r="F637" s="4" t="str">
        <f t="shared" si="9"/>
        <v>2ML</v>
      </c>
      <c r="G637" s="5">
        <v>46232</v>
      </c>
      <c r="H637" s="6">
        <v>0.4055555555555555</v>
      </c>
      <c r="I637" s="5">
        <v>46232</v>
      </c>
      <c r="J637" s="5">
        <v>46232</v>
      </c>
      <c r="K637" s="5">
        <v>46232</v>
      </c>
      <c r="L637" s="4" t="s">
        <v>240</v>
      </c>
      <c r="M637" s="4" t="s">
        <v>142</v>
      </c>
      <c r="N637" s="4" t="s">
        <v>31</v>
      </c>
      <c r="O637" s="4" t="s">
        <v>25</v>
      </c>
      <c r="P637" s="4">
        <v>31604</v>
      </c>
      <c r="Q637" s="4" t="s">
        <v>123</v>
      </c>
      <c r="S637" s="4" t="str">
        <f>VLOOKUP(L637&amp;TEXT(I637,"mmmm")&amp;YEAR(I637),'[1]Detalle C-Fecha'!$D$2:$E$15921,2,FALSE)</f>
        <v>Expreso - Servicios Troncales</v>
      </c>
    </row>
    <row r="638" spans="1:19" x14ac:dyDescent="0.3">
      <c r="A638" s="4">
        <v>38170</v>
      </c>
      <c r="B638" s="4" t="s">
        <v>28</v>
      </c>
      <c r="C638" s="4" t="s">
        <v>124</v>
      </c>
      <c r="D638" s="4" t="s">
        <v>23</v>
      </c>
      <c r="E638" s="4" t="s">
        <v>115</v>
      </c>
      <c r="F638" s="4" t="str">
        <f t="shared" si="9"/>
        <v>2ML</v>
      </c>
      <c r="G638" s="5">
        <v>46232</v>
      </c>
      <c r="H638" s="6">
        <v>0.66736111111111107</v>
      </c>
      <c r="I638" s="5">
        <v>46232</v>
      </c>
      <c r="J638" s="5"/>
      <c r="K638" s="5"/>
      <c r="L638" s="4" t="s">
        <v>73</v>
      </c>
      <c r="M638" s="4" t="s">
        <v>204</v>
      </c>
      <c r="N638" s="4" t="s">
        <v>17</v>
      </c>
      <c r="O638" s="4" t="s">
        <v>25</v>
      </c>
      <c r="P638" s="4">
        <v>31624</v>
      </c>
      <c r="Q638" s="4" t="s">
        <v>123</v>
      </c>
      <c r="S638" s="4" t="str">
        <f>VLOOKUP(L638&amp;TEXT(I638,"mmmm")&amp;YEAR(I638),'[1]Detalle C-Fecha'!$D$2:$E$15921,2,FALSE)</f>
        <v>Expreso - Servicios Troncales</v>
      </c>
    </row>
    <row r="639" spans="1:19" x14ac:dyDescent="0.3">
      <c r="A639" s="4">
        <v>38374</v>
      </c>
      <c r="B639" s="4" t="s">
        <v>28</v>
      </c>
      <c r="C639" s="4" t="s">
        <v>15</v>
      </c>
      <c r="D639" s="4" t="s">
        <v>16</v>
      </c>
      <c r="E639" s="4" t="s">
        <v>108</v>
      </c>
      <c r="F639" s="4" t="str">
        <f t="shared" si="9"/>
        <v>2MU</v>
      </c>
      <c r="G639" s="5">
        <v>46235</v>
      </c>
      <c r="H639" s="6">
        <v>0.4458333333333333</v>
      </c>
      <c r="I639" s="5">
        <v>46234</v>
      </c>
      <c r="J639" s="5">
        <v>46234</v>
      </c>
      <c r="K639" s="5">
        <v>46234</v>
      </c>
      <c r="L639" s="4" t="s">
        <v>102</v>
      </c>
      <c r="M639" s="4" t="s">
        <v>103</v>
      </c>
      <c r="N639" s="4" t="s">
        <v>17</v>
      </c>
      <c r="O639" s="4" t="s">
        <v>25</v>
      </c>
      <c r="P639" s="4">
        <v>31765</v>
      </c>
      <c r="Q639" s="4" t="s">
        <v>19</v>
      </c>
      <c r="R639" s="4">
        <v>45432</v>
      </c>
      <c r="S639" s="4" t="s">
        <v>45</v>
      </c>
    </row>
    <row r="640" spans="1:19" x14ac:dyDescent="0.3">
      <c r="A640" s="4">
        <v>38375</v>
      </c>
      <c r="B640" s="4" t="s">
        <v>28</v>
      </c>
      <c r="C640" s="4" t="s">
        <v>15</v>
      </c>
      <c r="D640" s="4" t="s">
        <v>16</v>
      </c>
      <c r="E640" s="4" t="s">
        <v>109</v>
      </c>
      <c r="F640" s="4" t="str">
        <f t="shared" si="9"/>
        <v>3MU</v>
      </c>
      <c r="G640" s="5">
        <v>46235</v>
      </c>
      <c r="H640" s="6">
        <v>0.4458333333333333</v>
      </c>
      <c r="I640" s="5">
        <v>46234</v>
      </c>
      <c r="J640" s="5">
        <v>46234</v>
      </c>
      <c r="K640" s="5">
        <v>46234</v>
      </c>
      <c r="L640" s="4" t="s">
        <v>102</v>
      </c>
      <c r="M640" s="4" t="s">
        <v>103</v>
      </c>
      <c r="N640" s="4" t="s">
        <v>17</v>
      </c>
      <c r="O640" s="4" t="s">
        <v>25</v>
      </c>
      <c r="P640" s="4">
        <v>31767</v>
      </c>
      <c r="Q640" s="4" t="s">
        <v>19</v>
      </c>
      <c r="R640" s="4">
        <v>45434</v>
      </c>
      <c r="S640" s="4" t="s">
        <v>45</v>
      </c>
    </row>
    <row r="641" spans="1:19" x14ac:dyDescent="0.3">
      <c r="A641" s="4">
        <v>38378</v>
      </c>
      <c r="B641" s="4" t="s">
        <v>28</v>
      </c>
      <c r="C641" s="4" t="s">
        <v>15</v>
      </c>
      <c r="D641" s="4" t="s">
        <v>16</v>
      </c>
      <c r="E641" s="4" t="s">
        <v>51</v>
      </c>
      <c r="F641" s="4" t="str">
        <f t="shared" si="9"/>
        <v>2MC</v>
      </c>
      <c r="G641" s="5">
        <v>46235</v>
      </c>
      <c r="H641" s="6">
        <v>0.4458333333333333</v>
      </c>
      <c r="I641" s="5">
        <v>46234</v>
      </c>
      <c r="J641" s="5">
        <v>46234</v>
      </c>
      <c r="K641" s="5">
        <v>46234</v>
      </c>
      <c r="L641" s="4" t="s">
        <v>308</v>
      </c>
      <c r="M641" s="4" t="s">
        <v>128</v>
      </c>
      <c r="N641" s="4" t="s">
        <v>17</v>
      </c>
      <c r="O641" s="4" t="s">
        <v>18</v>
      </c>
      <c r="P641" s="4">
        <v>31774</v>
      </c>
      <c r="Q641" s="4" t="s">
        <v>19</v>
      </c>
      <c r="R641" s="4">
        <v>45438</v>
      </c>
      <c r="S641" s="4" t="s">
        <v>40</v>
      </c>
    </row>
    <row r="642" spans="1:19" x14ac:dyDescent="0.3">
      <c r="A642" s="4">
        <v>38379</v>
      </c>
      <c r="B642" s="4" t="s">
        <v>28</v>
      </c>
      <c r="C642" s="4" t="s">
        <v>15</v>
      </c>
      <c r="D642" s="4" t="s">
        <v>16</v>
      </c>
      <c r="E642" s="4" t="s">
        <v>53</v>
      </c>
      <c r="F642" s="4" t="str">
        <f t="shared" ref="F642:F705" si="10">MID(E642,1,3)</f>
        <v>3MC</v>
      </c>
      <c r="G642" s="5">
        <v>46235</v>
      </c>
      <c r="H642" s="6">
        <v>0.4458333333333333</v>
      </c>
      <c r="I642" s="5">
        <v>46234</v>
      </c>
      <c r="J642" s="5">
        <v>46234</v>
      </c>
      <c r="K642" s="5">
        <v>46234</v>
      </c>
      <c r="L642" s="4" t="s">
        <v>308</v>
      </c>
      <c r="M642" s="4" t="s">
        <v>128</v>
      </c>
      <c r="N642" s="4" t="s">
        <v>17</v>
      </c>
      <c r="O642" s="4" t="s">
        <v>18</v>
      </c>
      <c r="P642" s="4">
        <v>31775</v>
      </c>
      <c r="Q642" s="4" t="s">
        <v>19</v>
      </c>
      <c r="R642" s="4">
        <v>45440</v>
      </c>
      <c r="S642" s="4" t="s">
        <v>40</v>
      </c>
    </row>
    <row r="643" spans="1:19" x14ac:dyDescent="0.3">
      <c r="A643" s="4">
        <v>38380</v>
      </c>
      <c r="B643" s="4" t="s">
        <v>28</v>
      </c>
      <c r="C643" s="4" t="s">
        <v>15</v>
      </c>
      <c r="D643" s="4" t="s">
        <v>16</v>
      </c>
      <c r="E643" s="4" t="s">
        <v>52</v>
      </c>
      <c r="F643" s="4" t="str">
        <f t="shared" si="10"/>
        <v>6MC</v>
      </c>
      <c r="G643" s="5">
        <v>46235</v>
      </c>
      <c r="H643" s="6">
        <v>0.4458333333333333</v>
      </c>
      <c r="I643" s="5">
        <v>46234</v>
      </c>
      <c r="J643" s="5">
        <v>46234</v>
      </c>
      <c r="K643" s="5">
        <v>46234</v>
      </c>
      <c r="L643" s="4" t="s">
        <v>308</v>
      </c>
      <c r="M643" s="4" t="s">
        <v>128</v>
      </c>
      <c r="N643" s="4" t="s">
        <v>17</v>
      </c>
      <c r="O643" s="4" t="s">
        <v>18</v>
      </c>
      <c r="P643" s="4">
        <v>31777</v>
      </c>
      <c r="Q643" s="4" t="s">
        <v>19</v>
      </c>
      <c r="R643" s="4">
        <v>45442</v>
      </c>
      <c r="S643" s="4" t="s">
        <v>40</v>
      </c>
    </row>
    <row r="644" spans="1:19" x14ac:dyDescent="0.3">
      <c r="A644" s="4">
        <v>38387</v>
      </c>
      <c r="B644" s="4" t="s">
        <v>28</v>
      </c>
      <c r="C644" s="4" t="s">
        <v>15</v>
      </c>
      <c r="D644" s="4" t="s">
        <v>16</v>
      </c>
      <c r="E644" s="4" t="s">
        <v>121</v>
      </c>
      <c r="F644" s="4" t="str">
        <f t="shared" si="10"/>
        <v>2MC</v>
      </c>
      <c r="G644" s="5">
        <v>46237</v>
      </c>
      <c r="H644" s="6">
        <v>0.38055555555555554</v>
      </c>
      <c r="I644" s="5">
        <v>46237</v>
      </c>
      <c r="J644" s="5">
        <v>46237</v>
      </c>
      <c r="K644" s="5">
        <v>46237</v>
      </c>
      <c r="L644" s="4" t="s">
        <v>309</v>
      </c>
      <c r="M644" s="4">
        <v>1624</v>
      </c>
      <c r="N644" s="4" t="s">
        <v>208</v>
      </c>
      <c r="O644" s="4" t="s">
        <v>27</v>
      </c>
      <c r="P644" s="4">
        <v>31846</v>
      </c>
      <c r="Q644" s="4" t="s">
        <v>123</v>
      </c>
      <c r="S644" s="4" t="s">
        <v>71</v>
      </c>
    </row>
    <row r="645" spans="1:19" x14ac:dyDescent="0.3">
      <c r="A645" s="4">
        <v>38388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46237</v>
      </c>
      <c r="H645" s="6">
        <v>0.38055555555555554</v>
      </c>
      <c r="I645" s="5">
        <v>46237</v>
      </c>
      <c r="J645" s="5">
        <v>46237</v>
      </c>
      <c r="K645" s="5">
        <v>46237</v>
      </c>
      <c r="L645" s="4" t="s">
        <v>309</v>
      </c>
      <c r="M645" s="4">
        <v>1624</v>
      </c>
      <c r="N645" s="4" t="s">
        <v>208</v>
      </c>
      <c r="O645" s="4" t="s">
        <v>27</v>
      </c>
      <c r="P645" s="4">
        <v>31847</v>
      </c>
      <c r="Q645" s="4" t="s">
        <v>123</v>
      </c>
      <c r="S645" s="4" t="s">
        <v>71</v>
      </c>
    </row>
    <row r="646" spans="1:19" x14ac:dyDescent="0.3">
      <c r="A646" s="4">
        <v>38389</v>
      </c>
      <c r="B646" s="4" t="s">
        <v>28</v>
      </c>
      <c r="C646" s="4" t="s">
        <v>124</v>
      </c>
      <c r="D646" s="4" t="s">
        <v>23</v>
      </c>
      <c r="E646" s="4" t="s">
        <v>111</v>
      </c>
      <c r="F646" s="4" t="str">
        <f t="shared" si="10"/>
        <v>6MC</v>
      </c>
      <c r="G646" s="5">
        <v>46237</v>
      </c>
      <c r="H646" s="6">
        <v>0.38055555555555554</v>
      </c>
      <c r="I646" s="5">
        <v>46237</v>
      </c>
      <c r="J646" s="5"/>
      <c r="K646" s="5"/>
      <c r="L646" s="4" t="s">
        <v>309</v>
      </c>
      <c r="M646" s="4">
        <v>1624</v>
      </c>
      <c r="N646" s="4" t="s">
        <v>208</v>
      </c>
      <c r="O646" s="4" t="s">
        <v>27</v>
      </c>
      <c r="P646" s="4">
        <v>31848</v>
      </c>
      <c r="Q646" s="4" t="s">
        <v>123</v>
      </c>
      <c r="S646" s="4" t="s">
        <v>71</v>
      </c>
    </row>
    <row r="647" spans="1:19" x14ac:dyDescent="0.3">
      <c r="A647" s="4">
        <v>38453</v>
      </c>
      <c r="B647" s="4" t="s">
        <v>28</v>
      </c>
      <c r="C647" s="4" t="s">
        <v>15</v>
      </c>
      <c r="D647" s="4" t="s">
        <v>16</v>
      </c>
      <c r="E647" s="4" t="s">
        <v>51</v>
      </c>
      <c r="F647" s="4" t="str">
        <f t="shared" si="10"/>
        <v>2MC</v>
      </c>
      <c r="G647" s="5">
        <v>46238</v>
      </c>
      <c r="H647" s="6">
        <v>0.5625</v>
      </c>
      <c r="I647" s="5">
        <v>46235</v>
      </c>
      <c r="J647" s="5">
        <v>46235</v>
      </c>
      <c r="K647" s="5">
        <v>46235</v>
      </c>
      <c r="L647" s="4" t="s">
        <v>310</v>
      </c>
      <c r="M647" s="4">
        <v>1624</v>
      </c>
      <c r="N647" s="4" t="s">
        <v>17</v>
      </c>
      <c r="O647" s="4" t="s">
        <v>25</v>
      </c>
      <c r="P647" s="4">
        <v>31900</v>
      </c>
      <c r="Q647" s="4" t="s">
        <v>19</v>
      </c>
      <c r="R647" s="4">
        <v>45549</v>
      </c>
      <c r="S647" s="4" t="s">
        <v>45</v>
      </c>
    </row>
    <row r="648" spans="1:19" x14ac:dyDescent="0.3">
      <c r="A648" s="4">
        <v>38454</v>
      </c>
      <c r="B648" s="4" t="s">
        <v>28</v>
      </c>
      <c r="C648" s="4" t="s">
        <v>15</v>
      </c>
      <c r="D648" s="4" t="s">
        <v>16</v>
      </c>
      <c r="E648" s="4" t="s">
        <v>53</v>
      </c>
      <c r="F648" s="4" t="str">
        <f t="shared" si="10"/>
        <v>3MC</v>
      </c>
      <c r="G648" s="5">
        <v>46238</v>
      </c>
      <c r="H648" s="6">
        <v>0.5625</v>
      </c>
      <c r="I648" s="5">
        <v>46235</v>
      </c>
      <c r="J648" s="5">
        <v>46235</v>
      </c>
      <c r="K648" s="5">
        <v>46235</v>
      </c>
      <c r="L648" s="4" t="s">
        <v>310</v>
      </c>
      <c r="M648" s="4">
        <v>1624</v>
      </c>
      <c r="N648" s="4" t="s">
        <v>17</v>
      </c>
      <c r="O648" s="4" t="s">
        <v>25</v>
      </c>
      <c r="P648" s="4">
        <v>31901</v>
      </c>
      <c r="Q648" s="4" t="s">
        <v>19</v>
      </c>
      <c r="R648" s="4">
        <v>45551</v>
      </c>
      <c r="S648" s="4" t="s">
        <v>45</v>
      </c>
    </row>
    <row r="649" spans="1:19" x14ac:dyDescent="0.3">
      <c r="A649" s="4">
        <v>38455</v>
      </c>
      <c r="B649" s="4" t="s">
        <v>28</v>
      </c>
      <c r="C649" s="4" t="s">
        <v>15</v>
      </c>
      <c r="D649" s="4" t="s">
        <v>16</v>
      </c>
      <c r="E649" s="4" t="s">
        <v>51</v>
      </c>
      <c r="F649" s="4" t="str">
        <f t="shared" si="10"/>
        <v>2MC</v>
      </c>
      <c r="G649" s="5">
        <v>46238</v>
      </c>
      <c r="H649" s="6">
        <v>0.5625</v>
      </c>
      <c r="I649" s="5">
        <v>46235</v>
      </c>
      <c r="J649" s="5">
        <v>46235</v>
      </c>
      <c r="K649" s="5">
        <v>46235</v>
      </c>
      <c r="L649" s="4" t="s">
        <v>311</v>
      </c>
      <c r="M649" s="4">
        <v>1218</v>
      </c>
      <c r="N649" s="4" t="s">
        <v>17</v>
      </c>
      <c r="O649" s="4" t="s">
        <v>25</v>
      </c>
      <c r="P649" s="4">
        <v>31902</v>
      </c>
      <c r="Q649" s="4" t="s">
        <v>19</v>
      </c>
      <c r="R649" s="4">
        <v>45553</v>
      </c>
      <c r="S649" s="4" t="s">
        <v>45</v>
      </c>
    </row>
    <row r="650" spans="1:19" x14ac:dyDescent="0.3">
      <c r="A650" s="4">
        <v>38456</v>
      </c>
      <c r="B650" s="4" t="s">
        <v>28</v>
      </c>
      <c r="C650" s="4" t="s">
        <v>15</v>
      </c>
      <c r="D650" s="4" t="s">
        <v>16</v>
      </c>
      <c r="E650" s="4" t="s">
        <v>53</v>
      </c>
      <c r="F650" s="4" t="str">
        <f t="shared" si="10"/>
        <v>3MC</v>
      </c>
      <c r="G650" s="5">
        <v>46238</v>
      </c>
      <c r="H650" s="6">
        <v>0.5625</v>
      </c>
      <c r="I650" s="5">
        <v>46235</v>
      </c>
      <c r="J650" s="5">
        <v>46235</v>
      </c>
      <c r="K650" s="5">
        <v>46235</v>
      </c>
      <c r="L650" s="4" t="s">
        <v>311</v>
      </c>
      <c r="M650" s="4">
        <v>1218</v>
      </c>
      <c r="N650" s="4" t="s">
        <v>17</v>
      </c>
      <c r="O650" s="4" t="s">
        <v>25</v>
      </c>
      <c r="P650" s="4">
        <v>31903</v>
      </c>
      <c r="Q650" s="4" t="s">
        <v>19</v>
      </c>
      <c r="R650" s="4">
        <v>45555</v>
      </c>
      <c r="S650" s="4" t="s">
        <v>45</v>
      </c>
    </row>
    <row r="651" spans="1:19" x14ac:dyDescent="0.3">
      <c r="A651" s="4">
        <v>38457</v>
      </c>
      <c r="B651" s="4" t="s">
        <v>28</v>
      </c>
      <c r="C651" s="4" t="s">
        <v>15</v>
      </c>
      <c r="D651" s="4" t="s">
        <v>16</v>
      </c>
      <c r="E651" s="4" t="s">
        <v>52</v>
      </c>
      <c r="F651" s="4" t="str">
        <f t="shared" si="10"/>
        <v>6MC</v>
      </c>
      <c r="G651" s="5">
        <v>46238</v>
      </c>
      <c r="H651" s="6">
        <v>0.5625</v>
      </c>
      <c r="I651" s="5">
        <v>46235</v>
      </c>
      <c r="J651" s="5">
        <v>46235</v>
      </c>
      <c r="K651" s="5">
        <v>46235</v>
      </c>
      <c r="L651" s="4" t="s">
        <v>311</v>
      </c>
      <c r="M651" s="4">
        <v>1218</v>
      </c>
      <c r="N651" s="4" t="s">
        <v>17</v>
      </c>
      <c r="O651" s="4" t="s">
        <v>25</v>
      </c>
      <c r="P651" s="4">
        <v>31904</v>
      </c>
      <c r="Q651" s="4" t="s">
        <v>19</v>
      </c>
      <c r="R651" s="4">
        <v>45557</v>
      </c>
      <c r="S651" s="4" t="s">
        <v>45</v>
      </c>
    </row>
    <row r="652" spans="1:19" x14ac:dyDescent="0.3">
      <c r="A652" s="4">
        <v>38458</v>
      </c>
      <c r="B652" s="4" t="s">
        <v>28</v>
      </c>
      <c r="C652" s="4" t="s">
        <v>15</v>
      </c>
      <c r="D652" s="4" t="s">
        <v>16</v>
      </c>
      <c r="E652" s="4" t="s">
        <v>53</v>
      </c>
      <c r="F652" s="4" t="str">
        <f t="shared" si="10"/>
        <v>3MC</v>
      </c>
      <c r="G652" s="5">
        <v>46238</v>
      </c>
      <c r="H652" s="6">
        <v>0.5625</v>
      </c>
      <c r="I652" s="5">
        <v>46235</v>
      </c>
      <c r="J652" s="5">
        <v>46235</v>
      </c>
      <c r="K652" s="5">
        <v>46235</v>
      </c>
      <c r="L652" s="4" t="s">
        <v>312</v>
      </c>
      <c r="M652" s="4">
        <v>1624</v>
      </c>
      <c r="N652" s="4" t="s">
        <v>17</v>
      </c>
      <c r="O652" s="4" t="s">
        <v>25</v>
      </c>
      <c r="P652" s="4">
        <v>31905</v>
      </c>
      <c r="Q652" s="4" t="s">
        <v>19</v>
      </c>
      <c r="R652" s="4">
        <v>45559</v>
      </c>
      <c r="S652" s="4" t="s">
        <v>45</v>
      </c>
    </row>
    <row r="653" spans="1:19" x14ac:dyDescent="0.3">
      <c r="A653" s="4">
        <v>38459</v>
      </c>
      <c r="B653" s="4" t="s">
        <v>28</v>
      </c>
      <c r="C653" s="4" t="s">
        <v>15</v>
      </c>
      <c r="D653" s="4" t="s">
        <v>16</v>
      </c>
      <c r="E653" s="4" t="s">
        <v>52</v>
      </c>
      <c r="F653" s="4" t="str">
        <f t="shared" si="10"/>
        <v>6MC</v>
      </c>
      <c r="G653" s="5">
        <v>46238</v>
      </c>
      <c r="H653" s="6">
        <v>0.5625</v>
      </c>
      <c r="I653" s="5">
        <v>46235</v>
      </c>
      <c r="J653" s="5">
        <v>46235</v>
      </c>
      <c r="K653" s="5">
        <v>46235</v>
      </c>
      <c r="L653" s="4" t="s">
        <v>312</v>
      </c>
      <c r="M653" s="4">
        <v>1624</v>
      </c>
      <c r="N653" s="4" t="s">
        <v>17</v>
      </c>
      <c r="O653" s="4" t="s">
        <v>25</v>
      </c>
      <c r="P653" s="4">
        <v>31906</v>
      </c>
      <c r="Q653" s="4" t="s">
        <v>19</v>
      </c>
      <c r="R653" s="4">
        <v>45561</v>
      </c>
      <c r="S653" s="4" t="s">
        <v>45</v>
      </c>
    </row>
    <row r="654" spans="1:19" x14ac:dyDescent="0.3">
      <c r="A654" s="4">
        <v>38460</v>
      </c>
      <c r="B654" s="4" t="s">
        <v>28</v>
      </c>
      <c r="C654" s="4" t="s">
        <v>15</v>
      </c>
      <c r="D654" s="4" t="s">
        <v>16</v>
      </c>
      <c r="E654" s="4" t="s">
        <v>52</v>
      </c>
      <c r="F654" s="4" t="str">
        <f t="shared" si="10"/>
        <v>6MC</v>
      </c>
      <c r="G654" s="5">
        <v>46238</v>
      </c>
      <c r="H654" s="6">
        <v>0.5625</v>
      </c>
      <c r="I654" s="5">
        <v>46235</v>
      </c>
      <c r="J654" s="5">
        <v>46235</v>
      </c>
      <c r="K654" s="5">
        <v>46235</v>
      </c>
      <c r="L654" s="4" t="s">
        <v>310</v>
      </c>
      <c r="M654" s="4">
        <v>1624</v>
      </c>
      <c r="N654" s="4" t="s">
        <v>17</v>
      </c>
      <c r="O654" s="4" t="s">
        <v>25</v>
      </c>
      <c r="P654" s="4">
        <v>31907</v>
      </c>
      <c r="Q654" s="4" t="s">
        <v>19</v>
      </c>
      <c r="R654" s="4">
        <v>45564</v>
      </c>
      <c r="S654" s="4" t="s">
        <v>45</v>
      </c>
    </row>
    <row r="655" spans="1:19" x14ac:dyDescent="0.3">
      <c r="A655" s="4">
        <v>38462</v>
      </c>
      <c r="B655" s="4" t="s">
        <v>28</v>
      </c>
      <c r="C655" s="4" t="s">
        <v>124</v>
      </c>
      <c r="D655" s="4" t="s">
        <v>23</v>
      </c>
      <c r="E655" s="4" t="s">
        <v>51</v>
      </c>
      <c r="F655" s="4" t="str">
        <f t="shared" si="10"/>
        <v>2MC</v>
      </c>
      <c r="G655" s="5">
        <v>46238</v>
      </c>
      <c r="H655" s="6">
        <v>0.5625</v>
      </c>
      <c r="I655" s="5">
        <v>46238</v>
      </c>
      <c r="J655" s="5"/>
      <c r="K655" s="5"/>
      <c r="L655" s="4" t="s">
        <v>313</v>
      </c>
      <c r="M655" s="4" t="s">
        <v>163</v>
      </c>
      <c r="N655" s="4" t="s">
        <v>17</v>
      </c>
      <c r="O655" s="4" t="s">
        <v>24</v>
      </c>
      <c r="P655" s="4">
        <v>31909</v>
      </c>
      <c r="Q655" s="4" t="s">
        <v>123</v>
      </c>
      <c r="S655" s="4" t="s">
        <v>40</v>
      </c>
    </row>
    <row r="656" spans="1:19" x14ac:dyDescent="0.3">
      <c r="A656" s="4">
        <v>38463</v>
      </c>
      <c r="B656" s="4" t="s">
        <v>28</v>
      </c>
      <c r="C656" s="4" t="s">
        <v>124</v>
      </c>
      <c r="D656" s="4" t="s">
        <v>23</v>
      </c>
      <c r="E656" s="4" t="s">
        <v>53</v>
      </c>
      <c r="F656" s="4" t="str">
        <f t="shared" si="10"/>
        <v>3MC</v>
      </c>
      <c r="G656" s="5">
        <v>46238</v>
      </c>
      <c r="H656" s="6">
        <v>0.5625</v>
      </c>
      <c r="I656" s="5">
        <v>46238</v>
      </c>
      <c r="L656" s="4" t="s">
        <v>313</v>
      </c>
      <c r="M656" s="4" t="s">
        <v>163</v>
      </c>
      <c r="N656" s="4" t="s">
        <v>17</v>
      </c>
      <c r="O656" s="4" t="s">
        <v>24</v>
      </c>
      <c r="P656" s="4">
        <v>31910</v>
      </c>
      <c r="Q656" s="4" t="s">
        <v>123</v>
      </c>
      <c r="S656" s="4" t="s">
        <v>40</v>
      </c>
    </row>
    <row r="657" spans="1:19" x14ac:dyDescent="0.3">
      <c r="A657" s="4">
        <v>38464</v>
      </c>
      <c r="B657" s="4" t="s">
        <v>28</v>
      </c>
      <c r="C657" s="4" t="s">
        <v>124</v>
      </c>
      <c r="D657" s="4" t="s">
        <v>23</v>
      </c>
      <c r="E657" s="4" t="s">
        <v>52</v>
      </c>
      <c r="F657" s="4" t="str">
        <f t="shared" si="10"/>
        <v>6MC</v>
      </c>
      <c r="G657" s="5">
        <v>46238</v>
      </c>
      <c r="H657" s="6">
        <v>0.5625</v>
      </c>
      <c r="I657" s="5">
        <v>46238</v>
      </c>
      <c r="L657" s="4" t="s">
        <v>313</v>
      </c>
      <c r="M657" s="4" t="s">
        <v>163</v>
      </c>
      <c r="N657" s="4" t="s">
        <v>17</v>
      </c>
      <c r="O657" s="4" t="s">
        <v>24</v>
      </c>
      <c r="P657" s="4">
        <v>31911</v>
      </c>
      <c r="Q657" s="4" t="s">
        <v>123</v>
      </c>
      <c r="S657" s="4" t="s">
        <v>40</v>
      </c>
    </row>
    <row r="658" spans="1:19" x14ac:dyDescent="0.3">
      <c r="A658" s="4">
        <v>38471</v>
      </c>
      <c r="B658" s="4" t="s">
        <v>28</v>
      </c>
      <c r="C658" s="4" t="s">
        <v>15</v>
      </c>
      <c r="D658" s="4" t="s">
        <v>16</v>
      </c>
      <c r="E658" s="4" t="s">
        <v>51</v>
      </c>
      <c r="F658" s="4" t="str">
        <f t="shared" si="10"/>
        <v>2MC</v>
      </c>
      <c r="G658" s="5">
        <v>46238</v>
      </c>
      <c r="H658" s="6">
        <v>0.58611111111111114</v>
      </c>
      <c r="I658" s="5">
        <v>46235</v>
      </c>
      <c r="J658" s="5">
        <v>46235</v>
      </c>
      <c r="K658" s="5">
        <v>46235</v>
      </c>
      <c r="L658" s="4" t="s">
        <v>312</v>
      </c>
      <c r="M658" s="4">
        <v>1624</v>
      </c>
      <c r="N658" s="4" t="s">
        <v>17</v>
      </c>
      <c r="O658" s="4" t="s">
        <v>25</v>
      </c>
      <c r="P658" s="4">
        <v>31918</v>
      </c>
      <c r="Q658" s="4" t="s">
        <v>19</v>
      </c>
      <c r="R658" s="4">
        <v>45566</v>
      </c>
      <c r="S658" s="4" t="s">
        <v>45</v>
      </c>
    </row>
    <row r="659" spans="1:19" x14ac:dyDescent="0.3">
      <c r="A659" s="4">
        <v>38475</v>
      </c>
      <c r="B659" s="4" t="s">
        <v>28</v>
      </c>
      <c r="C659" s="4" t="s">
        <v>124</v>
      </c>
      <c r="D659" s="4" t="s">
        <v>23</v>
      </c>
      <c r="E659" s="4" t="s">
        <v>35</v>
      </c>
      <c r="F659" s="4" t="str">
        <f t="shared" si="10"/>
        <v>2ML</v>
      </c>
      <c r="G659" s="5">
        <v>46238</v>
      </c>
      <c r="H659" s="6">
        <v>0.62916666666666665</v>
      </c>
      <c r="I659" s="5">
        <v>46238</v>
      </c>
      <c r="L659" s="4" t="s">
        <v>264</v>
      </c>
      <c r="M659" s="4" t="s">
        <v>163</v>
      </c>
      <c r="N659" s="4" t="s">
        <v>17</v>
      </c>
      <c r="O659" s="4" t="s">
        <v>24</v>
      </c>
      <c r="P659" s="4">
        <v>31922</v>
      </c>
      <c r="Q659" s="4" t="s">
        <v>123</v>
      </c>
      <c r="S659" s="4" t="s">
        <v>307</v>
      </c>
    </row>
    <row r="660" spans="1:19" x14ac:dyDescent="0.3">
      <c r="A660" s="4">
        <v>38476</v>
      </c>
      <c r="B660" s="4" t="s">
        <v>28</v>
      </c>
      <c r="C660" s="4" t="s">
        <v>124</v>
      </c>
      <c r="D660" s="4" t="s">
        <v>23</v>
      </c>
      <c r="E660" s="4" t="s">
        <v>47</v>
      </c>
      <c r="F660" s="4" t="str">
        <f t="shared" si="10"/>
        <v>3ML</v>
      </c>
      <c r="G660" s="5">
        <v>46238</v>
      </c>
      <c r="H660" s="6">
        <v>0.62916666666666665</v>
      </c>
      <c r="I660" s="5">
        <v>46238</v>
      </c>
      <c r="L660" s="4" t="s">
        <v>264</v>
      </c>
      <c r="M660" s="4" t="s">
        <v>163</v>
      </c>
      <c r="N660" s="4" t="s">
        <v>17</v>
      </c>
      <c r="O660" s="4" t="s">
        <v>24</v>
      </c>
      <c r="P660" s="4">
        <v>31923</v>
      </c>
      <c r="Q660" s="4" t="s">
        <v>123</v>
      </c>
      <c r="S660" s="4" t="s">
        <v>307</v>
      </c>
    </row>
    <row r="661" spans="1:19" x14ac:dyDescent="0.3">
      <c r="A661" s="4">
        <v>38477</v>
      </c>
      <c r="B661" s="4" t="s">
        <v>28</v>
      </c>
      <c r="C661" s="4" t="s">
        <v>124</v>
      </c>
      <c r="D661" s="4" t="s">
        <v>23</v>
      </c>
      <c r="E661" s="4" t="s">
        <v>46</v>
      </c>
      <c r="F661" s="4" t="str">
        <f t="shared" si="10"/>
        <v>6ML</v>
      </c>
      <c r="G661" s="5">
        <v>46238</v>
      </c>
      <c r="H661" s="6">
        <v>0.62916666666666665</v>
      </c>
      <c r="I661" s="5">
        <v>46238</v>
      </c>
      <c r="L661" s="4" t="s">
        <v>264</v>
      </c>
      <c r="M661" s="4" t="s">
        <v>163</v>
      </c>
      <c r="N661" s="4" t="s">
        <v>17</v>
      </c>
      <c r="O661" s="4" t="s">
        <v>24</v>
      </c>
      <c r="P661" s="4">
        <v>31924</v>
      </c>
      <c r="Q661" s="4" t="s">
        <v>123</v>
      </c>
      <c r="S661" s="4" t="s">
        <v>307</v>
      </c>
    </row>
    <row r="662" spans="1:19" x14ac:dyDescent="0.3">
      <c r="A662" s="4">
        <v>38531</v>
      </c>
      <c r="B662" s="4" t="s">
        <v>28</v>
      </c>
      <c r="C662" s="4" t="s">
        <v>124</v>
      </c>
      <c r="D662" s="4" t="s">
        <v>23</v>
      </c>
      <c r="E662" s="4" t="s">
        <v>35</v>
      </c>
      <c r="F662" s="4" t="str">
        <f t="shared" si="10"/>
        <v>2ML</v>
      </c>
      <c r="G662" s="5">
        <v>46239</v>
      </c>
      <c r="H662" s="6">
        <v>0.43888888888888888</v>
      </c>
      <c r="I662" s="5">
        <v>46239</v>
      </c>
      <c r="J662" s="5">
        <v>46239</v>
      </c>
      <c r="K662" s="5">
        <v>46239</v>
      </c>
      <c r="L662" s="4" t="s">
        <v>215</v>
      </c>
      <c r="M662" s="4" t="s">
        <v>126</v>
      </c>
      <c r="N662" s="4" t="s">
        <v>31</v>
      </c>
      <c r="O662" s="4" t="s">
        <v>25</v>
      </c>
      <c r="P662" s="4">
        <v>31973</v>
      </c>
      <c r="Q662" s="4" t="s">
        <v>123</v>
      </c>
      <c r="S662" s="4" t="s">
        <v>26</v>
      </c>
    </row>
    <row r="663" spans="1:19" x14ac:dyDescent="0.3">
      <c r="A663" s="4">
        <v>38566</v>
      </c>
      <c r="B663" s="4" t="s">
        <v>28</v>
      </c>
      <c r="C663" s="4" t="s">
        <v>124</v>
      </c>
      <c r="D663" s="4" t="s">
        <v>23</v>
      </c>
      <c r="E663" s="4" t="s">
        <v>35</v>
      </c>
      <c r="F663" s="4" t="str">
        <f t="shared" si="10"/>
        <v>2ML</v>
      </c>
      <c r="G663" s="5">
        <v>46240</v>
      </c>
      <c r="H663" s="6">
        <v>0.64166666666666672</v>
      </c>
      <c r="I663" s="5">
        <v>46240</v>
      </c>
      <c r="J663" s="5"/>
      <c r="K663" s="5"/>
      <c r="L663" s="4" t="s">
        <v>314</v>
      </c>
      <c r="M663" s="4" t="s">
        <v>146</v>
      </c>
      <c r="N663" s="4" t="s">
        <v>17</v>
      </c>
      <c r="O663" s="4" t="s">
        <v>24</v>
      </c>
      <c r="P663" s="4">
        <v>32018</v>
      </c>
      <c r="Q663" s="4" t="s">
        <v>123</v>
      </c>
      <c r="S663" s="4" t="s">
        <v>307</v>
      </c>
    </row>
    <row r="664" spans="1:19" x14ac:dyDescent="0.3">
      <c r="A664" s="4">
        <v>38568</v>
      </c>
      <c r="B664" s="4" t="s">
        <v>28</v>
      </c>
      <c r="C664" s="4" t="s">
        <v>124</v>
      </c>
      <c r="D664" s="4" t="s">
        <v>23</v>
      </c>
      <c r="E664" s="4" t="s">
        <v>47</v>
      </c>
      <c r="F664" s="4" t="str">
        <f t="shared" si="10"/>
        <v>3ML</v>
      </c>
      <c r="G664" s="5">
        <v>46240</v>
      </c>
      <c r="H664" s="6">
        <v>0.64166666666666672</v>
      </c>
      <c r="I664" s="5">
        <v>46240</v>
      </c>
      <c r="J664" s="5"/>
      <c r="K664" s="5"/>
      <c r="L664" s="4" t="s">
        <v>314</v>
      </c>
      <c r="M664" s="4" t="s">
        <v>146</v>
      </c>
      <c r="N664" s="4" t="s">
        <v>17</v>
      </c>
      <c r="O664" s="4" t="s">
        <v>24</v>
      </c>
      <c r="P664" s="4">
        <v>32019</v>
      </c>
      <c r="Q664" s="4" t="s">
        <v>123</v>
      </c>
      <c r="S664" s="4" t="s">
        <v>307</v>
      </c>
    </row>
    <row r="665" spans="1:19" x14ac:dyDescent="0.3">
      <c r="A665" s="4">
        <v>38569</v>
      </c>
      <c r="B665" s="4" t="s">
        <v>28</v>
      </c>
      <c r="C665" s="4" t="s">
        <v>124</v>
      </c>
      <c r="D665" s="4" t="s">
        <v>23</v>
      </c>
      <c r="E665" s="4" t="s">
        <v>46</v>
      </c>
      <c r="F665" s="4" t="str">
        <f t="shared" si="10"/>
        <v>6ML</v>
      </c>
      <c r="G665" s="5">
        <v>46240</v>
      </c>
      <c r="H665" s="6">
        <v>0.64166666666666672</v>
      </c>
      <c r="I665" s="5">
        <v>46240</v>
      </c>
      <c r="J665" s="5"/>
      <c r="K665" s="5"/>
      <c r="L665" s="4" t="s">
        <v>314</v>
      </c>
      <c r="M665" s="4" t="s">
        <v>146</v>
      </c>
      <c r="N665" s="4" t="s">
        <v>17</v>
      </c>
      <c r="O665" s="4" t="s">
        <v>24</v>
      </c>
      <c r="P665" s="4">
        <v>32020</v>
      </c>
      <c r="Q665" s="4" t="s">
        <v>123</v>
      </c>
      <c r="S665" s="4" t="s">
        <v>307</v>
      </c>
    </row>
    <row r="666" spans="1:19" x14ac:dyDescent="0.3">
      <c r="A666" s="4">
        <v>38572</v>
      </c>
      <c r="B666" s="4" t="s">
        <v>28</v>
      </c>
      <c r="C666" s="4" t="s">
        <v>124</v>
      </c>
      <c r="D666" s="4" t="s">
        <v>23</v>
      </c>
      <c r="E666" s="4" t="s">
        <v>35</v>
      </c>
      <c r="F666" s="4" t="str">
        <f t="shared" si="10"/>
        <v>2ML</v>
      </c>
      <c r="G666" s="5">
        <v>46240</v>
      </c>
      <c r="H666" s="6">
        <v>0.64166666666666672</v>
      </c>
      <c r="I666" s="5">
        <v>46240</v>
      </c>
      <c r="J666" s="5">
        <v>46240</v>
      </c>
      <c r="K666" s="5">
        <v>46240</v>
      </c>
      <c r="L666" s="4" t="s">
        <v>175</v>
      </c>
      <c r="M666" s="4" t="s">
        <v>146</v>
      </c>
      <c r="N666" s="4" t="s">
        <v>208</v>
      </c>
      <c r="O666" s="4" t="s">
        <v>24</v>
      </c>
      <c r="P666" s="4">
        <v>32011</v>
      </c>
      <c r="Q666" s="4" t="s">
        <v>123</v>
      </c>
      <c r="S666" s="4" t="s">
        <v>38</v>
      </c>
    </row>
    <row r="667" spans="1:19" x14ac:dyDescent="0.3">
      <c r="A667" s="4">
        <v>38573</v>
      </c>
      <c r="B667" s="4" t="s">
        <v>28</v>
      </c>
      <c r="C667" s="4" t="s">
        <v>124</v>
      </c>
      <c r="D667" s="4" t="s">
        <v>23</v>
      </c>
      <c r="E667" s="4" t="s">
        <v>47</v>
      </c>
      <c r="F667" s="4" t="str">
        <f t="shared" si="10"/>
        <v>3ML</v>
      </c>
      <c r="G667" s="5">
        <v>46240</v>
      </c>
      <c r="H667" s="6">
        <v>0.64166666666666672</v>
      </c>
      <c r="I667" s="5">
        <v>46240</v>
      </c>
      <c r="J667" s="5">
        <v>46240</v>
      </c>
      <c r="K667" s="5">
        <v>46240</v>
      </c>
      <c r="L667" s="4" t="s">
        <v>175</v>
      </c>
      <c r="M667" s="4" t="s">
        <v>146</v>
      </c>
      <c r="N667" s="4" t="s">
        <v>208</v>
      </c>
      <c r="O667" s="4" t="s">
        <v>24</v>
      </c>
      <c r="P667" s="4">
        <v>32012</v>
      </c>
      <c r="Q667" s="4" t="s">
        <v>123</v>
      </c>
      <c r="S667" s="4" t="s">
        <v>38</v>
      </c>
    </row>
    <row r="668" spans="1:19" x14ac:dyDescent="0.3">
      <c r="A668" s="4">
        <v>38574</v>
      </c>
      <c r="B668" s="4" t="s">
        <v>28</v>
      </c>
      <c r="C668" s="4" t="s">
        <v>124</v>
      </c>
      <c r="D668" s="4" t="s">
        <v>23</v>
      </c>
      <c r="E668" s="4" t="s">
        <v>46</v>
      </c>
      <c r="F668" s="4" t="str">
        <f t="shared" si="10"/>
        <v>6ML</v>
      </c>
      <c r="G668" s="5">
        <v>46240</v>
      </c>
      <c r="H668" s="6">
        <v>0.64166666666666672</v>
      </c>
      <c r="I668" s="5">
        <v>46240</v>
      </c>
      <c r="J668" s="5">
        <v>46240</v>
      </c>
      <c r="K668" s="5">
        <v>46240</v>
      </c>
      <c r="L668" s="4" t="s">
        <v>175</v>
      </c>
      <c r="M668" s="4" t="s">
        <v>146</v>
      </c>
      <c r="N668" s="4" t="s">
        <v>208</v>
      </c>
      <c r="O668" s="4" t="s">
        <v>24</v>
      </c>
      <c r="P668" s="4">
        <v>32013</v>
      </c>
      <c r="Q668" s="4" t="s">
        <v>123</v>
      </c>
      <c r="S668" s="4" t="s">
        <v>38</v>
      </c>
    </row>
    <row r="669" spans="1:19" x14ac:dyDescent="0.3">
      <c r="A669" s="4">
        <v>38585</v>
      </c>
      <c r="B669" s="4" t="s">
        <v>28</v>
      </c>
      <c r="C669" s="4" t="s">
        <v>124</v>
      </c>
      <c r="D669" s="4" t="s">
        <v>23</v>
      </c>
      <c r="E669" s="4" t="s">
        <v>51</v>
      </c>
      <c r="F669" s="4" t="str">
        <f t="shared" si="10"/>
        <v>2MC</v>
      </c>
      <c r="G669" s="5">
        <v>46240</v>
      </c>
      <c r="H669" s="6">
        <v>0.81319444444444444</v>
      </c>
      <c r="I669" s="5">
        <v>46240</v>
      </c>
      <c r="J669" s="5">
        <v>46240</v>
      </c>
      <c r="K669" s="5">
        <v>46240</v>
      </c>
      <c r="L669" s="4" t="s">
        <v>315</v>
      </c>
      <c r="M669" s="4" t="s">
        <v>130</v>
      </c>
      <c r="N669" s="4" t="s">
        <v>208</v>
      </c>
      <c r="O669" s="4" t="s">
        <v>24</v>
      </c>
      <c r="P669" s="4">
        <v>32029</v>
      </c>
      <c r="Q669" s="4" t="s">
        <v>123</v>
      </c>
      <c r="S669" s="4" t="s">
        <v>316</v>
      </c>
    </row>
    <row r="670" spans="1:19" x14ac:dyDescent="0.3">
      <c r="A670" s="4">
        <v>38586</v>
      </c>
      <c r="B670" s="4" t="s">
        <v>28</v>
      </c>
      <c r="C670" s="4" t="s">
        <v>124</v>
      </c>
      <c r="D670" s="4" t="s">
        <v>23</v>
      </c>
      <c r="E670" s="4" t="s">
        <v>53</v>
      </c>
      <c r="F670" s="4" t="str">
        <f t="shared" si="10"/>
        <v>3MC</v>
      </c>
      <c r="G670" s="5">
        <v>46240</v>
      </c>
      <c r="H670" s="6">
        <v>0.81319444444444444</v>
      </c>
      <c r="I670" s="5">
        <v>46240</v>
      </c>
      <c r="J670" s="5">
        <v>46240</v>
      </c>
      <c r="K670" s="5">
        <v>46240</v>
      </c>
      <c r="L670" s="4" t="s">
        <v>315</v>
      </c>
      <c r="M670" s="4" t="s">
        <v>130</v>
      </c>
      <c r="N670" s="4" t="s">
        <v>208</v>
      </c>
      <c r="O670" s="4" t="s">
        <v>24</v>
      </c>
      <c r="P670" s="4">
        <v>32030</v>
      </c>
      <c r="Q670" s="4" t="s">
        <v>123</v>
      </c>
      <c r="S670" s="4" t="s">
        <v>316</v>
      </c>
    </row>
    <row r="671" spans="1:19" x14ac:dyDescent="0.3">
      <c r="A671" s="4">
        <v>38587</v>
      </c>
      <c r="B671" s="4" t="s">
        <v>28</v>
      </c>
      <c r="C671" s="4" t="s">
        <v>124</v>
      </c>
      <c r="D671" s="4" t="s">
        <v>23</v>
      </c>
      <c r="E671" s="4" t="s">
        <v>52</v>
      </c>
      <c r="F671" s="4" t="str">
        <f t="shared" si="10"/>
        <v>6MC</v>
      </c>
      <c r="G671" s="5">
        <v>46240</v>
      </c>
      <c r="H671" s="6">
        <v>0.81319444444444444</v>
      </c>
      <c r="I671" s="5">
        <v>46240</v>
      </c>
      <c r="J671" s="5">
        <v>46240</v>
      </c>
      <c r="K671" s="5">
        <v>46240</v>
      </c>
      <c r="L671" s="4" t="s">
        <v>315</v>
      </c>
      <c r="M671" s="4" t="s">
        <v>130</v>
      </c>
      <c r="N671" s="4" t="s">
        <v>208</v>
      </c>
      <c r="O671" s="4" t="s">
        <v>24</v>
      </c>
      <c r="P671" s="4">
        <v>32031</v>
      </c>
      <c r="Q671" s="4" t="s">
        <v>123</v>
      </c>
      <c r="S671" s="4" t="s">
        <v>316</v>
      </c>
    </row>
    <row r="672" spans="1:19" x14ac:dyDescent="0.3">
      <c r="A672" s="4">
        <v>38590</v>
      </c>
      <c r="B672" s="4" t="s">
        <v>28</v>
      </c>
      <c r="C672" s="4" t="s">
        <v>124</v>
      </c>
      <c r="D672" s="4" t="s">
        <v>23</v>
      </c>
      <c r="E672" s="4" t="s">
        <v>51</v>
      </c>
      <c r="F672" s="4" t="str">
        <f t="shared" si="10"/>
        <v>2MC</v>
      </c>
      <c r="G672" s="5">
        <v>46240</v>
      </c>
      <c r="H672" s="6">
        <v>0.81319444444444444</v>
      </c>
      <c r="I672" s="5">
        <v>46240</v>
      </c>
      <c r="J672" s="5">
        <v>46240</v>
      </c>
      <c r="K672" s="5">
        <v>46240</v>
      </c>
      <c r="L672" s="4" t="s">
        <v>317</v>
      </c>
      <c r="M672" s="4">
        <v>1624</v>
      </c>
      <c r="N672" s="4" t="s">
        <v>208</v>
      </c>
      <c r="O672" s="4" t="s">
        <v>27</v>
      </c>
      <c r="P672" s="4">
        <v>32034</v>
      </c>
      <c r="Q672" s="4" t="s">
        <v>123</v>
      </c>
      <c r="S672" s="4" t="s">
        <v>306</v>
      </c>
    </row>
    <row r="673" spans="1:19" x14ac:dyDescent="0.3">
      <c r="A673" s="4">
        <v>38591</v>
      </c>
      <c r="B673" s="4" t="s">
        <v>28</v>
      </c>
      <c r="C673" s="4" t="s">
        <v>124</v>
      </c>
      <c r="D673" s="4" t="s">
        <v>23</v>
      </c>
      <c r="E673" s="4" t="s">
        <v>53</v>
      </c>
      <c r="F673" s="4" t="str">
        <f t="shared" si="10"/>
        <v>3MC</v>
      </c>
      <c r="G673" s="5">
        <v>46240</v>
      </c>
      <c r="H673" s="6">
        <v>0.81319444444444444</v>
      </c>
      <c r="I673" s="5">
        <v>46240</v>
      </c>
      <c r="J673" s="5">
        <v>46240</v>
      </c>
      <c r="K673" s="5">
        <v>46240</v>
      </c>
      <c r="L673" s="4" t="s">
        <v>317</v>
      </c>
      <c r="M673" s="4">
        <v>1624</v>
      </c>
      <c r="N673" s="4" t="s">
        <v>208</v>
      </c>
      <c r="O673" s="4" t="s">
        <v>27</v>
      </c>
      <c r="P673" s="4">
        <v>32035</v>
      </c>
      <c r="Q673" s="4" t="s">
        <v>123</v>
      </c>
      <c r="S673" s="4" t="s">
        <v>306</v>
      </c>
    </row>
    <row r="674" spans="1:19" x14ac:dyDescent="0.3">
      <c r="A674" s="4">
        <v>38592</v>
      </c>
      <c r="B674" s="4" t="s">
        <v>28</v>
      </c>
      <c r="C674" s="4" t="s">
        <v>124</v>
      </c>
      <c r="D674" s="4" t="s">
        <v>23</v>
      </c>
      <c r="E674" s="4" t="s">
        <v>111</v>
      </c>
      <c r="F674" s="4" t="str">
        <f t="shared" si="10"/>
        <v>6MC</v>
      </c>
      <c r="G674" s="5">
        <v>46240</v>
      </c>
      <c r="H674" s="6">
        <v>0.81319444444444444</v>
      </c>
      <c r="I674" s="5">
        <v>46240</v>
      </c>
      <c r="J674" s="5">
        <v>46240</v>
      </c>
      <c r="K674" s="5">
        <v>46240</v>
      </c>
      <c r="L674" s="4" t="s">
        <v>317</v>
      </c>
      <c r="M674" s="4">
        <v>1624</v>
      </c>
      <c r="N674" s="4" t="s">
        <v>208</v>
      </c>
      <c r="O674" s="4" t="s">
        <v>27</v>
      </c>
      <c r="P674" s="4">
        <v>32036</v>
      </c>
      <c r="Q674" s="4" t="s">
        <v>123</v>
      </c>
      <c r="S674" s="4" t="s">
        <v>306</v>
      </c>
    </row>
    <row r="675" spans="1:19" x14ac:dyDescent="0.3">
      <c r="A675" s="4">
        <v>38602</v>
      </c>
      <c r="B675" s="4" t="s">
        <v>318</v>
      </c>
      <c r="C675" s="4" t="s">
        <v>124</v>
      </c>
      <c r="D675" s="4" t="s">
        <v>23</v>
      </c>
      <c r="E675" s="4" t="s">
        <v>35</v>
      </c>
      <c r="F675" s="4" t="str">
        <f t="shared" si="10"/>
        <v>2ML</v>
      </c>
      <c r="G675" s="5">
        <v>46241</v>
      </c>
      <c r="H675" s="6">
        <v>0.52430555555555558</v>
      </c>
      <c r="I675" s="5">
        <v>46241</v>
      </c>
      <c r="L675" s="4" t="s">
        <v>80</v>
      </c>
      <c r="M675" s="4">
        <v>1624</v>
      </c>
      <c r="N675" s="4" t="s">
        <v>17</v>
      </c>
      <c r="O675" s="4" t="s">
        <v>24</v>
      </c>
      <c r="P675" s="4">
        <v>32045</v>
      </c>
      <c r="Q675" s="4" t="s">
        <v>123</v>
      </c>
      <c r="S675" s="4" t="s">
        <v>40</v>
      </c>
    </row>
    <row r="676" spans="1:19" x14ac:dyDescent="0.3">
      <c r="A676" s="4">
        <v>38625</v>
      </c>
      <c r="B676" s="4" t="s">
        <v>28</v>
      </c>
      <c r="C676" s="4" t="s">
        <v>124</v>
      </c>
      <c r="D676" s="4" t="s">
        <v>23</v>
      </c>
      <c r="E676" s="4" t="s">
        <v>51</v>
      </c>
      <c r="F676" s="4" t="str">
        <f t="shared" si="10"/>
        <v>2MC</v>
      </c>
      <c r="G676" s="5">
        <v>46241</v>
      </c>
      <c r="H676" s="6">
        <v>0.85902777777777783</v>
      </c>
      <c r="I676" s="5">
        <v>46241</v>
      </c>
      <c r="J676" s="5">
        <v>46241</v>
      </c>
      <c r="K676" s="5">
        <v>46241</v>
      </c>
      <c r="L676" s="4" t="s">
        <v>319</v>
      </c>
      <c r="M676" s="4" t="s">
        <v>178</v>
      </c>
      <c r="N676" s="4" t="s">
        <v>208</v>
      </c>
      <c r="O676" s="4" t="s">
        <v>27</v>
      </c>
      <c r="P676" s="4">
        <v>32115</v>
      </c>
      <c r="Q676" s="4" t="s">
        <v>123</v>
      </c>
      <c r="S676" s="4" t="s">
        <v>306</v>
      </c>
    </row>
    <row r="677" spans="1:19" x14ac:dyDescent="0.3">
      <c r="A677" s="4">
        <v>38626</v>
      </c>
      <c r="B677" s="4" t="s">
        <v>28</v>
      </c>
      <c r="C677" s="4" t="s">
        <v>124</v>
      </c>
      <c r="D677" s="4" t="s">
        <v>23</v>
      </c>
      <c r="E677" s="4" t="s">
        <v>53</v>
      </c>
      <c r="F677" s="4" t="str">
        <f t="shared" si="10"/>
        <v>3MC</v>
      </c>
      <c r="G677" s="5">
        <v>46241</v>
      </c>
      <c r="H677" s="6">
        <v>0.85902777777777783</v>
      </c>
      <c r="I677" s="5">
        <v>46241</v>
      </c>
      <c r="J677" s="5">
        <v>46241</v>
      </c>
      <c r="K677" s="5">
        <v>46241</v>
      </c>
      <c r="L677" s="4" t="s">
        <v>319</v>
      </c>
      <c r="M677" s="4" t="s">
        <v>178</v>
      </c>
      <c r="N677" s="4" t="s">
        <v>208</v>
      </c>
      <c r="O677" s="4" t="s">
        <v>27</v>
      </c>
      <c r="P677" s="4">
        <v>32116</v>
      </c>
      <c r="Q677" s="4" t="s">
        <v>123</v>
      </c>
      <c r="S677" s="4" t="s">
        <v>306</v>
      </c>
    </row>
    <row r="678" spans="1:19" x14ac:dyDescent="0.3">
      <c r="A678" s="4">
        <v>38627</v>
      </c>
      <c r="B678" s="4" t="s">
        <v>28</v>
      </c>
      <c r="C678" s="4" t="s">
        <v>124</v>
      </c>
      <c r="D678" s="4" t="s">
        <v>23</v>
      </c>
      <c r="E678" s="4" t="s">
        <v>52</v>
      </c>
      <c r="F678" s="4" t="str">
        <f t="shared" si="10"/>
        <v>6MC</v>
      </c>
      <c r="G678" s="5">
        <v>46241</v>
      </c>
      <c r="H678" s="6">
        <v>0.85902777777777783</v>
      </c>
      <c r="I678" s="5">
        <v>46241</v>
      </c>
      <c r="J678" s="5">
        <v>46241</v>
      </c>
      <c r="K678" s="5">
        <v>46241</v>
      </c>
      <c r="L678" s="4" t="s">
        <v>319</v>
      </c>
      <c r="M678" s="4" t="s">
        <v>178</v>
      </c>
      <c r="N678" s="4" t="s">
        <v>208</v>
      </c>
      <c r="O678" s="4" t="s">
        <v>27</v>
      </c>
      <c r="P678" s="4">
        <v>32117</v>
      </c>
      <c r="Q678" s="4" t="s">
        <v>123</v>
      </c>
      <c r="S678" s="4" t="s">
        <v>306</v>
      </c>
    </row>
    <row r="679" spans="1:19" x14ac:dyDescent="0.3">
      <c r="A679" s="7">
        <v>38638</v>
      </c>
      <c r="B679" s="7" t="s">
        <v>28</v>
      </c>
      <c r="C679" s="7" t="s">
        <v>15</v>
      </c>
      <c r="D679" s="7" t="s">
        <v>16</v>
      </c>
      <c r="E679" s="7" t="s">
        <v>108</v>
      </c>
      <c r="F679" s="4" t="str">
        <f t="shared" si="10"/>
        <v>2MU</v>
      </c>
      <c r="G679" s="8">
        <v>46244</v>
      </c>
      <c r="H679" s="9">
        <v>0.44305555555555554</v>
      </c>
      <c r="I679" s="8">
        <v>46244</v>
      </c>
      <c r="J679" s="8">
        <v>46244</v>
      </c>
      <c r="K679" s="8">
        <v>46244</v>
      </c>
      <c r="L679" s="7" t="s">
        <v>225</v>
      </c>
      <c r="M679" s="7" t="s">
        <v>161</v>
      </c>
      <c r="N679" s="7" t="s">
        <v>208</v>
      </c>
      <c r="O679" s="7" t="s">
        <v>27</v>
      </c>
      <c r="P679" s="7">
        <v>32186</v>
      </c>
      <c r="Q679" s="7" t="s">
        <v>19</v>
      </c>
      <c r="R679" s="7">
        <v>46455</v>
      </c>
      <c r="S679" s="7" t="s">
        <v>183</v>
      </c>
    </row>
    <row r="680" spans="1:19" x14ac:dyDescent="0.3">
      <c r="A680" s="7">
        <v>38639</v>
      </c>
      <c r="B680" s="7" t="s">
        <v>28</v>
      </c>
      <c r="C680" s="7" t="s">
        <v>15</v>
      </c>
      <c r="D680" s="7" t="s">
        <v>16</v>
      </c>
      <c r="E680" s="7" t="s">
        <v>109</v>
      </c>
      <c r="F680" s="4" t="str">
        <f t="shared" si="10"/>
        <v>3MU</v>
      </c>
      <c r="G680" s="8">
        <v>46244</v>
      </c>
      <c r="H680" s="9">
        <v>0.44305555555555554</v>
      </c>
      <c r="I680" s="8">
        <v>46244</v>
      </c>
      <c r="J680" s="8"/>
      <c r="K680" s="8">
        <v>46247</v>
      </c>
      <c r="L680" s="7" t="s">
        <v>225</v>
      </c>
      <c r="M680" s="7" t="s">
        <v>161</v>
      </c>
      <c r="N680" s="7" t="s">
        <v>208</v>
      </c>
      <c r="O680" s="7" t="s">
        <v>27</v>
      </c>
      <c r="P680" s="7">
        <v>32187</v>
      </c>
      <c r="Q680" s="7" t="s">
        <v>19</v>
      </c>
      <c r="R680" s="7">
        <v>46111</v>
      </c>
      <c r="S680" s="7" t="s">
        <v>183</v>
      </c>
    </row>
    <row r="681" spans="1:19" x14ac:dyDescent="0.3">
      <c r="A681" s="7">
        <v>38640</v>
      </c>
      <c r="B681" s="7" t="s">
        <v>28</v>
      </c>
      <c r="C681" s="7" t="s">
        <v>15</v>
      </c>
      <c r="D681" s="7" t="s">
        <v>16</v>
      </c>
      <c r="E681" s="7" t="s">
        <v>107</v>
      </c>
      <c r="F681" s="4" t="str">
        <f t="shared" si="10"/>
        <v>4MU</v>
      </c>
      <c r="G681" s="8">
        <v>46244</v>
      </c>
      <c r="H681" s="9">
        <v>0.44305555555555554</v>
      </c>
      <c r="I681" s="8">
        <v>46244</v>
      </c>
      <c r="J681" s="8"/>
      <c r="K681" s="8">
        <v>46247</v>
      </c>
      <c r="L681" s="7" t="s">
        <v>225</v>
      </c>
      <c r="M681" s="7" t="s">
        <v>161</v>
      </c>
      <c r="N681" s="7" t="s">
        <v>208</v>
      </c>
      <c r="O681" s="7" t="s">
        <v>27</v>
      </c>
      <c r="P681" s="7">
        <v>32189</v>
      </c>
      <c r="Q681" s="7" t="s">
        <v>19</v>
      </c>
      <c r="R681" s="7">
        <v>46112</v>
      </c>
      <c r="S681" s="7" t="s">
        <v>183</v>
      </c>
    </row>
    <row r="682" spans="1:19" x14ac:dyDescent="0.3">
      <c r="A682" s="7">
        <v>38641</v>
      </c>
      <c r="B682" s="7" t="s">
        <v>28</v>
      </c>
      <c r="C682" s="7" t="s">
        <v>15</v>
      </c>
      <c r="D682" s="7" t="s">
        <v>16</v>
      </c>
      <c r="E682" s="7" t="s">
        <v>110</v>
      </c>
      <c r="F682" s="4" t="str">
        <f t="shared" si="10"/>
        <v>5MU</v>
      </c>
      <c r="G682" s="8">
        <v>46244</v>
      </c>
      <c r="H682" s="9">
        <v>0.44305555555555554</v>
      </c>
      <c r="I682" s="8">
        <v>46244</v>
      </c>
      <c r="J682" s="8">
        <v>46244</v>
      </c>
      <c r="K682" s="8">
        <v>46244</v>
      </c>
      <c r="L682" s="7" t="s">
        <v>225</v>
      </c>
      <c r="M682" s="7" t="s">
        <v>161</v>
      </c>
      <c r="N682" s="7" t="s">
        <v>208</v>
      </c>
      <c r="O682" s="7" t="s">
        <v>27</v>
      </c>
      <c r="P682" s="7">
        <v>32190</v>
      </c>
      <c r="Q682" s="7" t="s">
        <v>19</v>
      </c>
      <c r="R682" s="7">
        <v>46455</v>
      </c>
      <c r="S682" s="7" t="s">
        <v>183</v>
      </c>
    </row>
    <row r="683" spans="1:19" x14ac:dyDescent="0.3">
      <c r="A683" s="7">
        <v>38976</v>
      </c>
      <c r="B683" s="7" t="s">
        <v>28</v>
      </c>
      <c r="C683" s="7" t="s">
        <v>15</v>
      </c>
      <c r="D683" s="7" t="s">
        <v>16</v>
      </c>
      <c r="E683" s="7" t="s">
        <v>35</v>
      </c>
      <c r="F683" s="4" t="str">
        <f t="shared" si="10"/>
        <v>2ML</v>
      </c>
      <c r="G683" s="8">
        <v>46244</v>
      </c>
      <c r="H683" s="9">
        <v>0.67499999999999993</v>
      </c>
      <c r="I683" s="8">
        <v>46244</v>
      </c>
      <c r="J683" s="8">
        <v>46244</v>
      </c>
      <c r="K683" s="8">
        <v>46244</v>
      </c>
      <c r="L683" s="7" t="s">
        <v>145</v>
      </c>
      <c r="M683" s="7" t="s">
        <v>146</v>
      </c>
      <c r="N683" s="7" t="s">
        <v>17</v>
      </c>
      <c r="O683" s="7" t="s">
        <v>24</v>
      </c>
      <c r="P683" s="7">
        <v>32220</v>
      </c>
      <c r="Q683" s="7" t="s">
        <v>19</v>
      </c>
      <c r="R683" s="7">
        <v>46349</v>
      </c>
      <c r="S683" s="7" t="s">
        <v>307</v>
      </c>
    </row>
    <row r="684" spans="1:19" x14ac:dyDescent="0.3">
      <c r="A684" s="7">
        <v>38977</v>
      </c>
      <c r="B684" s="7" t="s">
        <v>28</v>
      </c>
      <c r="C684" s="7" t="s">
        <v>15</v>
      </c>
      <c r="D684" s="7" t="s">
        <v>16</v>
      </c>
      <c r="E684" s="7" t="s">
        <v>47</v>
      </c>
      <c r="F684" s="4" t="str">
        <f t="shared" si="10"/>
        <v>3ML</v>
      </c>
      <c r="G684" s="8">
        <v>46244</v>
      </c>
      <c r="H684" s="9">
        <v>0.67499999999999993</v>
      </c>
      <c r="I684" s="8">
        <v>46244</v>
      </c>
      <c r="J684" s="8">
        <v>46244</v>
      </c>
      <c r="K684" s="8">
        <v>46244</v>
      </c>
      <c r="L684" s="7" t="s">
        <v>145</v>
      </c>
      <c r="M684" s="7" t="s">
        <v>146</v>
      </c>
      <c r="N684" s="7" t="s">
        <v>17</v>
      </c>
      <c r="O684" s="7" t="s">
        <v>24</v>
      </c>
      <c r="P684" s="7">
        <v>32221</v>
      </c>
      <c r="Q684" s="7" t="s">
        <v>19</v>
      </c>
      <c r="R684" s="7">
        <v>46351</v>
      </c>
      <c r="S684" s="7" t="s">
        <v>307</v>
      </c>
    </row>
    <row r="685" spans="1:19" x14ac:dyDescent="0.3">
      <c r="A685" s="7">
        <v>38978</v>
      </c>
      <c r="B685" s="7" t="s">
        <v>28</v>
      </c>
      <c r="C685" s="7" t="s">
        <v>15</v>
      </c>
      <c r="D685" s="7" t="s">
        <v>16</v>
      </c>
      <c r="E685" s="7" t="s">
        <v>46</v>
      </c>
      <c r="F685" s="4" t="str">
        <f t="shared" si="10"/>
        <v>6ML</v>
      </c>
      <c r="G685" s="8">
        <v>46244</v>
      </c>
      <c r="H685" s="9">
        <v>0.67499999999999993</v>
      </c>
      <c r="I685" s="8">
        <v>46244</v>
      </c>
      <c r="J685" s="8">
        <v>46244</v>
      </c>
      <c r="K685" s="8">
        <v>46244</v>
      </c>
      <c r="L685" s="7" t="s">
        <v>145</v>
      </c>
      <c r="M685" s="7" t="s">
        <v>146</v>
      </c>
      <c r="N685" s="7" t="s">
        <v>17</v>
      </c>
      <c r="O685" s="7" t="s">
        <v>24</v>
      </c>
      <c r="P685" s="7">
        <v>32222</v>
      </c>
      <c r="Q685" s="7" t="s">
        <v>19</v>
      </c>
      <c r="R685" s="7">
        <v>46354</v>
      </c>
      <c r="S685" s="7" t="s">
        <v>307</v>
      </c>
    </row>
    <row r="686" spans="1:19" x14ac:dyDescent="0.3">
      <c r="A686" s="7">
        <v>39006</v>
      </c>
      <c r="B686" s="7" t="s">
        <v>28</v>
      </c>
      <c r="C686" s="7" t="s">
        <v>124</v>
      </c>
      <c r="D686" s="7" t="s">
        <v>23</v>
      </c>
      <c r="E686" s="7" t="s">
        <v>108</v>
      </c>
      <c r="F686" s="4" t="str">
        <f t="shared" si="10"/>
        <v>2MU</v>
      </c>
      <c r="G686" s="8">
        <v>46246</v>
      </c>
      <c r="H686" s="9">
        <v>0.4236111111111111</v>
      </c>
      <c r="I686" s="8">
        <v>46245</v>
      </c>
      <c r="J686" s="8"/>
      <c r="K686" s="8"/>
      <c r="L686" s="7" t="s">
        <v>205</v>
      </c>
      <c r="M686" s="7" t="s">
        <v>95</v>
      </c>
      <c r="N686" s="7" t="s">
        <v>17</v>
      </c>
      <c r="O686" s="7" t="s">
        <v>25</v>
      </c>
      <c r="P686" s="7">
        <v>32245</v>
      </c>
      <c r="Q686" s="7" t="s">
        <v>123</v>
      </c>
      <c r="R686" s="7"/>
      <c r="S686" s="7" t="s">
        <v>45</v>
      </c>
    </row>
    <row r="687" spans="1:19" x14ac:dyDescent="0.3">
      <c r="A687" s="7">
        <v>39007</v>
      </c>
      <c r="B687" s="7" t="s">
        <v>28</v>
      </c>
      <c r="C687" s="7" t="s">
        <v>124</v>
      </c>
      <c r="D687" s="7" t="s">
        <v>23</v>
      </c>
      <c r="E687" s="7" t="s">
        <v>109</v>
      </c>
      <c r="F687" s="4" t="str">
        <f t="shared" si="10"/>
        <v>3MU</v>
      </c>
      <c r="G687" s="8">
        <v>46246</v>
      </c>
      <c r="H687" s="9">
        <v>0.4236111111111111</v>
      </c>
      <c r="I687" s="8">
        <v>46245</v>
      </c>
      <c r="J687" s="8"/>
      <c r="K687" s="8"/>
      <c r="L687" s="7" t="s">
        <v>205</v>
      </c>
      <c r="M687" s="7" t="s">
        <v>95</v>
      </c>
      <c r="N687" s="7" t="s">
        <v>17</v>
      </c>
      <c r="O687" s="7" t="s">
        <v>25</v>
      </c>
      <c r="P687" s="7">
        <v>32246</v>
      </c>
      <c r="Q687" s="7" t="s">
        <v>123</v>
      </c>
      <c r="R687" s="7"/>
      <c r="S687" s="7" t="s">
        <v>45</v>
      </c>
    </row>
    <row r="688" spans="1:19" x14ac:dyDescent="0.3">
      <c r="A688" s="7">
        <v>39008</v>
      </c>
      <c r="B688" s="7" t="s">
        <v>28</v>
      </c>
      <c r="C688" s="7" t="s">
        <v>124</v>
      </c>
      <c r="D688" s="7" t="s">
        <v>23</v>
      </c>
      <c r="E688" s="7" t="s">
        <v>107</v>
      </c>
      <c r="F688" s="4" t="str">
        <f t="shared" si="10"/>
        <v>4MU</v>
      </c>
      <c r="G688" s="8">
        <v>46246</v>
      </c>
      <c r="H688" s="9">
        <v>0.4236111111111111</v>
      </c>
      <c r="I688" s="8">
        <v>46245</v>
      </c>
      <c r="J688" s="8"/>
      <c r="K688" s="8"/>
      <c r="L688" s="7" t="s">
        <v>205</v>
      </c>
      <c r="M688" s="7" t="s">
        <v>95</v>
      </c>
      <c r="N688" s="7" t="s">
        <v>17</v>
      </c>
      <c r="O688" s="7" t="s">
        <v>25</v>
      </c>
      <c r="P688" s="7">
        <v>32247</v>
      </c>
      <c r="Q688" s="7" t="s">
        <v>123</v>
      </c>
      <c r="R688" s="7"/>
      <c r="S688" s="7" t="s">
        <v>45</v>
      </c>
    </row>
    <row r="689" spans="1:19" x14ac:dyDescent="0.3">
      <c r="A689" s="7">
        <v>39011</v>
      </c>
      <c r="B689" s="7" t="s">
        <v>28</v>
      </c>
      <c r="C689" s="7" t="s">
        <v>124</v>
      </c>
      <c r="D689" s="7" t="s">
        <v>23</v>
      </c>
      <c r="E689" s="7" t="s">
        <v>110</v>
      </c>
      <c r="F689" s="4" t="str">
        <f t="shared" si="10"/>
        <v>5MU</v>
      </c>
      <c r="G689" s="8">
        <v>46246</v>
      </c>
      <c r="H689" s="9">
        <v>0.45902777777777781</v>
      </c>
      <c r="I689" s="8">
        <v>46245</v>
      </c>
      <c r="J689" s="8"/>
      <c r="K689" s="8"/>
      <c r="L689" s="7" t="s">
        <v>205</v>
      </c>
      <c r="M689" s="7" t="s">
        <v>95</v>
      </c>
      <c r="N689" s="7" t="s">
        <v>17</v>
      </c>
      <c r="O689" s="7" t="s">
        <v>25</v>
      </c>
      <c r="P689" s="7">
        <v>32250</v>
      </c>
      <c r="Q689" s="7" t="s">
        <v>123</v>
      </c>
      <c r="R689" s="7"/>
      <c r="S689" s="7" t="s">
        <v>45</v>
      </c>
    </row>
    <row r="690" spans="1:19" x14ac:dyDescent="0.3">
      <c r="A690" s="7">
        <v>39015</v>
      </c>
      <c r="B690" s="7" t="s">
        <v>28</v>
      </c>
      <c r="C690" s="7" t="s">
        <v>124</v>
      </c>
      <c r="D690" s="7" t="s">
        <v>23</v>
      </c>
      <c r="E690" s="7" t="s">
        <v>35</v>
      </c>
      <c r="F690" s="4" t="str">
        <f t="shared" si="10"/>
        <v>2ML</v>
      </c>
      <c r="G690" s="8">
        <v>46246</v>
      </c>
      <c r="H690" s="9">
        <v>0.47430555555555554</v>
      </c>
      <c r="I690" s="8">
        <v>46245</v>
      </c>
      <c r="J690" s="8"/>
      <c r="K690" s="8"/>
      <c r="L690" s="7" t="s">
        <v>203</v>
      </c>
      <c r="M690" s="7" t="s">
        <v>126</v>
      </c>
      <c r="N690" s="7" t="s">
        <v>17</v>
      </c>
      <c r="O690" s="7" t="s">
        <v>24</v>
      </c>
      <c r="P690" s="7">
        <v>32253</v>
      </c>
      <c r="Q690" s="7" t="s">
        <v>123</v>
      </c>
      <c r="R690" s="7"/>
      <c r="S690" s="7" t="s">
        <v>307</v>
      </c>
    </row>
    <row r="691" spans="1:19" x14ac:dyDescent="0.3">
      <c r="A691" s="7">
        <v>39016</v>
      </c>
      <c r="B691" s="7" t="s">
        <v>28</v>
      </c>
      <c r="C691" s="7" t="s">
        <v>124</v>
      </c>
      <c r="D691" s="7" t="s">
        <v>23</v>
      </c>
      <c r="E691" s="7" t="s">
        <v>47</v>
      </c>
      <c r="F691" s="4" t="str">
        <f t="shared" si="10"/>
        <v>3ML</v>
      </c>
      <c r="G691" s="8">
        <v>46246</v>
      </c>
      <c r="H691" s="9">
        <v>0.47430555555555554</v>
      </c>
      <c r="I691" s="8">
        <v>46245</v>
      </c>
      <c r="J691" s="8"/>
      <c r="K691" s="8"/>
      <c r="L691" s="7" t="s">
        <v>203</v>
      </c>
      <c r="M691" s="7" t="s">
        <v>126</v>
      </c>
      <c r="N691" s="7" t="s">
        <v>17</v>
      </c>
      <c r="O691" s="7" t="s">
        <v>24</v>
      </c>
      <c r="P691" s="7">
        <v>32255</v>
      </c>
      <c r="Q691" s="7" t="s">
        <v>123</v>
      </c>
      <c r="R691" s="7"/>
      <c r="S691" s="7" t="s">
        <v>307</v>
      </c>
    </row>
    <row r="692" spans="1:19" x14ac:dyDescent="0.3">
      <c r="A692" s="7">
        <v>39017</v>
      </c>
      <c r="B692" s="7" t="s">
        <v>28</v>
      </c>
      <c r="C692" s="7" t="s">
        <v>124</v>
      </c>
      <c r="D692" s="7" t="s">
        <v>23</v>
      </c>
      <c r="E692" s="7" t="s">
        <v>46</v>
      </c>
      <c r="F692" s="4" t="str">
        <f t="shared" si="10"/>
        <v>6ML</v>
      </c>
      <c r="G692" s="8">
        <v>46246</v>
      </c>
      <c r="H692" s="9">
        <v>0.47430555555555554</v>
      </c>
      <c r="I692" s="8">
        <v>46245</v>
      </c>
      <c r="J692" s="8"/>
      <c r="K692" s="8"/>
      <c r="L692" s="7" t="s">
        <v>203</v>
      </c>
      <c r="M692" s="7" t="s">
        <v>126</v>
      </c>
      <c r="N692" s="7" t="s">
        <v>17</v>
      </c>
      <c r="O692" s="7" t="s">
        <v>24</v>
      </c>
      <c r="P692" s="7">
        <v>32256</v>
      </c>
      <c r="Q692" s="7" t="s">
        <v>123</v>
      </c>
      <c r="R692" s="7"/>
      <c r="S692" s="7" t="s">
        <v>307</v>
      </c>
    </row>
    <row r="693" spans="1:19" x14ac:dyDescent="0.3">
      <c r="A693" s="7">
        <v>39037</v>
      </c>
      <c r="B693" s="7" t="s">
        <v>28</v>
      </c>
      <c r="C693" s="7" t="s">
        <v>15</v>
      </c>
      <c r="D693" s="7" t="s">
        <v>16</v>
      </c>
      <c r="E693" s="7" t="s">
        <v>113</v>
      </c>
      <c r="F693" s="4" t="str">
        <f t="shared" si="10"/>
        <v>2MC</v>
      </c>
      <c r="G693" s="8">
        <v>46246</v>
      </c>
      <c r="H693" s="9">
        <v>0.58819444444444446</v>
      </c>
      <c r="I693" s="8">
        <v>46246</v>
      </c>
      <c r="J693" s="8">
        <v>46246</v>
      </c>
      <c r="K693" s="8">
        <v>46248</v>
      </c>
      <c r="L693" s="7" t="s">
        <v>322</v>
      </c>
      <c r="M693" s="7" t="s">
        <v>128</v>
      </c>
      <c r="N693" s="7" t="s">
        <v>208</v>
      </c>
      <c r="O693" s="7" t="s">
        <v>18</v>
      </c>
      <c r="P693" s="7">
        <v>32276</v>
      </c>
      <c r="Q693" s="7" t="s">
        <v>123</v>
      </c>
      <c r="R693" s="7"/>
      <c r="S693" s="7" t="s">
        <v>22</v>
      </c>
    </row>
    <row r="694" spans="1:19" x14ac:dyDescent="0.3">
      <c r="A694" s="7">
        <v>39038</v>
      </c>
      <c r="B694" s="7" t="s">
        <v>28</v>
      </c>
      <c r="C694" s="7" t="s">
        <v>15</v>
      </c>
      <c r="D694" s="7" t="s">
        <v>16</v>
      </c>
      <c r="E694" s="7" t="s">
        <v>122</v>
      </c>
      <c r="F694" s="4" t="str">
        <f t="shared" si="10"/>
        <v>3MC</v>
      </c>
      <c r="G694" s="8">
        <v>46246</v>
      </c>
      <c r="H694" s="9">
        <v>0.58819444444444446</v>
      </c>
      <c r="I694" s="8">
        <v>46246</v>
      </c>
      <c r="J694" s="8">
        <v>46246</v>
      </c>
      <c r="K694" s="8">
        <v>46248</v>
      </c>
      <c r="L694" s="7" t="s">
        <v>322</v>
      </c>
      <c r="M694" s="7" t="s">
        <v>128</v>
      </c>
      <c r="N694" s="7" t="s">
        <v>208</v>
      </c>
      <c r="O694" s="7" t="s">
        <v>18</v>
      </c>
      <c r="P694" s="7">
        <v>32277</v>
      </c>
      <c r="Q694" s="7" t="s">
        <v>123</v>
      </c>
      <c r="R694" s="7"/>
      <c r="S694" s="7" t="s">
        <v>22</v>
      </c>
    </row>
    <row r="695" spans="1:19" x14ac:dyDescent="0.3">
      <c r="A695" s="7">
        <v>39039</v>
      </c>
      <c r="B695" s="7" t="s">
        <v>28</v>
      </c>
      <c r="C695" s="7" t="s">
        <v>15</v>
      </c>
      <c r="D695" s="7" t="s">
        <v>16</v>
      </c>
      <c r="E695" s="7" t="s">
        <v>114</v>
      </c>
      <c r="F695" s="4" t="str">
        <f t="shared" si="10"/>
        <v>6MC</v>
      </c>
      <c r="G695" s="8">
        <v>46246</v>
      </c>
      <c r="H695" s="9">
        <v>0.58819444444444446</v>
      </c>
      <c r="I695" s="8">
        <v>46246</v>
      </c>
      <c r="J695" s="8">
        <v>46246</v>
      </c>
      <c r="K695" s="8">
        <v>46248</v>
      </c>
      <c r="L695" s="7" t="s">
        <v>322</v>
      </c>
      <c r="M695" s="7" t="s">
        <v>128</v>
      </c>
      <c r="N695" s="7" t="s">
        <v>208</v>
      </c>
      <c r="O695" s="7" t="s">
        <v>18</v>
      </c>
      <c r="P695" s="7">
        <v>32278</v>
      </c>
      <c r="Q695" s="7" t="s">
        <v>123</v>
      </c>
      <c r="R695" s="7"/>
      <c r="S695" s="7" t="s">
        <v>22</v>
      </c>
    </row>
    <row r="696" spans="1:19" x14ac:dyDescent="0.3">
      <c r="A696" s="7">
        <v>39063</v>
      </c>
      <c r="B696" s="7" t="s">
        <v>28</v>
      </c>
      <c r="C696" s="7" t="s">
        <v>15</v>
      </c>
      <c r="D696" s="7" t="s">
        <v>16</v>
      </c>
      <c r="E696" s="7" t="s">
        <v>115</v>
      </c>
      <c r="F696" s="4" t="str">
        <f t="shared" si="10"/>
        <v>2ML</v>
      </c>
      <c r="G696" s="8">
        <v>46247</v>
      </c>
      <c r="H696" s="9">
        <v>0.47013888888888888</v>
      </c>
      <c r="I696" s="8">
        <v>46247</v>
      </c>
      <c r="J696" s="8"/>
      <c r="K696" s="8">
        <v>46252</v>
      </c>
      <c r="L696" s="7" t="s">
        <v>54</v>
      </c>
      <c r="M696" s="7" t="s">
        <v>129</v>
      </c>
      <c r="N696" s="7" t="s">
        <v>208</v>
      </c>
      <c r="O696" s="7" t="s">
        <v>24</v>
      </c>
      <c r="P696" s="7">
        <v>32308</v>
      </c>
      <c r="Q696" s="7" t="s">
        <v>123</v>
      </c>
      <c r="R696" s="7"/>
      <c r="S696" s="7" t="s">
        <v>38</v>
      </c>
    </row>
    <row r="697" spans="1:19" x14ac:dyDescent="0.3">
      <c r="A697" s="7">
        <v>39064</v>
      </c>
      <c r="B697" s="7" t="s">
        <v>28</v>
      </c>
      <c r="C697" s="7" t="s">
        <v>124</v>
      </c>
      <c r="D697" s="7" t="s">
        <v>23</v>
      </c>
      <c r="E697" s="7" t="s">
        <v>116</v>
      </c>
      <c r="F697" s="4" t="str">
        <f t="shared" si="10"/>
        <v>3ML</v>
      </c>
      <c r="G697" s="8">
        <v>46247</v>
      </c>
      <c r="H697" s="9">
        <v>0.47013888888888888</v>
      </c>
      <c r="I697" s="8">
        <v>46247</v>
      </c>
      <c r="J697" s="8"/>
      <c r="K697" s="8"/>
      <c r="L697" s="7" t="s">
        <v>54</v>
      </c>
      <c r="M697" s="7" t="s">
        <v>129</v>
      </c>
      <c r="N697" s="7" t="s">
        <v>208</v>
      </c>
      <c r="O697" s="7" t="s">
        <v>24</v>
      </c>
      <c r="P697" s="7">
        <v>32309</v>
      </c>
      <c r="Q697" s="7" t="s">
        <v>123</v>
      </c>
      <c r="R697" s="7"/>
      <c r="S697" s="7" t="s">
        <v>38</v>
      </c>
    </row>
    <row r="698" spans="1:19" x14ac:dyDescent="0.3">
      <c r="A698" s="7">
        <v>39065</v>
      </c>
      <c r="B698" s="7" t="s">
        <v>28</v>
      </c>
      <c r="C698" s="7" t="s">
        <v>15</v>
      </c>
      <c r="D698" s="7" t="s">
        <v>16</v>
      </c>
      <c r="E698" s="7" t="s">
        <v>117</v>
      </c>
      <c r="F698" s="4" t="str">
        <f t="shared" si="10"/>
        <v>6ML</v>
      </c>
      <c r="G698" s="8">
        <v>46247</v>
      </c>
      <c r="H698" s="9">
        <v>0.47013888888888888</v>
      </c>
      <c r="I698" s="8">
        <v>46247</v>
      </c>
      <c r="J698" s="8"/>
      <c r="K698" s="8">
        <v>46252</v>
      </c>
      <c r="L698" s="7" t="s">
        <v>54</v>
      </c>
      <c r="M698" s="7" t="s">
        <v>129</v>
      </c>
      <c r="N698" s="7" t="s">
        <v>208</v>
      </c>
      <c r="O698" s="7" t="s">
        <v>24</v>
      </c>
      <c r="P698" s="7">
        <v>32310</v>
      </c>
      <c r="Q698" s="7" t="s">
        <v>123</v>
      </c>
      <c r="R698" s="7"/>
      <c r="S698" s="7" t="s">
        <v>38</v>
      </c>
    </row>
    <row r="699" spans="1:19" x14ac:dyDescent="0.3">
      <c r="A699" s="7">
        <v>39068</v>
      </c>
      <c r="B699" s="7" t="s">
        <v>28</v>
      </c>
      <c r="C699" s="7" t="s">
        <v>15</v>
      </c>
      <c r="D699" s="7" t="s">
        <v>16</v>
      </c>
      <c r="E699" s="7" t="s">
        <v>51</v>
      </c>
      <c r="F699" s="4" t="str">
        <f t="shared" si="10"/>
        <v>2MC</v>
      </c>
      <c r="G699" s="8">
        <v>46247</v>
      </c>
      <c r="H699" s="9">
        <v>0.49444444444444446</v>
      </c>
      <c r="I699" s="8">
        <v>46247</v>
      </c>
      <c r="J699" s="8"/>
      <c r="K699" s="8">
        <v>46249</v>
      </c>
      <c r="L699" s="7" t="s">
        <v>323</v>
      </c>
      <c r="M699" s="7" t="s">
        <v>130</v>
      </c>
      <c r="N699" s="7" t="s">
        <v>208</v>
      </c>
      <c r="O699" s="7" t="s">
        <v>27</v>
      </c>
      <c r="P699" s="7">
        <v>32332</v>
      </c>
      <c r="Q699" s="7" t="s">
        <v>123</v>
      </c>
      <c r="R699" s="7"/>
      <c r="S699" s="7" t="s">
        <v>71</v>
      </c>
    </row>
    <row r="700" spans="1:19" x14ac:dyDescent="0.3">
      <c r="A700" s="7">
        <v>39069</v>
      </c>
      <c r="B700" s="7" t="s">
        <v>28</v>
      </c>
      <c r="C700" s="7" t="s">
        <v>15</v>
      </c>
      <c r="D700" s="7" t="s">
        <v>16</v>
      </c>
      <c r="E700" s="7" t="s">
        <v>53</v>
      </c>
      <c r="F700" s="4" t="str">
        <f t="shared" si="10"/>
        <v>3MC</v>
      </c>
      <c r="G700" s="8">
        <v>46247</v>
      </c>
      <c r="H700" s="9">
        <v>0.49444444444444446</v>
      </c>
      <c r="I700" s="8">
        <v>46247</v>
      </c>
      <c r="J700" s="8"/>
      <c r="K700" s="8">
        <v>46252</v>
      </c>
      <c r="L700" s="7" t="s">
        <v>323</v>
      </c>
      <c r="M700" s="7" t="s">
        <v>130</v>
      </c>
      <c r="N700" s="7" t="s">
        <v>208</v>
      </c>
      <c r="O700" s="7" t="s">
        <v>27</v>
      </c>
      <c r="P700" s="7">
        <v>32333</v>
      </c>
      <c r="Q700" s="7" t="s">
        <v>123</v>
      </c>
      <c r="R700" s="7"/>
      <c r="S700" s="7" t="s">
        <v>71</v>
      </c>
    </row>
    <row r="701" spans="1:19" x14ac:dyDescent="0.3">
      <c r="A701" s="7">
        <v>39070</v>
      </c>
      <c r="B701" s="7" t="s">
        <v>28</v>
      </c>
      <c r="C701" s="7" t="s">
        <v>15</v>
      </c>
      <c r="D701" s="7" t="s">
        <v>16</v>
      </c>
      <c r="E701" s="7" t="s">
        <v>52</v>
      </c>
      <c r="F701" s="4" t="str">
        <f t="shared" si="10"/>
        <v>6MC</v>
      </c>
      <c r="G701" s="8">
        <v>46247</v>
      </c>
      <c r="H701" s="9">
        <v>0.49444444444444446</v>
      </c>
      <c r="I701" s="8">
        <v>46247</v>
      </c>
      <c r="J701" s="8"/>
      <c r="K701" s="8">
        <v>46248</v>
      </c>
      <c r="L701" s="7" t="s">
        <v>323</v>
      </c>
      <c r="M701" s="7" t="s">
        <v>130</v>
      </c>
      <c r="N701" s="7" t="s">
        <v>208</v>
      </c>
      <c r="O701" s="7" t="s">
        <v>27</v>
      </c>
      <c r="P701" s="7">
        <v>32334</v>
      </c>
      <c r="Q701" s="7" t="s">
        <v>19</v>
      </c>
      <c r="R701" s="7">
        <v>46504</v>
      </c>
      <c r="S701" s="7" t="s">
        <v>71</v>
      </c>
    </row>
    <row r="702" spans="1:19" x14ac:dyDescent="0.3">
      <c r="A702" s="4">
        <v>39218</v>
      </c>
      <c r="B702" s="4" t="s">
        <v>28</v>
      </c>
      <c r="C702" s="4" t="s">
        <v>15</v>
      </c>
      <c r="D702" s="4" t="s">
        <v>16</v>
      </c>
      <c r="E702" s="4" t="s">
        <v>51</v>
      </c>
      <c r="F702" s="4" t="str">
        <f t="shared" si="10"/>
        <v>2MC</v>
      </c>
      <c r="G702" s="5">
        <v>46247</v>
      </c>
      <c r="H702" s="6">
        <v>0.61805555555555558</v>
      </c>
      <c r="I702" s="5">
        <v>46247</v>
      </c>
      <c r="J702" s="5">
        <v>46247</v>
      </c>
      <c r="K702" s="5">
        <v>46248</v>
      </c>
      <c r="L702" s="4" t="s">
        <v>97</v>
      </c>
      <c r="M702" s="4">
        <v>1318</v>
      </c>
      <c r="N702" s="4" t="s">
        <v>208</v>
      </c>
      <c r="O702" s="4" t="s">
        <v>27</v>
      </c>
      <c r="P702" s="4">
        <v>32356</v>
      </c>
      <c r="Q702" s="4" t="s">
        <v>19</v>
      </c>
      <c r="R702" s="4">
        <v>46506</v>
      </c>
      <c r="S702" s="4" t="s">
        <v>324</v>
      </c>
    </row>
    <row r="703" spans="1:19" x14ac:dyDescent="0.3">
      <c r="A703" s="4">
        <v>39219</v>
      </c>
      <c r="B703" s="4" t="s">
        <v>28</v>
      </c>
      <c r="C703" s="4" t="s">
        <v>15</v>
      </c>
      <c r="D703" s="4" t="s">
        <v>16</v>
      </c>
      <c r="E703" s="4" t="s">
        <v>53</v>
      </c>
      <c r="F703" s="4" t="str">
        <f t="shared" si="10"/>
        <v>3MC</v>
      </c>
      <c r="G703" s="5">
        <v>46247</v>
      </c>
      <c r="H703" s="6">
        <v>0.61805555555555558</v>
      </c>
      <c r="I703" s="5">
        <v>46247</v>
      </c>
      <c r="J703" s="5">
        <v>46247</v>
      </c>
      <c r="K703" s="5">
        <v>46248</v>
      </c>
      <c r="L703" s="4" t="s">
        <v>97</v>
      </c>
      <c r="M703" s="4">
        <v>1318</v>
      </c>
      <c r="N703" s="4" t="s">
        <v>208</v>
      </c>
      <c r="O703" s="4" t="s">
        <v>27</v>
      </c>
      <c r="P703" s="4">
        <v>32357</v>
      </c>
      <c r="Q703" s="4" t="s">
        <v>19</v>
      </c>
      <c r="R703" s="4">
        <v>46507</v>
      </c>
      <c r="S703" s="4" t="s">
        <v>324</v>
      </c>
    </row>
    <row r="704" spans="1:19" x14ac:dyDescent="0.3">
      <c r="A704" s="4">
        <v>39220</v>
      </c>
      <c r="B704" s="4" t="s">
        <v>28</v>
      </c>
      <c r="C704" s="4" t="s">
        <v>15</v>
      </c>
      <c r="D704" s="4" t="s">
        <v>16</v>
      </c>
      <c r="E704" s="4" t="s">
        <v>52</v>
      </c>
      <c r="F704" s="4" t="str">
        <f t="shared" si="10"/>
        <v>6MC</v>
      </c>
      <c r="G704" s="5">
        <v>46247</v>
      </c>
      <c r="H704" s="6">
        <v>0.61805555555555558</v>
      </c>
      <c r="I704" s="5">
        <v>46247</v>
      </c>
      <c r="J704" s="5">
        <v>46247</v>
      </c>
      <c r="K704" s="5">
        <v>46248</v>
      </c>
      <c r="L704" s="4" t="s">
        <v>97</v>
      </c>
      <c r="M704" s="4">
        <v>1318</v>
      </c>
      <c r="N704" s="4" t="s">
        <v>208</v>
      </c>
      <c r="O704" s="4" t="s">
        <v>27</v>
      </c>
      <c r="P704" s="4">
        <v>32358</v>
      </c>
      <c r="Q704" s="4" t="s">
        <v>19</v>
      </c>
      <c r="R704" s="4">
        <v>46508</v>
      </c>
      <c r="S704" s="4" t="s">
        <v>324</v>
      </c>
    </row>
    <row r="705" spans="1:19" x14ac:dyDescent="0.3">
      <c r="A705" s="4">
        <v>39230</v>
      </c>
      <c r="B705" s="4" t="s">
        <v>28</v>
      </c>
      <c r="C705" s="4" t="s">
        <v>15</v>
      </c>
      <c r="D705" s="4" t="s">
        <v>16</v>
      </c>
      <c r="E705" s="4" t="s">
        <v>121</v>
      </c>
      <c r="F705" s="4" t="str">
        <f t="shared" si="10"/>
        <v>2MC</v>
      </c>
      <c r="G705" s="5">
        <v>46247</v>
      </c>
      <c r="H705" s="6">
        <v>0.65138888888888891</v>
      </c>
      <c r="I705" s="5">
        <v>46247</v>
      </c>
      <c r="J705" s="5">
        <v>46247</v>
      </c>
      <c r="K705" s="5">
        <v>46248</v>
      </c>
      <c r="L705" s="4" t="s">
        <v>325</v>
      </c>
      <c r="M705" s="4" t="s">
        <v>155</v>
      </c>
      <c r="N705" s="4" t="s">
        <v>208</v>
      </c>
      <c r="O705" s="4" t="s">
        <v>18</v>
      </c>
      <c r="P705" s="4">
        <v>32365</v>
      </c>
      <c r="Q705" s="4" t="s">
        <v>123</v>
      </c>
      <c r="S705" s="4" t="s">
        <v>22</v>
      </c>
    </row>
    <row r="706" spans="1:19" x14ac:dyDescent="0.3">
      <c r="A706" s="4">
        <v>39231</v>
      </c>
      <c r="B706" s="4" t="s">
        <v>28</v>
      </c>
      <c r="C706" s="4" t="s">
        <v>15</v>
      </c>
      <c r="D706" s="4" t="s">
        <v>16</v>
      </c>
      <c r="E706" s="4" t="s">
        <v>53</v>
      </c>
      <c r="F706" s="4" t="str">
        <f t="shared" ref="F706:F769" si="11">MID(E706,1,3)</f>
        <v>3MC</v>
      </c>
      <c r="G706" s="5">
        <v>46247</v>
      </c>
      <c r="H706" s="6">
        <v>0.65138888888888891</v>
      </c>
      <c r="I706" s="5">
        <v>46247</v>
      </c>
      <c r="J706" s="5">
        <v>46247</v>
      </c>
      <c r="K706" s="5">
        <v>46248</v>
      </c>
      <c r="L706" s="4" t="s">
        <v>325</v>
      </c>
      <c r="M706" s="4" t="s">
        <v>155</v>
      </c>
      <c r="N706" s="4" t="s">
        <v>208</v>
      </c>
      <c r="O706" s="4" t="s">
        <v>18</v>
      </c>
      <c r="P706" s="4">
        <v>32366</v>
      </c>
      <c r="Q706" s="4" t="s">
        <v>123</v>
      </c>
      <c r="S706" s="4" t="s">
        <v>22</v>
      </c>
    </row>
    <row r="707" spans="1:19" x14ac:dyDescent="0.3">
      <c r="A707" s="4">
        <v>39232</v>
      </c>
      <c r="B707" s="4" t="s">
        <v>28</v>
      </c>
      <c r="C707" s="4" t="s">
        <v>15</v>
      </c>
      <c r="D707" s="4" t="s">
        <v>16</v>
      </c>
      <c r="E707" s="4" t="s">
        <v>111</v>
      </c>
      <c r="F707" s="4" t="str">
        <f t="shared" si="11"/>
        <v>6MC</v>
      </c>
      <c r="G707" s="5">
        <v>46247</v>
      </c>
      <c r="H707" s="6">
        <v>0.65138888888888891</v>
      </c>
      <c r="I707" s="5">
        <v>46247</v>
      </c>
      <c r="J707" s="5">
        <v>46247</v>
      </c>
      <c r="K707" s="5">
        <v>46248</v>
      </c>
      <c r="L707" s="4" t="s">
        <v>325</v>
      </c>
      <c r="M707" s="4" t="s">
        <v>155</v>
      </c>
      <c r="N707" s="4" t="s">
        <v>208</v>
      </c>
      <c r="O707" s="4" t="s">
        <v>18</v>
      </c>
      <c r="P707" s="4">
        <v>32367</v>
      </c>
      <c r="Q707" s="4" t="s">
        <v>123</v>
      </c>
      <c r="S707" s="4" t="s">
        <v>22</v>
      </c>
    </row>
    <row r="708" spans="1:19" x14ac:dyDescent="0.3">
      <c r="A708" s="4">
        <v>39241</v>
      </c>
      <c r="B708" s="4" t="s">
        <v>28</v>
      </c>
      <c r="C708" s="4" t="s">
        <v>15</v>
      </c>
      <c r="D708" s="4" t="s">
        <v>23</v>
      </c>
      <c r="E708" s="4" t="s">
        <v>51</v>
      </c>
      <c r="F708" s="4" t="str">
        <f t="shared" si="11"/>
        <v>2MC</v>
      </c>
      <c r="G708" s="5">
        <v>46248</v>
      </c>
      <c r="H708" s="6">
        <v>0.35625000000000001</v>
      </c>
      <c r="I708" s="5">
        <v>46248</v>
      </c>
      <c r="J708" s="5"/>
      <c r="K708" s="5">
        <v>46249</v>
      </c>
      <c r="L708" s="4" t="s">
        <v>326</v>
      </c>
      <c r="M708" s="4" t="s">
        <v>130</v>
      </c>
      <c r="N708" s="4" t="s">
        <v>208</v>
      </c>
      <c r="O708" s="4" t="s">
        <v>27</v>
      </c>
      <c r="P708" s="4">
        <v>32374</v>
      </c>
      <c r="Q708" s="4" t="s">
        <v>123</v>
      </c>
      <c r="S708" s="4" t="s">
        <v>71</v>
      </c>
    </row>
    <row r="709" spans="1:19" x14ac:dyDescent="0.3">
      <c r="A709" s="4">
        <v>39242</v>
      </c>
      <c r="B709" s="4" t="s">
        <v>28</v>
      </c>
      <c r="C709" s="4" t="s">
        <v>124</v>
      </c>
      <c r="D709" s="4" t="s">
        <v>23</v>
      </c>
      <c r="E709" s="4" t="s">
        <v>53</v>
      </c>
      <c r="F709" s="4" t="str">
        <f t="shared" si="11"/>
        <v>3MC</v>
      </c>
      <c r="G709" s="5">
        <v>46248</v>
      </c>
      <c r="H709" s="6">
        <v>0.35625000000000001</v>
      </c>
      <c r="I709" s="5">
        <v>46248</v>
      </c>
      <c r="J709" s="5"/>
      <c r="K709" s="5"/>
      <c r="L709" s="4" t="s">
        <v>326</v>
      </c>
      <c r="M709" s="4" t="s">
        <v>130</v>
      </c>
      <c r="N709" s="4" t="s">
        <v>208</v>
      </c>
      <c r="O709" s="4" t="s">
        <v>27</v>
      </c>
      <c r="P709" s="4">
        <v>32375</v>
      </c>
      <c r="Q709" s="4" t="s">
        <v>123</v>
      </c>
      <c r="S709" s="4" t="s">
        <v>71</v>
      </c>
    </row>
    <row r="710" spans="1:19" x14ac:dyDescent="0.3">
      <c r="A710" s="4">
        <v>39243</v>
      </c>
      <c r="B710" s="4" t="s">
        <v>28</v>
      </c>
      <c r="C710" s="4" t="s">
        <v>15</v>
      </c>
      <c r="D710" s="4" t="s">
        <v>23</v>
      </c>
      <c r="E710" s="4" t="s">
        <v>52</v>
      </c>
      <c r="F710" s="4" t="str">
        <f t="shared" si="11"/>
        <v>6MC</v>
      </c>
      <c r="G710" s="5">
        <v>46248</v>
      </c>
      <c r="H710" s="6">
        <v>0.35625000000000001</v>
      </c>
      <c r="I710" s="5">
        <v>46248</v>
      </c>
      <c r="J710" s="5"/>
      <c r="K710" s="5">
        <v>46249</v>
      </c>
      <c r="L710" s="4" t="s">
        <v>326</v>
      </c>
      <c r="M710" s="4" t="s">
        <v>130</v>
      </c>
      <c r="N710" s="4" t="s">
        <v>208</v>
      </c>
      <c r="O710" s="4" t="s">
        <v>27</v>
      </c>
      <c r="P710" s="4">
        <v>32376</v>
      </c>
      <c r="Q710" s="4" t="s">
        <v>123</v>
      </c>
      <c r="S710" s="4" t="s">
        <v>71</v>
      </c>
    </row>
    <row r="711" spans="1:19" x14ac:dyDescent="0.3">
      <c r="A711" s="4">
        <v>39247</v>
      </c>
      <c r="B711" s="4" t="s">
        <v>28</v>
      </c>
      <c r="C711" s="4" t="s">
        <v>124</v>
      </c>
      <c r="D711" s="4" t="s">
        <v>23</v>
      </c>
      <c r="E711" s="4" t="s">
        <v>51</v>
      </c>
      <c r="F711" s="4" t="str">
        <f t="shared" si="11"/>
        <v>2MC</v>
      </c>
      <c r="G711" s="5">
        <v>46248</v>
      </c>
      <c r="H711" s="6">
        <v>0.41111111111111115</v>
      </c>
      <c r="I711" s="5">
        <v>46248</v>
      </c>
      <c r="J711" s="5"/>
      <c r="K711" s="5"/>
      <c r="L711" s="4" t="s">
        <v>327</v>
      </c>
      <c r="M711" s="4" t="s">
        <v>130</v>
      </c>
      <c r="N711" s="4" t="s">
        <v>208</v>
      </c>
      <c r="O711" s="4" t="s">
        <v>18</v>
      </c>
      <c r="P711" s="4">
        <v>32380</v>
      </c>
      <c r="Q711" s="4" t="s">
        <v>123</v>
      </c>
      <c r="S711" s="4" t="s">
        <v>224</v>
      </c>
    </row>
    <row r="712" spans="1:19" x14ac:dyDescent="0.3">
      <c r="A712" s="4">
        <v>39248</v>
      </c>
      <c r="B712" s="4" t="s">
        <v>28</v>
      </c>
      <c r="C712" s="4" t="s">
        <v>124</v>
      </c>
      <c r="D712" s="4" t="s">
        <v>23</v>
      </c>
      <c r="E712" s="4" t="s">
        <v>53</v>
      </c>
      <c r="F712" s="4" t="str">
        <f t="shared" si="11"/>
        <v>3MC</v>
      </c>
      <c r="G712" s="5">
        <v>46248</v>
      </c>
      <c r="H712" s="6">
        <v>0.41111111111111115</v>
      </c>
      <c r="I712" s="5">
        <v>46248</v>
      </c>
      <c r="J712" s="5"/>
      <c r="K712" s="5"/>
      <c r="L712" s="4" t="s">
        <v>327</v>
      </c>
      <c r="M712" s="4" t="s">
        <v>130</v>
      </c>
      <c r="N712" s="4" t="s">
        <v>208</v>
      </c>
      <c r="O712" s="4" t="s">
        <v>18</v>
      </c>
      <c r="P712" s="4">
        <v>32381</v>
      </c>
      <c r="Q712" s="4" t="s">
        <v>123</v>
      </c>
      <c r="S712" s="4" t="s">
        <v>224</v>
      </c>
    </row>
    <row r="713" spans="1:19" x14ac:dyDescent="0.3">
      <c r="A713" s="4">
        <v>39249</v>
      </c>
      <c r="B713" s="4" t="s">
        <v>28</v>
      </c>
      <c r="C713" s="4" t="s">
        <v>15</v>
      </c>
      <c r="D713" s="4" t="s">
        <v>23</v>
      </c>
      <c r="E713" s="4" t="s">
        <v>52</v>
      </c>
      <c r="F713" s="4" t="str">
        <f t="shared" si="11"/>
        <v>6MC</v>
      </c>
      <c r="G713" s="5">
        <v>46248</v>
      </c>
      <c r="H713" s="6">
        <v>0.41111111111111115</v>
      </c>
      <c r="I713" s="5">
        <v>46248</v>
      </c>
      <c r="K713" s="5">
        <v>46252</v>
      </c>
      <c r="L713" s="4" t="s">
        <v>327</v>
      </c>
      <c r="M713" s="4" t="s">
        <v>130</v>
      </c>
      <c r="N713" s="4" t="s">
        <v>208</v>
      </c>
      <c r="O713" s="4" t="s">
        <v>18</v>
      </c>
      <c r="P713" s="4">
        <v>32382</v>
      </c>
      <c r="Q713" s="4" t="s">
        <v>123</v>
      </c>
      <c r="S713" s="4" t="s">
        <v>224</v>
      </c>
    </row>
    <row r="714" spans="1:19" x14ac:dyDescent="0.3">
      <c r="A714" s="4">
        <v>39258</v>
      </c>
      <c r="B714" s="4" t="s">
        <v>28</v>
      </c>
      <c r="C714" s="4" t="s">
        <v>15</v>
      </c>
      <c r="D714" s="4" t="s">
        <v>23</v>
      </c>
      <c r="E714" s="4" t="s">
        <v>115</v>
      </c>
      <c r="F714" s="4" t="str">
        <f t="shared" si="11"/>
        <v>2ML</v>
      </c>
      <c r="G714" s="5">
        <v>46248</v>
      </c>
      <c r="H714" s="6">
        <v>0.52986111111111112</v>
      </c>
      <c r="I714" s="5">
        <v>46248</v>
      </c>
      <c r="K714" s="5">
        <v>46252</v>
      </c>
      <c r="L714" s="4" t="s">
        <v>92</v>
      </c>
      <c r="M714" s="4" t="s">
        <v>129</v>
      </c>
      <c r="N714" s="4" t="s">
        <v>208</v>
      </c>
      <c r="O714" s="4" t="s">
        <v>24</v>
      </c>
      <c r="P714" s="4">
        <v>32390</v>
      </c>
      <c r="Q714" s="4" t="s">
        <v>123</v>
      </c>
      <c r="S714" s="4" t="s">
        <v>38</v>
      </c>
    </row>
    <row r="715" spans="1:19" x14ac:dyDescent="0.3">
      <c r="A715" s="4">
        <v>39259</v>
      </c>
      <c r="B715" s="4" t="s">
        <v>28</v>
      </c>
      <c r="C715" s="4" t="s">
        <v>124</v>
      </c>
      <c r="D715" s="4" t="s">
        <v>23</v>
      </c>
      <c r="E715" s="4" t="s">
        <v>116</v>
      </c>
      <c r="F715" s="4" t="str">
        <f t="shared" si="11"/>
        <v>3ML</v>
      </c>
      <c r="G715" s="5">
        <v>46248</v>
      </c>
      <c r="H715" s="6">
        <v>0.52986111111111112</v>
      </c>
      <c r="I715" s="5">
        <v>46248</v>
      </c>
      <c r="L715" s="4" t="s">
        <v>92</v>
      </c>
      <c r="M715" s="4" t="s">
        <v>129</v>
      </c>
      <c r="N715" s="4" t="s">
        <v>208</v>
      </c>
      <c r="O715" s="4" t="s">
        <v>24</v>
      </c>
      <c r="P715" s="4">
        <v>32391</v>
      </c>
      <c r="Q715" s="4" t="s">
        <v>123</v>
      </c>
      <c r="S715" s="4" t="s">
        <v>38</v>
      </c>
    </row>
    <row r="716" spans="1:19" x14ac:dyDescent="0.3">
      <c r="A716" s="4">
        <v>39260</v>
      </c>
      <c r="B716" s="4" t="s">
        <v>28</v>
      </c>
      <c r="C716" s="4" t="s">
        <v>15</v>
      </c>
      <c r="D716" s="4" t="s">
        <v>23</v>
      </c>
      <c r="E716" s="4" t="s">
        <v>117</v>
      </c>
      <c r="F716" s="4" t="str">
        <f t="shared" si="11"/>
        <v>6ML</v>
      </c>
      <c r="G716" s="5">
        <v>46248</v>
      </c>
      <c r="H716" s="6">
        <v>0.52986111111111112</v>
      </c>
      <c r="I716" s="5">
        <v>46248</v>
      </c>
      <c r="K716" s="5">
        <v>46249</v>
      </c>
      <c r="L716" s="4" t="s">
        <v>92</v>
      </c>
      <c r="M716" s="4" t="s">
        <v>129</v>
      </c>
      <c r="N716" s="4" t="s">
        <v>208</v>
      </c>
      <c r="O716" s="4" t="s">
        <v>24</v>
      </c>
      <c r="P716" s="4">
        <v>32392</v>
      </c>
      <c r="Q716" s="4" t="s">
        <v>123</v>
      </c>
      <c r="S716" s="4" t="s">
        <v>38</v>
      </c>
    </row>
    <row r="717" spans="1:19" x14ac:dyDescent="0.3">
      <c r="A717" s="4">
        <v>39266</v>
      </c>
      <c r="B717" s="4" t="s">
        <v>28</v>
      </c>
      <c r="C717" s="4" t="s">
        <v>15</v>
      </c>
      <c r="D717" s="4" t="s">
        <v>23</v>
      </c>
      <c r="E717" s="4" t="s">
        <v>115</v>
      </c>
      <c r="F717" s="4" t="str">
        <f t="shared" si="11"/>
        <v>2ML</v>
      </c>
      <c r="G717" s="5">
        <v>46248</v>
      </c>
      <c r="H717" s="6">
        <v>0.66180555555555554</v>
      </c>
      <c r="I717" s="5">
        <v>46248</v>
      </c>
      <c r="J717" s="5">
        <v>46248</v>
      </c>
      <c r="K717" s="5">
        <v>46252</v>
      </c>
      <c r="L717" s="4" t="s">
        <v>70</v>
      </c>
      <c r="M717" s="4" t="s">
        <v>129</v>
      </c>
      <c r="N717" s="4" t="s">
        <v>208</v>
      </c>
      <c r="O717" s="4" t="s">
        <v>24</v>
      </c>
      <c r="P717" s="4">
        <v>32397</v>
      </c>
      <c r="Q717" s="4" t="s">
        <v>123</v>
      </c>
      <c r="S717" s="4" t="s">
        <v>38</v>
      </c>
    </row>
    <row r="718" spans="1:19" x14ac:dyDescent="0.3">
      <c r="A718" s="4">
        <v>39267</v>
      </c>
      <c r="B718" s="4" t="s">
        <v>28</v>
      </c>
      <c r="C718" s="4" t="s">
        <v>15</v>
      </c>
      <c r="D718" s="4" t="s">
        <v>23</v>
      </c>
      <c r="E718" s="4" t="s">
        <v>116</v>
      </c>
      <c r="F718" s="4" t="str">
        <f t="shared" si="11"/>
        <v>3ML</v>
      </c>
      <c r="G718" s="5">
        <v>46248</v>
      </c>
      <c r="H718" s="6">
        <v>0.66180555555555554</v>
      </c>
      <c r="I718" s="5">
        <v>46248</v>
      </c>
      <c r="J718" s="5">
        <v>46248</v>
      </c>
      <c r="K718" s="5">
        <v>46252</v>
      </c>
      <c r="L718" s="4" t="s">
        <v>70</v>
      </c>
      <c r="M718" s="4" t="s">
        <v>129</v>
      </c>
      <c r="N718" s="4" t="s">
        <v>208</v>
      </c>
      <c r="O718" s="4" t="s">
        <v>24</v>
      </c>
      <c r="P718" s="4">
        <v>32398</v>
      </c>
      <c r="Q718" s="4" t="s">
        <v>123</v>
      </c>
      <c r="S718" s="4" t="s">
        <v>38</v>
      </c>
    </row>
    <row r="719" spans="1:19" x14ac:dyDescent="0.3">
      <c r="A719" s="4">
        <v>39268</v>
      </c>
      <c r="B719" s="4" t="s">
        <v>28</v>
      </c>
      <c r="C719" s="4" t="s">
        <v>15</v>
      </c>
      <c r="D719" s="4" t="s">
        <v>23</v>
      </c>
      <c r="E719" s="4" t="s">
        <v>117</v>
      </c>
      <c r="F719" s="4" t="str">
        <f t="shared" si="11"/>
        <v>6ML</v>
      </c>
      <c r="G719" s="5">
        <v>46248</v>
      </c>
      <c r="H719" s="6">
        <v>0.66180555555555554</v>
      </c>
      <c r="I719" s="5">
        <v>46248</v>
      </c>
      <c r="J719" s="5">
        <v>46248</v>
      </c>
      <c r="K719" s="5">
        <v>46252</v>
      </c>
      <c r="L719" s="4" t="s">
        <v>70</v>
      </c>
      <c r="M719" s="4" t="s">
        <v>129</v>
      </c>
      <c r="N719" s="4" t="s">
        <v>208</v>
      </c>
      <c r="O719" s="4" t="s">
        <v>24</v>
      </c>
      <c r="P719" s="4">
        <v>32399</v>
      </c>
      <c r="Q719" s="4" t="s">
        <v>123</v>
      </c>
      <c r="S719" s="4" t="s">
        <v>38</v>
      </c>
    </row>
    <row r="720" spans="1:19" x14ac:dyDescent="0.3">
      <c r="A720" s="4">
        <v>39336</v>
      </c>
      <c r="B720" s="4" t="s">
        <v>28</v>
      </c>
      <c r="C720" s="4" t="s">
        <v>124</v>
      </c>
      <c r="D720" s="4" t="s">
        <v>23</v>
      </c>
      <c r="E720" s="4" t="s">
        <v>113</v>
      </c>
      <c r="F720" s="4" t="str">
        <f t="shared" si="11"/>
        <v>2MC</v>
      </c>
      <c r="G720" s="5">
        <v>46252</v>
      </c>
      <c r="H720" s="6">
        <v>0.63055555555555554</v>
      </c>
      <c r="I720" s="5">
        <v>46252</v>
      </c>
      <c r="J720" s="5">
        <v>46252</v>
      </c>
      <c r="K720" s="5">
        <v>46252</v>
      </c>
      <c r="L720" s="4" t="s">
        <v>328</v>
      </c>
      <c r="M720" s="4" t="s">
        <v>128</v>
      </c>
      <c r="N720" s="4" t="s">
        <v>208</v>
      </c>
      <c r="O720" s="4" t="s">
        <v>18</v>
      </c>
      <c r="P720" s="4">
        <v>32435</v>
      </c>
      <c r="Q720" s="4" t="s">
        <v>123</v>
      </c>
      <c r="S720" s="4" t="s">
        <v>22</v>
      </c>
    </row>
    <row r="721" spans="1:19" x14ac:dyDescent="0.3">
      <c r="A721" s="4">
        <v>39337</v>
      </c>
      <c r="B721" s="4" t="s">
        <v>28</v>
      </c>
      <c r="C721" s="4" t="s">
        <v>124</v>
      </c>
      <c r="D721" s="4" t="s">
        <v>23</v>
      </c>
      <c r="E721" s="4" t="s">
        <v>122</v>
      </c>
      <c r="F721" s="4" t="str">
        <f t="shared" si="11"/>
        <v>3MC</v>
      </c>
      <c r="G721" s="5">
        <v>46252</v>
      </c>
      <c r="H721" s="6">
        <v>0.63055555555555554</v>
      </c>
      <c r="I721" s="5">
        <v>46252</v>
      </c>
      <c r="J721" s="5">
        <v>46252</v>
      </c>
      <c r="K721" s="5">
        <v>46252</v>
      </c>
      <c r="L721" s="4" t="s">
        <v>328</v>
      </c>
      <c r="M721" s="4" t="s">
        <v>128</v>
      </c>
      <c r="N721" s="4" t="s">
        <v>208</v>
      </c>
      <c r="O721" s="4" t="s">
        <v>18</v>
      </c>
      <c r="P721" s="4">
        <v>32436</v>
      </c>
      <c r="Q721" s="4" t="s">
        <v>123</v>
      </c>
      <c r="S721" s="4" t="s">
        <v>22</v>
      </c>
    </row>
    <row r="722" spans="1:19" x14ac:dyDescent="0.3">
      <c r="A722" s="4">
        <v>39338</v>
      </c>
      <c r="B722" s="4" t="s">
        <v>28</v>
      </c>
      <c r="C722" s="4" t="s">
        <v>124</v>
      </c>
      <c r="D722" s="4" t="s">
        <v>23</v>
      </c>
      <c r="E722" s="4" t="s">
        <v>114</v>
      </c>
      <c r="F722" s="4" t="str">
        <f t="shared" si="11"/>
        <v>6MC</v>
      </c>
      <c r="G722" s="5">
        <v>46252</v>
      </c>
      <c r="H722" s="6">
        <v>0.63055555555555554</v>
      </c>
      <c r="I722" s="5">
        <v>46252</v>
      </c>
      <c r="J722" s="5">
        <v>46252</v>
      </c>
      <c r="K722" s="5">
        <v>46252</v>
      </c>
      <c r="L722" s="4" t="s">
        <v>328</v>
      </c>
      <c r="M722" s="4" t="s">
        <v>128</v>
      </c>
      <c r="N722" s="4" t="s">
        <v>208</v>
      </c>
      <c r="O722" s="4" t="s">
        <v>18</v>
      </c>
      <c r="P722" s="4">
        <v>32437</v>
      </c>
      <c r="Q722" s="4" t="s">
        <v>123</v>
      </c>
      <c r="S722" s="4" t="s">
        <v>22</v>
      </c>
    </row>
    <row r="723" spans="1:19" x14ac:dyDescent="0.3">
      <c r="A723" s="4">
        <v>39525</v>
      </c>
      <c r="B723" s="4" t="s">
        <v>28</v>
      </c>
      <c r="C723" s="4" t="s">
        <v>124</v>
      </c>
      <c r="D723" s="4" t="s">
        <v>23</v>
      </c>
      <c r="E723" s="4" t="s">
        <v>115</v>
      </c>
      <c r="F723" s="4" t="str">
        <f t="shared" si="11"/>
        <v>2ML</v>
      </c>
      <c r="G723" s="5">
        <v>46254</v>
      </c>
      <c r="H723" s="6">
        <v>0.32430555555555557</v>
      </c>
      <c r="I723" s="5">
        <v>46254</v>
      </c>
      <c r="L723" s="4" t="s">
        <v>36</v>
      </c>
      <c r="M723" s="4" t="s">
        <v>129</v>
      </c>
      <c r="N723" s="4" t="s">
        <v>208</v>
      </c>
      <c r="O723" s="4" t="s">
        <v>24</v>
      </c>
      <c r="P723" s="4">
        <v>32533</v>
      </c>
      <c r="Q723" s="4" t="s">
        <v>123</v>
      </c>
      <c r="S723" s="4" t="s">
        <v>38</v>
      </c>
    </row>
    <row r="724" spans="1:19" x14ac:dyDescent="0.3">
      <c r="A724" s="4">
        <v>39526</v>
      </c>
      <c r="B724" s="4" t="s">
        <v>28</v>
      </c>
      <c r="C724" s="4" t="s">
        <v>124</v>
      </c>
      <c r="D724" s="4" t="s">
        <v>23</v>
      </c>
      <c r="E724" s="4" t="s">
        <v>116</v>
      </c>
      <c r="F724" s="4" t="str">
        <f t="shared" si="11"/>
        <v>3ML</v>
      </c>
      <c r="G724" s="5">
        <v>46254</v>
      </c>
      <c r="H724" s="6">
        <v>0.32430555555555557</v>
      </c>
      <c r="I724" s="5">
        <v>46254</v>
      </c>
      <c r="L724" s="4" t="s">
        <v>36</v>
      </c>
      <c r="M724" s="4" t="s">
        <v>129</v>
      </c>
      <c r="N724" s="4" t="s">
        <v>208</v>
      </c>
      <c r="O724" s="4" t="s">
        <v>24</v>
      </c>
      <c r="P724" s="4">
        <v>32534</v>
      </c>
      <c r="Q724" s="4" t="s">
        <v>123</v>
      </c>
      <c r="S724" s="4" t="s">
        <v>38</v>
      </c>
    </row>
    <row r="725" spans="1:19" x14ac:dyDescent="0.3">
      <c r="A725" s="4">
        <v>39527</v>
      </c>
      <c r="B725" s="4" t="s">
        <v>28</v>
      </c>
      <c r="C725" s="4" t="s">
        <v>124</v>
      </c>
      <c r="D725" s="4" t="s">
        <v>23</v>
      </c>
      <c r="E725" s="4" t="s">
        <v>117</v>
      </c>
      <c r="F725" s="4" t="str">
        <f t="shared" si="11"/>
        <v>6ML</v>
      </c>
      <c r="G725" s="5">
        <v>46254</v>
      </c>
      <c r="H725" s="6">
        <v>0.32430555555555557</v>
      </c>
      <c r="I725" s="5">
        <v>46254</v>
      </c>
      <c r="L725" s="4" t="s">
        <v>36</v>
      </c>
      <c r="M725" s="4" t="s">
        <v>129</v>
      </c>
      <c r="N725" s="4" t="s">
        <v>208</v>
      </c>
      <c r="O725" s="4" t="s">
        <v>24</v>
      </c>
      <c r="P725" s="4">
        <v>32535</v>
      </c>
      <c r="Q725" s="4" t="s">
        <v>123</v>
      </c>
      <c r="S725" s="4" t="s">
        <v>38</v>
      </c>
    </row>
    <row r="726" spans="1:19" x14ac:dyDescent="0.3">
      <c r="A726" s="4">
        <v>39541</v>
      </c>
      <c r="B726" s="4" t="s">
        <v>28</v>
      </c>
      <c r="C726" s="4" t="s">
        <v>124</v>
      </c>
      <c r="D726" s="4" t="s">
        <v>23</v>
      </c>
      <c r="E726" s="4" t="s">
        <v>51</v>
      </c>
      <c r="F726" s="4" t="str">
        <f t="shared" si="11"/>
        <v>2MC</v>
      </c>
      <c r="G726" s="5">
        <v>46254</v>
      </c>
      <c r="H726" s="6">
        <v>0.53541666666666665</v>
      </c>
      <c r="I726" s="5">
        <v>46254</v>
      </c>
      <c r="J726" s="5"/>
      <c r="K726" s="5"/>
      <c r="L726" s="4" t="s">
        <v>329</v>
      </c>
      <c r="M726" s="4" t="s">
        <v>178</v>
      </c>
      <c r="N726" s="4" t="s">
        <v>208</v>
      </c>
      <c r="O726" s="4" t="s">
        <v>18</v>
      </c>
      <c r="P726" s="4">
        <v>32550</v>
      </c>
      <c r="Q726" s="4" t="s">
        <v>123</v>
      </c>
      <c r="S726" s="4" t="s">
        <v>224</v>
      </c>
    </row>
    <row r="727" spans="1:19" x14ac:dyDescent="0.3">
      <c r="A727" s="4">
        <v>39542</v>
      </c>
      <c r="B727" s="4" t="s">
        <v>28</v>
      </c>
      <c r="C727" s="4" t="s">
        <v>124</v>
      </c>
      <c r="D727" s="4" t="s">
        <v>23</v>
      </c>
      <c r="E727" s="4" t="s">
        <v>53</v>
      </c>
      <c r="F727" s="4" t="str">
        <f t="shared" si="11"/>
        <v>3MC</v>
      </c>
      <c r="G727" s="5">
        <v>46254</v>
      </c>
      <c r="H727" s="6">
        <v>0.53541666666666665</v>
      </c>
      <c r="I727" s="5">
        <v>46254</v>
      </c>
      <c r="J727" s="5"/>
      <c r="K727" s="5"/>
      <c r="L727" s="4" t="s">
        <v>329</v>
      </c>
      <c r="M727" s="4" t="s">
        <v>178</v>
      </c>
      <c r="N727" s="4" t="s">
        <v>208</v>
      </c>
      <c r="O727" s="4" t="s">
        <v>18</v>
      </c>
      <c r="P727" s="4">
        <v>32549</v>
      </c>
      <c r="Q727" s="4" t="s">
        <v>123</v>
      </c>
      <c r="S727" s="4" t="s">
        <v>224</v>
      </c>
    </row>
    <row r="728" spans="1:19" x14ac:dyDescent="0.3">
      <c r="A728" s="4">
        <v>39543</v>
      </c>
      <c r="B728" s="4" t="s">
        <v>28</v>
      </c>
      <c r="C728" s="4" t="s">
        <v>124</v>
      </c>
      <c r="D728" s="4" t="s">
        <v>23</v>
      </c>
      <c r="E728" s="4" t="s">
        <v>112</v>
      </c>
      <c r="F728" s="4" t="str">
        <f t="shared" si="11"/>
        <v>6MC</v>
      </c>
      <c r="G728" s="5">
        <v>46254</v>
      </c>
      <c r="H728" s="6">
        <v>0.53541666666666665</v>
      </c>
      <c r="I728" s="5">
        <v>46254</v>
      </c>
      <c r="J728" s="5"/>
      <c r="K728" s="5"/>
      <c r="L728" s="4" t="s">
        <v>329</v>
      </c>
      <c r="M728" s="4" t="s">
        <v>178</v>
      </c>
      <c r="N728" s="4" t="s">
        <v>208</v>
      </c>
      <c r="O728" s="4" t="s">
        <v>18</v>
      </c>
      <c r="P728" s="4">
        <v>32548</v>
      </c>
      <c r="Q728" s="4" t="s">
        <v>123</v>
      </c>
      <c r="S728" s="4" t="s">
        <v>224</v>
      </c>
    </row>
    <row r="729" spans="1:19" x14ac:dyDescent="0.3">
      <c r="A729" s="4">
        <v>39553</v>
      </c>
      <c r="B729" s="4" t="s">
        <v>28</v>
      </c>
      <c r="C729" s="4" t="s">
        <v>124</v>
      </c>
      <c r="D729" s="4" t="s">
        <v>23</v>
      </c>
      <c r="E729" s="4" t="s">
        <v>115</v>
      </c>
      <c r="F729" s="4" t="str">
        <f t="shared" si="11"/>
        <v>2ML</v>
      </c>
      <c r="G729" s="5">
        <v>46254</v>
      </c>
      <c r="H729" s="6">
        <v>0.61458333333333337</v>
      </c>
      <c r="I729" s="5">
        <v>46254</v>
      </c>
      <c r="J729" s="5">
        <v>46254</v>
      </c>
      <c r="K729" s="5">
        <v>46254</v>
      </c>
      <c r="L729" s="4" t="s">
        <v>75</v>
      </c>
      <c r="M729" s="4" t="s">
        <v>129</v>
      </c>
      <c r="N729" s="4" t="s">
        <v>208</v>
      </c>
      <c r="O729" s="4" t="s">
        <v>24</v>
      </c>
      <c r="P729" s="4">
        <v>32553</v>
      </c>
      <c r="Q729" s="4" t="s">
        <v>123</v>
      </c>
      <c r="S729" s="4" t="s">
        <v>38</v>
      </c>
    </row>
    <row r="730" spans="1:19" x14ac:dyDescent="0.3">
      <c r="A730" s="4">
        <v>39554</v>
      </c>
      <c r="B730" s="4" t="s">
        <v>28</v>
      </c>
      <c r="C730" s="4" t="s">
        <v>124</v>
      </c>
      <c r="D730" s="4" t="s">
        <v>23</v>
      </c>
      <c r="E730" s="4" t="s">
        <v>116</v>
      </c>
      <c r="F730" s="4" t="str">
        <f t="shared" si="11"/>
        <v>3ML</v>
      </c>
      <c r="G730" s="5">
        <v>46254</v>
      </c>
      <c r="H730" s="6">
        <v>0.61458333333333337</v>
      </c>
      <c r="I730" s="5">
        <v>46254</v>
      </c>
      <c r="J730" s="5">
        <v>46254</v>
      </c>
      <c r="K730" s="5">
        <v>46254</v>
      </c>
      <c r="L730" s="4" t="s">
        <v>75</v>
      </c>
      <c r="M730" s="4" t="s">
        <v>129</v>
      </c>
      <c r="N730" s="4" t="s">
        <v>208</v>
      </c>
      <c r="O730" s="4" t="s">
        <v>24</v>
      </c>
      <c r="P730" s="4">
        <v>32552</v>
      </c>
      <c r="Q730" s="4" t="s">
        <v>123</v>
      </c>
      <c r="S730" s="4" t="s">
        <v>38</v>
      </c>
    </row>
    <row r="731" spans="1:19" x14ac:dyDescent="0.3">
      <c r="A731" s="4">
        <v>39555</v>
      </c>
      <c r="B731" s="4" t="s">
        <v>28</v>
      </c>
      <c r="C731" s="4" t="s">
        <v>124</v>
      </c>
      <c r="D731" s="4" t="s">
        <v>23</v>
      </c>
      <c r="E731" s="4" t="s">
        <v>117</v>
      </c>
      <c r="F731" s="4" t="str">
        <f t="shared" si="11"/>
        <v>6ML</v>
      </c>
      <c r="G731" s="5">
        <v>46254</v>
      </c>
      <c r="H731" s="6">
        <v>0.61458333333333337</v>
      </c>
      <c r="I731" s="5">
        <v>46254</v>
      </c>
      <c r="J731" s="5">
        <v>46254</v>
      </c>
      <c r="K731" s="5">
        <v>46254</v>
      </c>
      <c r="L731" s="4" t="s">
        <v>75</v>
      </c>
      <c r="M731" s="4" t="s">
        <v>129</v>
      </c>
      <c r="N731" s="4" t="s">
        <v>208</v>
      </c>
      <c r="O731" s="4" t="s">
        <v>24</v>
      </c>
      <c r="P731" s="4">
        <v>32551</v>
      </c>
      <c r="Q731" s="4" t="s">
        <v>123</v>
      </c>
      <c r="S731" s="4" t="s">
        <v>38</v>
      </c>
    </row>
    <row r="732" spans="1:19" x14ac:dyDescent="0.3">
      <c r="A732" s="4">
        <v>36671</v>
      </c>
      <c r="B732" s="4" t="s">
        <v>28</v>
      </c>
      <c r="C732" s="4" t="s">
        <v>15</v>
      </c>
      <c r="D732" s="4" t="s">
        <v>16</v>
      </c>
      <c r="E732" s="4" t="s">
        <v>112</v>
      </c>
      <c r="F732" s="4" t="str">
        <f t="shared" si="11"/>
        <v>6MC</v>
      </c>
      <c r="G732" s="5">
        <v>46205</v>
      </c>
      <c r="H732" s="6">
        <v>0.51388888888888895</v>
      </c>
      <c r="I732" s="5">
        <v>46205</v>
      </c>
      <c r="K732" s="5">
        <v>46255</v>
      </c>
      <c r="L732" s="4" t="s">
        <v>283</v>
      </c>
      <c r="M732" s="4" t="s">
        <v>178</v>
      </c>
      <c r="N732" s="4" t="s">
        <v>208</v>
      </c>
      <c r="O732" s="4" t="s">
        <v>27</v>
      </c>
      <c r="P732" s="4">
        <v>30734</v>
      </c>
      <c r="Q732" s="4" t="s">
        <v>123</v>
      </c>
      <c r="S732" s="4" t="s">
        <v>330</v>
      </c>
    </row>
    <row r="733" spans="1:19" x14ac:dyDescent="0.3">
      <c r="A733" s="4">
        <v>36675</v>
      </c>
      <c r="B733" s="4" t="s">
        <v>28</v>
      </c>
      <c r="C733" s="4" t="s">
        <v>15</v>
      </c>
      <c r="D733" s="4" t="s">
        <v>16</v>
      </c>
      <c r="E733" s="4" t="s">
        <v>47</v>
      </c>
      <c r="F733" s="4" t="str">
        <f t="shared" si="11"/>
        <v>3ML</v>
      </c>
      <c r="G733" s="5">
        <v>46205</v>
      </c>
      <c r="H733" s="6">
        <v>0.5229166666666667</v>
      </c>
      <c r="I733" s="5">
        <v>46205</v>
      </c>
      <c r="K733" s="5">
        <v>46255</v>
      </c>
      <c r="L733" s="4" t="s">
        <v>284</v>
      </c>
      <c r="M733" s="4" t="s">
        <v>126</v>
      </c>
      <c r="N733" s="4" t="s">
        <v>208</v>
      </c>
      <c r="O733" s="4" t="s">
        <v>27</v>
      </c>
      <c r="P733" s="4">
        <v>30738</v>
      </c>
      <c r="Q733" s="4" t="s">
        <v>123</v>
      </c>
      <c r="S733" s="4" t="s">
        <v>331</v>
      </c>
    </row>
    <row r="734" spans="1:19" x14ac:dyDescent="0.3">
      <c r="A734" s="4">
        <v>36676</v>
      </c>
      <c r="B734" s="4" t="s">
        <v>28</v>
      </c>
      <c r="C734" s="4" t="s">
        <v>15</v>
      </c>
      <c r="D734" s="4" t="s">
        <v>16</v>
      </c>
      <c r="E734" s="4" t="s">
        <v>46</v>
      </c>
      <c r="F734" s="4" t="str">
        <f t="shared" si="11"/>
        <v>6ML</v>
      </c>
      <c r="G734" s="5">
        <v>46205</v>
      </c>
      <c r="H734" s="6">
        <v>0.5229166666666667</v>
      </c>
      <c r="I734" s="5">
        <v>46205</v>
      </c>
      <c r="K734" s="5">
        <v>46255</v>
      </c>
      <c r="L734" s="4" t="s">
        <v>284</v>
      </c>
      <c r="M734" s="4" t="s">
        <v>126</v>
      </c>
      <c r="N734" s="4" t="s">
        <v>208</v>
      </c>
      <c r="O734" s="4" t="s">
        <v>27</v>
      </c>
      <c r="P734" s="4">
        <v>30739</v>
      </c>
      <c r="Q734" s="4" t="s">
        <v>123</v>
      </c>
      <c r="S734" s="4" t="s">
        <v>331</v>
      </c>
    </row>
    <row r="735" spans="1:19" x14ac:dyDescent="0.3">
      <c r="A735" s="4">
        <v>36691</v>
      </c>
      <c r="B735" s="4" t="s">
        <v>28</v>
      </c>
      <c r="C735" s="4" t="s">
        <v>15</v>
      </c>
      <c r="D735" s="4" t="s">
        <v>16</v>
      </c>
      <c r="E735" s="4" t="s">
        <v>122</v>
      </c>
      <c r="F735" s="4" t="str">
        <f t="shared" si="11"/>
        <v>3MC</v>
      </c>
      <c r="G735" s="5">
        <v>46205</v>
      </c>
      <c r="H735" s="6">
        <v>0.77361111111111114</v>
      </c>
      <c r="I735" s="5">
        <v>46205</v>
      </c>
      <c r="J735" s="5">
        <v>46205</v>
      </c>
      <c r="K735" s="5">
        <v>46255</v>
      </c>
      <c r="L735" s="4" t="s">
        <v>285</v>
      </c>
      <c r="M735" s="4" t="s">
        <v>128</v>
      </c>
      <c r="N735" s="4" t="s">
        <v>208</v>
      </c>
      <c r="O735" s="4" t="s">
        <v>18</v>
      </c>
      <c r="P735" s="4">
        <v>30752</v>
      </c>
      <c r="Q735" s="4" t="s">
        <v>123</v>
      </c>
      <c r="S735" s="4" t="s">
        <v>22</v>
      </c>
    </row>
    <row r="736" spans="1:19" x14ac:dyDescent="0.3">
      <c r="A736" s="4">
        <v>36692</v>
      </c>
      <c r="B736" s="4" t="s">
        <v>28</v>
      </c>
      <c r="C736" s="4" t="s">
        <v>15</v>
      </c>
      <c r="D736" s="4" t="s">
        <v>16</v>
      </c>
      <c r="E736" s="4" t="s">
        <v>114</v>
      </c>
      <c r="F736" s="4" t="str">
        <f t="shared" si="11"/>
        <v>6MC</v>
      </c>
      <c r="G736" s="5">
        <v>46205</v>
      </c>
      <c r="H736" s="6">
        <v>0.77361111111111114</v>
      </c>
      <c r="I736" s="5">
        <v>46205</v>
      </c>
      <c r="J736" s="5">
        <v>46205</v>
      </c>
      <c r="K736" s="5">
        <v>46255</v>
      </c>
      <c r="L736" s="4" t="s">
        <v>285</v>
      </c>
      <c r="M736" s="4" t="s">
        <v>128</v>
      </c>
      <c r="N736" s="4" t="s">
        <v>208</v>
      </c>
      <c r="O736" s="4" t="s">
        <v>18</v>
      </c>
      <c r="P736" s="4">
        <v>30753</v>
      </c>
      <c r="Q736" s="4" t="s">
        <v>123</v>
      </c>
      <c r="S736" s="4" t="s">
        <v>22</v>
      </c>
    </row>
    <row r="737" spans="1:19" x14ac:dyDescent="0.3">
      <c r="A737" s="4">
        <v>36700</v>
      </c>
      <c r="B737" s="4" t="s">
        <v>28</v>
      </c>
      <c r="C737" s="4" t="s">
        <v>15</v>
      </c>
      <c r="D737" s="4" t="s">
        <v>16</v>
      </c>
      <c r="E737" s="4" t="s">
        <v>53</v>
      </c>
      <c r="F737" s="4" t="str">
        <f t="shared" si="11"/>
        <v>3MC</v>
      </c>
      <c r="G737" s="5">
        <v>46206</v>
      </c>
      <c r="H737" s="6">
        <v>0.39305555555555555</v>
      </c>
      <c r="I737" s="5">
        <v>46206</v>
      </c>
      <c r="J737" s="5">
        <v>46206</v>
      </c>
      <c r="K737" s="5">
        <v>46255</v>
      </c>
      <c r="L737" s="4" t="s">
        <v>286</v>
      </c>
      <c r="M737" s="4">
        <v>1620</v>
      </c>
      <c r="N737" s="4" t="s">
        <v>208</v>
      </c>
      <c r="O737" s="4" t="s">
        <v>27</v>
      </c>
      <c r="P737" s="4">
        <v>30760</v>
      </c>
      <c r="Q737" s="4" t="s">
        <v>123</v>
      </c>
      <c r="S737" s="4" t="s">
        <v>331</v>
      </c>
    </row>
    <row r="738" spans="1:19" x14ac:dyDescent="0.3">
      <c r="A738" s="4">
        <v>36701</v>
      </c>
      <c r="B738" s="4" t="s">
        <v>28</v>
      </c>
      <c r="C738" s="4" t="s">
        <v>15</v>
      </c>
      <c r="D738" s="4" t="s">
        <v>16</v>
      </c>
      <c r="E738" s="4" t="s">
        <v>111</v>
      </c>
      <c r="F738" s="4" t="str">
        <f t="shared" si="11"/>
        <v>6MC</v>
      </c>
      <c r="G738" s="5">
        <v>46206</v>
      </c>
      <c r="H738" s="6">
        <v>0.39305555555555555</v>
      </c>
      <c r="I738" s="5">
        <v>46206</v>
      </c>
      <c r="K738" s="5">
        <v>46255</v>
      </c>
      <c r="L738" s="4" t="s">
        <v>286</v>
      </c>
      <c r="M738" s="4">
        <v>1620</v>
      </c>
      <c r="N738" s="4" t="s">
        <v>208</v>
      </c>
      <c r="O738" s="4" t="s">
        <v>27</v>
      </c>
      <c r="P738" s="4">
        <v>30761</v>
      </c>
      <c r="Q738" s="4" t="s">
        <v>123</v>
      </c>
      <c r="S738" s="4" t="s">
        <v>331</v>
      </c>
    </row>
    <row r="739" spans="1:19" x14ac:dyDescent="0.3">
      <c r="A739" s="4">
        <v>36892</v>
      </c>
      <c r="B739" s="4" t="s">
        <v>28</v>
      </c>
      <c r="C739" s="4" t="s">
        <v>15</v>
      </c>
      <c r="D739" s="4" t="s">
        <v>16</v>
      </c>
      <c r="E739" s="4" t="s">
        <v>116</v>
      </c>
      <c r="F739" s="4" t="str">
        <f t="shared" si="11"/>
        <v>3ML</v>
      </c>
      <c r="G739" s="5">
        <v>46209</v>
      </c>
      <c r="H739" s="6">
        <v>0.37847222222222227</v>
      </c>
      <c r="I739" s="5">
        <v>46209</v>
      </c>
      <c r="K739" s="5">
        <v>46255</v>
      </c>
      <c r="L739" s="4" t="s">
        <v>64</v>
      </c>
      <c r="M739" s="4" t="s">
        <v>129</v>
      </c>
      <c r="N739" s="4" t="s">
        <v>208</v>
      </c>
      <c r="O739" s="4" t="s">
        <v>24</v>
      </c>
      <c r="P739" s="4">
        <v>30843</v>
      </c>
      <c r="Q739" s="4" t="s">
        <v>123</v>
      </c>
      <c r="S739" s="4" t="s">
        <v>38</v>
      </c>
    </row>
    <row r="740" spans="1:19" x14ac:dyDescent="0.3">
      <c r="A740" s="4">
        <v>36893</v>
      </c>
      <c r="B740" s="4" t="s">
        <v>28</v>
      </c>
      <c r="C740" s="4" t="s">
        <v>15</v>
      </c>
      <c r="D740" s="4" t="s">
        <v>16</v>
      </c>
      <c r="E740" s="4" t="s">
        <v>117</v>
      </c>
      <c r="F740" s="4" t="str">
        <f t="shared" si="11"/>
        <v>6ML</v>
      </c>
      <c r="G740" s="5">
        <v>46209</v>
      </c>
      <c r="H740" s="6">
        <v>0.37847222222222227</v>
      </c>
      <c r="I740" s="5">
        <v>46209</v>
      </c>
      <c r="K740" s="5">
        <v>46255</v>
      </c>
      <c r="L740" s="4" t="s">
        <v>64</v>
      </c>
      <c r="M740" s="4" t="s">
        <v>129</v>
      </c>
      <c r="N740" s="4" t="s">
        <v>208</v>
      </c>
      <c r="O740" s="4" t="s">
        <v>24</v>
      </c>
      <c r="P740" s="4">
        <v>30844</v>
      </c>
      <c r="Q740" s="4" t="s">
        <v>123</v>
      </c>
      <c r="S740" s="4" t="s">
        <v>38</v>
      </c>
    </row>
    <row r="741" spans="1:19" x14ac:dyDescent="0.3">
      <c r="A741" s="4">
        <v>37053</v>
      </c>
      <c r="B741" s="4" t="s">
        <v>28</v>
      </c>
      <c r="C741" s="4" t="s">
        <v>15</v>
      </c>
      <c r="D741" s="4" t="s">
        <v>16</v>
      </c>
      <c r="E741" s="4" t="s">
        <v>46</v>
      </c>
      <c r="F741" s="4" t="str">
        <f t="shared" si="11"/>
        <v>6ML</v>
      </c>
      <c r="G741" s="5">
        <v>46211</v>
      </c>
      <c r="H741" s="6">
        <v>0.3611111111111111</v>
      </c>
      <c r="I741" s="5">
        <v>46211</v>
      </c>
      <c r="J741" s="5">
        <v>46237</v>
      </c>
      <c r="K741" s="5">
        <v>46256</v>
      </c>
      <c r="L741" s="4" t="s">
        <v>288</v>
      </c>
      <c r="M741" s="4" t="s">
        <v>146</v>
      </c>
      <c r="N741" s="4" t="s">
        <v>208</v>
      </c>
      <c r="O741" s="4" t="s">
        <v>27</v>
      </c>
      <c r="P741" s="4">
        <v>30939</v>
      </c>
      <c r="Q741" s="4" t="s">
        <v>123</v>
      </c>
      <c r="S741" s="4" t="s">
        <v>332</v>
      </c>
    </row>
    <row r="742" spans="1:19" x14ac:dyDescent="0.3">
      <c r="A742" s="4">
        <v>37219</v>
      </c>
      <c r="B742" s="4" t="s">
        <v>28</v>
      </c>
      <c r="C742" s="4" t="s">
        <v>15</v>
      </c>
      <c r="D742" s="4" t="s">
        <v>16</v>
      </c>
      <c r="E742" s="4" t="s">
        <v>46</v>
      </c>
      <c r="F742" s="4" t="str">
        <f t="shared" si="11"/>
        <v>6ML</v>
      </c>
      <c r="G742" s="5">
        <v>46216</v>
      </c>
      <c r="H742" s="6">
        <v>0.37083333333333335</v>
      </c>
      <c r="I742" s="5">
        <v>46216</v>
      </c>
      <c r="K742" s="5">
        <v>46258</v>
      </c>
      <c r="L742" s="4" t="s">
        <v>181</v>
      </c>
      <c r="M742" s="4" t="s">
        <v>126</v>
      </c>
      <c r="N742" s="4" t="s">
        <v>208</v>
      </c>
      <c r="O742" s="4" t="s">
        <v>25</v>
      </c>
      <c r="P742" s="4">
        <v>31027</v>
      </c>
      <c r="Q742" s="4" t="s">
        <v>123</v>
      </c>
      <c r="S742" s="4" t="s">
        <v>26</v>
      </c>
    </row>
    <row r="743" spans="1:19" x14ac:dyDescent="0.3">
      <c r="A743" s="4">
        <v>37468</v>
      </c>
      <c r="B743" s="4" t="s">
        <v>28</v>
      </c>
      <c r="C743" s="4" t="s">
        <v>15</v>
      </c>
      <c r="D743" s="4" t="s">
        <v>16</v>
      </c>
      <c r="E743" s="4" t="s">
        <v>116</v>
      </c>
      <c r="F743" s="4" t="str">
        <f t="shared" si="11"/>
        <v>3ML</v>
      </c>
      <c r="G743" s="5">
        <v>46220</v>
      </c>
      <c r="H743" s="6">
        <v>0.5625</v>
      </c>
      <c r="I743" s="5">
        <v>46220</v>
      </c>
      <c r="K743" s="5">
        <v>46258</v>
      </c>
      <c r="L743" s="4" t="s">
        <v>55</v>
      </c>
      <c r="M743" s="4" t="s">
        <v>131</v>
      </c>
      <c r="N743" s="4" t="s">
        <v>208</v>
      </c>
      <c r="O743" s="4" t="s">
        <v>25</v>
      </c>
      <c r="P743" s="4">
        <v>31203</v>
      </c>
      <c r="Q743" s="4" t="s">
        <v>123</v>
      </c>
      <c r="R743" s="4">
        <v>47100</v>
      </c>
      <c r="S743" s="4" t="s">
        <v>26</v>
      </c>
    </row>
    <row r="744" spans="1:19" x14ac:dyDescent="0.3">
      <c r="A744" s="4">
        <v>37469</v>
      </c>
      <c r="B744" s="4" t="s">
        <v>28</v>
      </c>
      <c r="C744" s="4" t="s">
        <v>15</v>
      </c>
      <c r="D744" s="4" t="s">
        <v>16</v>
      </c>
      <c r="E744" s="4" t="s">
        <v>117</v>
      </c>
      <c r="F744" s="4" t="str">
        <f t="shared" si="11"/>
        <v>6ML</v>
      </c>
      <c r="G744" s="5">
        <v>46220</v>
      </c>
      <c r="H744" s="6">
        <v>0.5625</v>
      </c>
      <c r="I744" s="5">
        <v>46220</v>
      </c>
      <c r="K744" s="5">
        <v>46258</v>
      </c>
      <c r="L744" s="4" t="s">
        <v>55</v>
      </c>
      <c r="M744" s="4" t="s">
        <v>131</v>
      </c>
      <c r="N744" s="4" t="s">
        <v>208</v>
      </c>
      <c r="O744" s="4" t="s">
        <v>25</v>
      </c>
      <c r="P744" s="4">
        <v>31204</v>
      </c>
      <c r="Q744" s="4" t="s">
        <v>123</v>
      </c>
      <c r="R744" s="4">
        <v>47101</v>
      </c>
      <c r="S744" s="4" t="s">
        <v>26</v>
      </c>
    </row>
    <row r="745" spans="1:19" x14ac:dyDescent="0.3">
      <c r="A745" s="4">
        <v>40326</v>
      </c>
      <c r="B745" s="4" t="s">
        <v>28</v>
      </c>
      <c r="C745" s="4" t="s">
        <v>124</v>
      </c>
      <c r="D745" s="4" t="s">
        <v>23</v>
      </c>
      <c r="E745" s="4" t="s">
        <v>51</v>
      </c>
      <c r="F745" s="4" t="str">
        <f t="shared" si="11"/>
        <v>2MC</v>
      </c>
      <c r="G745" s="5">
        <v>46259</v>
      </c>
      <c r="H745" s="6">
        <v>0.8569444444444444</v>
      </c>
      <c r="I745" s="5">
        <v>46259</v>
      </c>
      <c r="J745" s="5">
        <v>46259</v>
      </c>
      <c r="K745" s="5">
        <v>46259</v>
      </c>
      <c r="L745" s="4" t="s">
        <v>333</v>
      </c>
      <c r="M745" s="4" t="s">
        <v>130</v>
      </c>
      <c r="N745" s="4" t="s">
        <v>208</v>
      </c>
      <c r="O745" s="4" t="s">
        <v>18</v>
      </c>
      <c r="P745" s="4">
        <v>32798</v>
      </c>
      <c r="Q745" s="4" t="s">
        <v>123</v>
      </c>
      <c r="S745" s="4" t="s">
        <v>224</v>
      </c>
    </row>
    <row r="746" spans="1:19" x14ac:dyDescent="0.3">
      <c r="A746" s="4">
        <v>40327</v>
      </c>
      <c r="B746" s="4" t="s">
        <v>28</v>
      </c>
      <c r="C746" s="4" t="s">
        <v>124</v>
      </c>
      <c r="D746" s="4" t="s">
        <v>23</v>
      </c>
      <c r="E746" s="4" t="s">
        <v>53</v>
      </c>
      <c r="F746" s="4" t="str">
        <f t="shared" si="11"/>
        <v>3MC</v>
      </c>
      <c r="G746" s="5">
        <v>46259</v>
      </c>
      <c r="H746" s="6">
        <v>0.8569444444444444</v>
      </c>
      <c r="I746" s="5">
        <v>46259</v>
      </c>
      <c r="J746" s="5">
        <v>46259</v>
      </c>
      <c r="K746" s="5">
        <v>46259</v>
      </c>
      <c r="L746" s="4" t="s">
        <v>333</v>
      </c>
      <c r="M746" s="4" t="s">
        <v>130</v>
      </c>
      <c r="N746" s="4" t="s">
        <v>208</v>
      </c>
      <c r="O746" s="4" t="s">
        <v>18</v>
      </c>
      <c r="P746" s="4">
        <v>32799</v>
      </c>
      <c r="Q746" s="4" t="s">
        <v>123</v>
      </c>
      <c r="S746" s="4" t="s">
        <v>224</v>
      </c>
    </row>
    <row r="747" spans="1:19" x14ac:dyDescent="0.3">
      <c r="A747" s="4">
        <v>40328</v>
      </c>
      <c r="B747" s="4" t="s">
        <v>28</v>
      </c>
      <c r="C747" s="4" t="s">
        <v>124</v>
      </c>
      <c r="D747" s="4" t="s">
        <v>23</v>
      </c>
      <c r="E747" s="4" t="s">
        <v>52</v>
      </c>
      <c r="F747" s="4" t="str">
        <f t="shared" si="11"/>
        <v>6MC</v>
      </c>
      <c r="G747" s="5">
        <v>46259</v>
      </c>
      <c r="H747" s="6">
        <v>0.8569444444444444</v>
      </c>
      <c r="I747" s="5">
        <v>46259</v>
      </c>
      <c r="J747" s="5">
        <v>46259</v>
      </c>
      <c r="K747" s="5">
        <v>46259</v>
      </c>
      <c r="L747" s="4" t="s">
        <v>333</v>
      </c>
      <c r="M747" s="4" t="s">
        <v>130</v>
      </c>
      <c r="N747" s="4" t="s">
        <v>208</v>
      </c>
      <c r="O747" s="4" t="s">
        <v>18</v>
      </c>
      <c r="P747" s="4">
        <v>32800</v>
      </c>
      <c r="Q747" s="4" t="s">
        <v>123</v>
      </c>
      <c r="S747" s="4" t="s">
        <v>224</v>
      </c>
    </row>
    <row r="748" spans="1:19" x14ac:dyDescent="0.3">
      <c r="A748" s="4">
        <v>40359</v>
      </c>
      <c r="B748" s="4" t="s">
        <v>28</v>
      </c>
      <c r="C748" s="4" t="s">
        <v>124</v>
      </c>
      <c r="D748" s="4" t="s">
        <v>23</v>
      </c>
      <c r="E748" s="4" t="s">
        <v>51</v>
      </c>
      <c r="F748" s="4" t="str">
        <f t="shared" si="11"/>
        <v>2MC</v>
      </c>
      <c r="G748" s="5">
        <v>46260</v>
      </c>
      <c r="H748" s="6">
        <v>0.78333333333333333</v>
      </c>
      <c r="I748" s="5">
        <v>46260</v>
      </c>
      <c r="J748" s="5">
        <v>46260</v>
      </c>
      <c r="K748" s="5">
        <v>46260</v>
      </c>
      <c r="L748" s="4" t="s">
        <v>334</v>
      </c>
      <c r="M748" s="4" t="s">
        <v>155</v>
      </c>
      <c r="N748" s="4" t="s">
        <v>208</v>
      </c>
      <c r="O748" s="4" t="s">
        <v>18</v>
      </c>
      <c r="P748" s="4">
        <v>32828</v>
      </c>
      <c r="Q748" s="4" t="s">
        <v>123</v>
      </c>
      <c r="S748" s="4" t="s">
        <v>22</v>
      </c>
    </row>
    <row r="749" spans="1:19" x14ac:dyDescent="0.3">
      <c r="A749" s="4">
        <v>40360</v>
      </c>
      <c r="B749" s="4" t="s">
        <v>28</v>
      </c>
      <c r="C749" s="4" t="s">
        <v>124</v>
      </c>
      <c r="D749" s="4" t="s">
        <v>23</v>
      </c>
      <c r="E749" s="4" t="s">
        <v>53</v>
      </c>
      <c r="F749" s="4" t="str">
        <f t="shared" si="11"/>
        <v>3MC</v>
      </c>
      <c r="G749" s="5">
        <v>46260</v>
      </c>
      <c r="H749" s="6">
        <v>0.78333333333333333</v>
      </c>
      <c r="I749" s="5">
        <v>46260</v>
      </c>
      <c r="J749" s="5">
        <v>46260</v>
      </c>
      <c r="K749" s="5">
        <v>46260</v>
      </c>
      <c r="L749" s="4" t="s">
        <v>334</v>
      </c>
      <c r="M749" s="4" t="s">
        <v>155</v>
      </c>
      <c r="N749" s="4" t="s">
        <v>208</v>
      </c>
      <c r="O749" s="4" t="s">
        <v>18</v>
      </c>
      <c r="P749" s="4">
        <v>32829</v>
      </c>
      <c r="Q749" s="4" t="s">
        <v>123</v>
      </c>
      <c r="S749" s="4" t="s">
        <v>22</v>
      </c>
    </row>
    <row r="750" spans="1:19" x14ac:dyDescent="0.3">
      <c r="A750" s="4">
        <v>40361</v>
      </c>
      <c r="B750" s="4" t="s">
        <v>28</v>
      </c>
      <c r="C750" s="4" t="s">
        <v>124</v>
      </c>
      <c r="D750" s="4" t="s">
        <v>23</v>
      </c>
      <c r="E750" s="4" t="s">
        <v>52</v>
      </c>
      <c r="F750" s="4" t="str">
        <f t="shared" si="11"/>
        <v>6MC</v>
      </c>
      <c r="G750" s="5">
        <v>46260</v>
      </c>
      <c r="H750" s="6">
        <v>0.78333333333333333</v>
      </c>
      <c r="I750" s="5">
        <v>46260</v>
      </c>
      <c r="J750" s="5">
        <v>46260</v>
      </c>
      <c r="K750" s="5">
        <v>46260</v>
      </c>
      <c r="L750" s="4" t="s">
        <v>334</v>
      </c>
      <c r="M750" s="4" t="s">
        <v>155</v>
      </c>
      <c r="N750" s="4" t="s">
        <v>208</v>
      </c>
      <c r="O750" s="4" t="s">
        <v>18</v>
      </c>
      <c r="P750" s="4">
        <v>32830</v>
      </c>
      <c r="Q750" s="4" t="s">
        <v>123</v>
      </c>
      <c r="S750" s="4" t="s">
        <v>22</v>
      </c>
    </row>
    <row r="751" spans="1:19" x14ac:dyDescent="0.3">
      <c r="A751" s="4">
        <v>40459</v>
      </c>
      <c r="B751" s="4" t="s">
        <v>28</v>
      </c>
      <c r="C751" s="4" t="s">
        <v>15</v>
      </c>
      <c r="D751" s="4" t="s">
        <v>16</v>
      </c>
      <c r="E751" s="4" t="s">
        <v>51</v>
      </c>
      <c r="F751" s="4" t="str">
        <f t="shared" si="11"/>
        <v>2MC</v>
      </c>
      <c r="G751" s="5">
        <v>46263</v>
      </c>
      <c r="H751" s="6">
        <v>0.63194444444444442</v>
      </c>
      <c r="I751" s="5">
        <v>46263</v>
      </c>
      <c r="J751" s="5">
        <v>46263</v>
      </c>
      <c r="K751" s="5">
        <v>46263</v>
      </c>
      <c r="L751" s="4" t="s">
        <v>150</v>
      </c>
      <c r="M751" s="4">
        <v>1318</v>
      </c>
      <c r="N751" s="4" t="s">
        <v>31</v>
      </c>
      <c r="O751" s="4" t="s">
        <v>25</v>
      </c>
      <c r="P751" s="4">
        <v>32919</v>
      </c>
      <c r="Q751" s="4" t="s">
        <v>19</v>
      </c>
      <c r="R751" s="4">
        <v>48123</v>
      </c>
      <c r="S751" s="4" t="s">
        <v>151</v>
      </c>
    </row>
    <row r="752" spans="1:19" x14ac:dyDescent="0.3">
      <c r="A752" s="4">
        <v>40460</v>
      </c>
      <c r="B752" s="4" t="s">
        <v>28</v>
      </c>
      <c r="C752" s="4" t="s">
        <v>15</v>
      </c>
      <c r="D752" s="4" t="s">
        <v>16</v>
      </c>
      <c r="E752" s="4" t="s">
        <v>53</v>
      </c>
      <c r="F752" s="4" t="str">
        <f t="shared" si="11"/>
        <v>3MC</v>
      </c>
      <c r="G752" s="5">
        <v>46263</v>
      </c>
      <c r="H752" s="6">
        <v>0.63194444444444442</v>
      </c>
      <c r="I752" s="5">
        <v>46263</v>
      </c>
      <c r="J752" s="5">
        <v>46263</v>
      </c>
      <c r="K752" s="5">
        <v>46263</v>
      </c>
      <c r="L752" s="4" t="s">
        <v>150</v>
      </c>
      <c r="M752" s="4">
        <v>1318</v>
      </c>
      <c r="N752" s="4" t="s">
        <v>31</v>
      </c>
      <c r="O752" s="4" t="s">
        <v>25</v>
      </c>
      <c r="P752" s="4">
        <v>32918</v>
      </c>
      <c r="Q752" s="4" t="s">
        <v>19</v>
      </c>
      <c r="R752" s="4">
        <v>48121</v>
      </c>
      <c r="S752" s="4" t="s">
        <v>151</v>
      </c>
    </row>
    <row r="753" spans="1:20" x14ac:dyDescent="0.3">
      <c r="A753" s="4">
        <v>40461</v>
      </c>
      <c r="B753" s="4" t="s">
        <v>28</v>
      </c>
      <c r="C753" s="4" t="s">
        <v>15</v>
      </c>
      <c r="D753" s="4" t="s">
        <v>16</v>
      </c>
      <c r="E753" s="4" t="s">
        <v>52</v>
      </c>
      <c r="F753" s="4" t="str">
        <f t="shared" si="11"/>
        <v>6MC</v>
      </c>
      <c r="G753" s="5">
        <v>46263</v>
      </c>
      <c r="H753" s="6">
        <v>0.63194444444444442</v>
      </c>
      <c r="I753" s="5">
        <v>46263</v>
      </c>
      <c r="J753" s="5">
        <v>46263</v>
      </c>
      <c r="K753" s="5">
        <v>46263</v>
      </c>
      <c r="L753" s="4" t="s">
        <v>150</v>
      </c>
      <c r="M753" s="4">
        <v>1318</v>
      </c>
      <c r="N753" s="4" t="s">
        <v>31</v>
      </c>
      <c r="O753" s="4" t="s">
        <v>25</v>
      </c>
      <c r="P753" s="4">
        <v>32917</v>
      </c>
      <c r="Q753" s="4" t="s">
        <v>19</v>
      </c>
      <c r="R753" s="4">
        <v>48119</v>
      </c>
      <c r="S753" s="4" t="s">
        <v>151</v>
      </c>
    </row>
    <row r="754" spans="1:20" x14ac:dyDescent="0.3">
      <c r="A754" s="4">
        <v>40755</v>
      </c>
      <c r="B754" s="4" t="s">
        <v>28</v>
      </c>
      <c r="C754" s="4" t="s">
        <v>15</v>
      </c>
      <c r="D754" s="4" t="s">
        <v>16</v>
      </c>
      <c r="E754" s="4" t="s">
        <v>107</v>
      </c>
      <c r="F754" s="4" t="str">
        <f t="shared" si="11"/>
        <v>4MU</v>
      </c>
      <c r="G754" s="5">
        <v>46267</v>
      </c>
      <c r="H754" s="6">
        <v>0.41388888888888892</v>
      </c>
      <c r="I754" s="5">
        <v>46267</v>
      </c>
      <c r="J754" s="5">
        <v>46267</v>
      </c>
      <c r="K754" s="5">
        <v>46267</v>
      </c>
      <c r="L754" s="4" t="s">
        <v>225</v>
      </c>
      <c r="M754" s="4" t="s">
        <v>161</v>
      </c>
      <c r="N754" s="4" t="s">
        <v>208</v>
      </c>
      <c r="O754" s="4" t="s">
        <v>27</v>
      </c>
      <c r="P754" s="4">
        <v>33098</v>
      </c>
      <c r="Q754" s="4" t="s">
        <v>19</v>
      </c>
      <c r="R754" s="4">
        <v>49021</v>
      </c>
      <c r="S754" s="4" t="s">
        <v>183</v>
      </c>
      <c r="T754" s="4"/>
    </row>
    <row r="755" spans="1:20" x14ac:dyDescent="0.3">
      <c r="A755" s="4">
        <v>40756</v>
      </c>
      <c r="B755" s="4" t="s">
        <v>28</v>
      </c>
      <c r="C755" s="4" t="s">
        <v>15</v>
      </c>
      <c r="D755" s="4" t="s">
        <v>16</v>
      </c>
      <c r="E755" s="4" t="s">
        <v>109</v>
      </c>
      <c r="F755" s="4" t="str">
        <f t="shared" si="11"/>
        <v>3MU</v>
      </c>
      <c r="G755" s="5">
        <v>46267</v>
      </c>
      <c r="H755" s="6">
        <v>0.41388888888888892</v>
      </c>
      <c r="I755" s="5">
        <v>46267</v>
      </c>
      <c r="J755" s="5"/>
      <c r="K755" s="5">
        <v>46273</v>
      </c>
      <c r="L755" s="4" t="s">
        <v>225</v>
      </c>
      <c r="M755" s="4" t="s">
        <v>161</v>
      </c>
      <c r="N755" s="4" t="s">
        <v>208</v>
      </c>
      <c r="O755" s="4" t="s">
        <v>27</v>
      </c>
      <c r="P755" s="4">
        <v>33099</v>
      </c>
      <c r="Q755" s="4" t="s">
        <v>19</v>
      </c>
      <c r="R755" s="4">
        <v>48815</v>
      </c>
      <c r="S755" s="4" t="s">
        <v>183</v>
      </c>
      <c r="T755" s="4"/>
    </row>
    <row r="756" spans="1:20" x14ac:dyDescent="0.3">
      <c r="A756" s="4">
        <v>40757</v>
      </c>
      <c r="B756" s="4" t="s">
        <v>28</v>
      </c>
      <c r="C756" s="4" t="s">
        <v>15</v>
      </c>
      <c r="D756" s="4" t="s">
        <v>16</v>
      </c>
      <c r="E756" s="4" t="s">
        <v>108</v>
      </c>
      <c r="F756" s="4" t="str">
        <f t="shared" si="11"/>
        <v>2MU</v>
      </c>
      <c r="G756" s="5">
        <v>46267</v>
      </c>
      <c r="H756" s="6">
        <v>0.4145833333333333</v>
      </c>
      <c r="I756" s="5">
        <v>46267</v>
      </c>
      <c r="J756" s="5">
        <v>46267</v>
      </c>
      <c r="K756" s="5">
        <v>46267</v>
      </c>
      <c r="L756" s="4" t="s">
        <v>225</v>
      </c>
      <c r="M756" s="4" t="s">
        <v>161</v>
      </c>
      <c r="N756" s="4" t="s">
        <v>208</v>
      </c>
      <c r="O756" s="4" t="s">
        <v>27</v>
      </c>
      <c r="P756" s="4">
        <v>33100</v>
      </c>
      <c r="Q756" s="4" t="s">
        <v>19</v>
      </c>
      <c r="R756" s="4">
        <v>49021</v>
      </c>
      <c r="S756" s="4" t="s">
        <v>183</v>
      </c>
      <c r="T756" s="4"/>
    </row>
    <row r="757" spans="1:20" x14ac:dyDescent="0.3">
      <c r="A757" s="4">
        <v>40804</v>
      </c>
      <c r="B757" s="4" t="s">
        <v>28</v>
      </c>
      <c r="C757" s="4" t="s">
        <v>15</v>
      </c>
      <c r="D757" s="4" t="s">
        <v>16</v>
      </c>
      <c r="E757" s="4" t="s">
        <v>51</v>
      </c>
      <c r="F757" s="4" t="str">
        <f t="shared" si="11"/>
        <v>2MC</v>
      </c>
      <c r="G757" s="5">
        <v>46267</v>
      </c>
      <c r="H757" s="6">
        <v>0.63958333333333328</v>
      </c>
      <c r="I757" s="5">
        <v>46267</v>
      </c>
      <c r="J757" s="5">
        <v>46267</v>
      </c>
      <c r="K757" s="5">
        <v>46267</v>
      </c>
      <c r="L757" s="4" t="s">
        <v>335</v>
      </c>
      <c r="M757" s="4" t="s">
        <v>130</v>
      </c>
      <c r="N757" s="4" t="s">
        <v>208</v>
      </c>
      <c r="O757" s="4" t="s">
        <v>18</v>
      </c>
      <c r="P757" s="4">
        <v>33128</v>
      </c>
      <c r="Q757" s="4" t="s">
        <v>19</v>
      </c>
      <c r="R757" s="4">
        <v>49018</v>
      </c>
      <c r="S757" s="4" t="s">
        <v>22</v>
      </c>
      <c r="T757" s="4"/>
    </row>
    <row r="758" spans="1:20" x14ac:dyDescent="0.3">
      <c r="A758" s="4">
        <v>40805</v>
      </c>
      <c r="B758" s="4" t="s">
        <v>28</v>
      </c>
      <c r="C758" s="4" t="s">
        <v>15</v>
      </c>
      <c r="D758" s="4" t="s">
        <v>16</v>
      </c>
      <c r="E758" s="4" t="s">
        <v>53</v>
      </c>
      <c r="F758" s="4" t="str">
        <f t="shared" si="11"/>
        <v>3MC</v>
      </c>
      <c r="G758" s="5">
        <v>46267</v>
      </c>
      <c r="H758" s="6">
        <v>0.63958333333333328</v>
      </c>
      <c r="I758" s="5">
        <v>46267</v>
      </c>
      <c r="J758" s="5">
        <v>46267</v>
      </c>
      <c r="K758" s="5">
        <v>46267</v>
      </c>
      <c r="L758" s="4" t="s">
        <v>335</v>
      </c>
      <c r="M758" s="4" t="s">
        <v>130</v>
      </c>
      <c r="N758" s="4" t="s">
        <v>208</v>
      </c>
      <c r="O758" s="4" t="s">
        <v>18</v>
      </c>
      <c r="P758" s="4">
        <v>33129</v>
      </c>
      <c r="Q758" s="4" t="s">
        <v>19</v>
      </c>
      <c r="R758" s="4">
        <v>49018</v>
      </c>
      <c r="S758" s="4" t="s">
        <v>22</v>
      </c>
      <c r="T758" s="4"/>
    </row>
    <row r="759" spans="1:20" x14ac:dyDescent="0.3">
      <c r="A759" s="4">
        <v>40806</v>
      </c>
      <c r="B759" s="4" t="s">
        <v>28</v>
      </c>
      <c r="C759" s="4" t="s">
        <v>15</v>
      </c>
      <c r="D759" s="4" t="s">
        <v>16</v>
      </c>
      <c r="E759" s="4" t="s">
        <v>52</v>
      </c>
      <c r="F759" s="4" t="str">
        <f t="shared" si="11"/>
        <v>6MC</v>
      </c>
      <c r="G759" s="5">
        <v>46267</v>
      </c>
      <c r="H759" s="6">
        <v>0.63958333333333328</v>
      </c>
      <c r="I759" s="5">
        <v>46267</v>
      </c>
      <c r="J759" s="5">
        <v>46267</v>
      </c>
      <c r="K759" s="5">
        <v>46273</v>
      </c>
      <c r="L759" s="4" t="s">
        <v>335</v>
      </c>
      <c r="M759" s="4" t="s">
        <v>130</v>
      </c>
      <c r="N759" s="4" t="s">
        <v>208</v>
      </c>
      <c r="O759" s="4" t="s">
        <v>18</v>
      </c>
      <c r="P759" s="4">
        <v>33130</v>
      </c>
      <c r="Q759" s="4" t="s">
        <v>19</v>
      </c>
      <c r="R759" s="4">
        <v>49018</v>
      </c>
      <c r="S759" s="4" t="s">
        <v>22</v>
      </c>
      <c r="T759" s="4"/>
    </row>
    <row r="760" spans="1:20" x14ac:dyDescent="0.3">
      <c r="A760" s="4">
        <v>40808</v>
      </c>
      <c r="B760" s="4" t="s">
        <v>28</v>
      </c>
      <c r="C760" s="4" t="s">
        <v>15</v>
      </c>
      <c r="D760" s="4" t="s">
        <v>23</v>
      </c>
      <c r="E760" s="4" t="s">
        <v>35</v>
      </c>
      <c r="F760" s="4" t="str">
        <f t="shared" si="11"/>
        <v>2ML</v>
      </c>
      <c r="G760" s="5">
        <v>46267</v>
      </c>
      <c r="H760" s="6">
        <v>0.64166666666666672</v>
      </c>
      <c r="I760" s="5">
        <v>46267</v>
      </c>
      <c r="J760" s="5">
        <v>46268</v>
      </c>
      <c r="K760" s="5">
        <v>46268</v>
      </c>
      <c r="L760" s="4" t="s">
        <v>79</v>
      </c>
      <c r="M760" s="4" t="s">
        <v>146</v>
      </c>
      <c r="N760" s="4" t="s">
        <v>17</v>
      </c>
      <c r="O760" s="4" t="s">
        <v>24</v>
      </c>
      <c r="P760" s="4">
        <v>33139</v>
      </c>
      <c r="Q760" s="4" t="s">
        <v>123</v>
      </c>
      <c r="S760" s="4" t="s">
        <v>307</v>
      </c>
      <c r="T760" s="4"/>
    </row>
    <row r="761" spans="1:20" x14ac:dyDescent="0.3">
      <c r="A761" s="4">
        <v>40809</v>
      </c>
      <c r="B761" s="4" t="s">
        <v>28</v>
      </c>
      <c r="C761" s="4" t="s">
        <v>15</v>
      </c>
      <c r="D761" s="4" t="s">
        <v>16</v>
      </c>
      <c r="E761" s="4" t="s">
        <v>47</v>
      </c>
      <c r="F761" s="4" t="str">
        <f t="shared" si="11"/>
        <v>3ML</v>
      </c>
      <c r="G761" s="5">
        <v>46267</v>
      </c>
      <c r="H761" s="6">
        <v>0.64166666666666672</v>
      </c>
      <c r="I761" s="5">
        <v>46267</v>
      </c>
      <c r="J761" s="5">
        <v>46267</v>
      </c>
      <c r="K761" s="5">
        <v>46267</v>
      </c>
      <c r="L761" s="4" t="s">
        <v>79</v>
      </c>
      <c r="M761" s="4" t="s">
        <v>146</v>
      </c>
      <c r="N761" s="4" t="s">
        <v>17</v>
      </c>
      <c r="O761" s="4" t="s">
        <v>24</v>
      </c>
      <c r="P761" s="4">
        <v>33138</v>
      </c>
      <c r="Q761" s="4" t="s">
        <v>19</v>
      </c>
      <c r="R761" s="4">
        <v>48719</v>
      </c>
      <c r="S761" s="4" t="s">
        <v>307</v>
      </c>
      <c r="T761" s="4"/>
    </row>
    <row r="762" spans="1:20" x14ac:dyDescent="0.3">
      <c r="A762" s="4">
        <v>40810</v>
      </c>
      <c r="B762" s="4" t="s">
        <v>28</v>
      </c>
      <c r="C762" s="4" t="s">
        <v>15</v>
      </c>
      <c r="D762" s="4" t="s">
        <v>16</v>
      </c>
      <c r="E762" s="4" t="s">
        <v>46</v>
      </c>
      <c r="F762" s="4" t="str">
        <f t="shared" si="11"/>
        <v>6ML</v>
      </c>
      <c r="G762" s="5">
        <v>46267</v>
      </c>
      <c r="H762" s="6">
        <v>0.64236111111111105</v>
      </c>
      <c r="I762" s="5">
        <v>46267</v>
      </c>
      <c r="J762" s="5">
        <v>46267</v>
      </c>
      <c r="K762" s="5">
        <v>46267</v>
      </c>
      <c r="L762" s="4" t="s">
        <v>79</v>
      </c>
      <c r="M762" s="4" t="s">
        <v>146</v>
      </c>
      <c r="N762" s="4" t="s">
        <v>17</v>
      </c>
      <c r="O762" s="4" t="s">
        <v>24</v>
      </c>
      <c r="P762" s="4">
        <v>33137</v>
      </c>
      <c r="Q762" s="4" t="s">
        <v>19</v>
      </c>
      <c r="R762" s="4">
        <v>48721</v>
      </c>
      <c r="S762" s="4" t="s">
        <v>307</v>
      </c>
      <c r="T762" s="4"/>
    </row>
    <row r="763" spans="1:20" x14ac:dyDescent="0.3">
      <c r="A763" s="4">
        <v>41027</v>
      </c>
      <c r="B763" s="4" t="s">
        <v>28</v>
      </c>
      <c r="C763" s="4" t="s">
        <v>15</v>
      </c>
      <c r="D763" s="4" t="s">
        <v>16</v>
      </c>
      <c r="E763" s="4" t="s">
        <v>115</v>
      </c>
      <c r="F763" s="4" t="str">
        <f t="shared" si="11"/>
        <v>2ML</v>
      </c>
      <c r="G763" s="5">
        <v>46272</v>
      </c>
      <c r="H763" s="6">
        <v>0.36736111111111108</v>
      </c>
      <c r="I763" s="5">
        <v>46272</v>
      </c>
      <c r="J763" s="5"/>
      <c r="K763" s="5">
        <v>46274</v>
      </c>
      <c r="L763" s="4" t="s">
        <v>48</v>
      </c>
      <c r="M763" s="4" t="s">
        <v>129</v>
      </c>
      <c r="N763" s="4" t="s">
        <v>208</v>
      </c>
      <c r="O763" s="4" t="s">
        <v>24</v>
      </c>
      <c r="P763" s="4">
        <v>33275</v>
      </c>
      <c r="Q763" s="4" t="s">
        <v>123</v>
      </c>
      <c r="S763" s="4" t="s">
        <v>38</v>
      </c>
      <c r="T763" s="4"/>
    </row>
    <row r="764" spans="1:20" x14ac:dyDescent="0.3">
      <c r="A764" s="4">
        <v>41028</v>
      </c>
      <c r="B764" s="4" t="s">
        <v>28</v>
      </c>
      <c r="C764" s="4" t="s">
        <v>15</v>
      </c>
      <c r="D764" s="4" t="s">
        <v>16</v>
      </c>
      <c r="E764" s="4" t="s">
        <v>116</v>
      </c>
      <c r="F764" s="4" t="str">
        <f t="shared" si="11"/>
        <v>3ML</v>
      </c>
      <c r="G764" s="5">
        <v>46272</v>
      </c>
      <c r="H764" s="6">
        <v>0.36736111111111108</v>
      </c>
      <c r="I764" s="5">
        <v>46272</v>
      </c>
      <c r="J764" s="5"/>
      <c r="K764" s="5">
        <v>46273</v>
      </c>
      <c r="L764" s="4" t="s">
        <v>48</v>
      </c>
      <c r="M764" s="4" t="s">
        <v>129</v>
      </c>
      <c r="N764" s="4" t="s">
        <v>208</v>
      </c>
      <c r="O764" s="4" t="s">
        <v>24</v>
      </c>
      <c r="P764" s="4">
        <v>33276</v>
      </c>
      <c r="Q764" s="4" t="s">
        <v>19</v>
      </c>
      <c r="R764" s="4">
        <v>49019</v>
      </c>
      <c r="S764" s="4" t="s">
        <v>38</v>
      </c>
      <c r="T764" s="4"/>
    </row>
    <row r="765" spans="1:20" x14ac:dyDescent="0.3">
      <c r="A765" s="4">
        <v>41029</v>
      </c>
      <c r="B765" s="4" t="s">
        <v>28</v>
      </c>
      <c r="C765" s="4" t="s">
        <v>15</v>
      </c>
      <c r="D765" s="4" t="s">
        <v>16</v>
      </c>
      <c r="E765" s="4" t="s">
        <v>117</v>
      </c>
      <c r="F765" s="4" t="str">
        <f t="shared" si="11"/>
        <v>6ML</v>
      </c>
      <c r="G765" s="5">
        <v>46272</v>
      </c>
      <c r="H765" s="6">
        <v>0.36736111111111108</v>
      </c>
      <c r="I765" s="5">
        <v>46272</v>
      </c>
      <c r="J765" s="5"/>
      <c r="K765" s="5">
        <v>46274</v>
      </c>
      <c r="L765" s="4" t="s">
        <v>48</v>
      </c>
      <c r="M765" s="4" t="s">
        <v>129</v>
      </c>
      <c r="N765" s="4" t="s">
        <v>208</v>
      </c>
      <c r="O765" s="4" t="s">
        <v>24</v>
      </c>
      <c r="P765" s="4">
        <v>33277</v>
      </c>
      <c r="Q765" s="4" t="s">
        <v>123</v>
      </c>
      <c r="S765" s="4" t="s">
        <v>38</v>
      </c>
      <c r="T765" s="4"/>
    </row>
    <row r="766" spans="1:20" x14ac:dyDescent="0.3">
      <c r="A766" s="4">
        <v>41030</v>
      </c>
      <c r="B766" s="4" t="s">
        <v>28</v>
      </c>
      <c r="C766" s="4" t="s">
        <v>15</v>
      </c>
      <c r="D766" s="4" t="s">
        <v>16</v>
      </c>
      <c r="E766" s="4" t="s">
        <v>35</v>
      </c>
      <c r="F766" s="4" t="str">
        <f t="shared" si="11"/>
        <v>2ML</v>
      </c>
      <c r="G766" s="5">
        <v>46272</v>
      </c>
      <c r="H766" s="6">
        <v>0.36736111111111108</v>
      </c>
      <c r="I766" s="5">
        <v>46272</v>
      </c>
      <c r="J766" s="5"/>
      <c r="K766" s="5">
        <v>46273</v>
      </c>
      <c r="L766" s="4" t="s">
        <v>338</v>
      </c>
      <c r="M766" s="4" t="s">
        <v>126</v>
      </c>
      <c r="N766" s="4" t="s">
        <v>208</v>
      </c>
      <c r="O766" s="4" t="s">
        <v>27</v>
      </c>
      <c r="P766" s="4">
        <v>33278</v>
      </c>
      <c r="Q766" s="4" t="s">
        <v>19</v>
      </c>
      <c r="R766" s="4">
        <v>48916</v>
      </c>
      <c r="S766" s="4" t="s">
        <v>332</v>
      </c>
      <c r="T766" s="4"/>
    </row>
    <row r="767" spans="1:20" x14ac:dyDescent="0.3">
      <c r="A767" s="4">
        <v>41031</v>
      </c>
      <c r="B767" s="4" t="s">
        <v>28</v>
      </c>
      <c r="C767" s="4" t="s">
        <v>15</v>
      </c>
      <c r="D767" s="4" t="s">
        <v>16</v>
      </c>
      <c r="E767" s="4" t="s">
        <v>47</v>
      </c>
      <c r="F767" s="4" t="str">
        <f t="shared" si="11"/>
        <v>3ML</v>
      </c>
      <c r="G767" s="5">
        <v>46272</v>
      </c>
      <c r="H767" s="6">
        <v>0.36736111111111108</v>
      </c>
      <c r="I767" s="5">
        <v>46272</v>
      </c>
      <c r="J767" s="5"/>
      <c r="K767" s="5">
        <v>46273</v>
      </c>
      <c r="L767" s="4" t="s">
        <v>338</v>
      </c>
      <c r="M767" s="4" t="s">
        <v>126</v>
      </c>
      <c r="N767" s="4" t="s">
        <v>208</v>
      </c>
      <c r="O767" s="4" t="s">
        <v>27</v>
      </c>
      <c r="P767" s="4">
        <v>33279</v>
      </c>
      <c r="Q767" s="4" t="s">
        <v>19</v>
      </c>
      <c r="R767" s="4">
        <v>48917</v>
      </c>
      <c r="S767" s="4" t="s">
        <v>332</v>
      </c>
      <c r="T767" s="4"/>
    </row>
    <row r="768" spans="1:20" x14ac:dyDescent="0.3">
      <c r="A768" s="4">
        <v>41032</v>
      </c>
      <c r="B768" s="4" t="s">
        <v>28</v>
      </c>
      <c r="C768" s="4" t="s">
        <v>15</v>
      </c>
      <c r="D768" s="4" t="s">
        <v>16</v>
      </c>
      <c r="E768" s="4" t="s">
        <v>46</v>
      </c>
      <c r="F768" s="4" t="str">
        <f t="shared" si="11"/>
        <v>6ML</v>
      </c>
      <c r="G768" s="5">
        <v>46272</v>
      </c>
      <c r="H768" s="6">
        <v>0.36736111111111108</v>
      </c>
      <c r="I768" s="5">
        <v>46272</v>
      </c>
      <c r="J768" s="5"/>
      <c r="K768" s="5">
        <v>46273</v>
      </c>
      <c r="L768" s="4" t="s">
        <v>338</v>
      </c>
      <c r="M768" s="4" t="s">
        <v>126</v>
      </c>
      <c r="N768" s="4" t="s">
        <v>208</v>
      </c>
      <c r="O768" s="4" t="s">
        <v>27</v>
      </c>
      <c r="P768" s="4">
        <v>33280</v>
      </c>
      <c r="Q768" s="4" t="s">
        <v>19</v>
      </c>
      <c r="R768" s="4">
        <v>48918</v>
      </c>
      <c r="S768" s="4" t="s">
        <v>332</v>
      </c>
      <c r="T768" s="4"/>
    </row>
    <row r="769" spans="1:20" x14ac:dyDescent="0.3">
      <c r="A769" s="4">
        <v>41060</v>
      </c>
      <c r="B769" s="4" t="s">
        <v>28</v>
      </c>
      <c r="C769" s="4" t="s">
        <v>124</v>
      </c>
      <c r="D769" s="4" t="s">
        <v>23</v>
      </c>
      <c r="E769" s="4" t="s">
        <v>35</v>
      </c>
      <c r="F769" s="4" t="str">
        <f t="shared" si="11"/>
        <v>2ML</v>
      </c>
      <c r="G769" s="5">
        <v>46272</v>
      </c>
      <c r="H769" s="6">
        <v>0.64236111111111105</v>
      </c>
      <c r="I769" s="5">
        <v>46272</v>
      </c>
      <c r="J769" s="5"/>
      <c r="K769" s="5"/>
      <c r="L769" s="4" t="s">
        <v>76</v>
      </c>
      <c r="M769" s="4" t="s">
        <v>127</v>
      </c>
      <c r="N769" s="4" t="s">
        <v>17</v>
      </c>
      <c r="O769" s="4" t="s">
        <v>24</v>
      </c>
      <c r="P769" s="4">
        <v>33294</v>
      </c>
      <c r="Q769" s="4" t="s">
        <v>123</v>
      </c>
      <c r="S769" s="4" t="s">
        <v>307</v>
      </c>
      <c r="T769" s="4"/>
    </row>
    <row r="770" spans="1:20" x14ac:dyDescent="0.3">
      <c r="A770" s="4">
        <v>41061</v>
      </c>
      <c r="B770" s="4" t="s">
        <v>28</v>
      </c>
      <c r="C770" s="4" t="s">
        <v>124</v>
      </c>
      <c r="D770" s="4" t="s">
        <v>23</v>
      </c>
      <c r="E770" s="4" t="s">
        <v>47</v>
      </c>
      <c r="F770" s="4" t="str">
        <f t="shared" ref="F770:F833" si="12">MID(E770,1,3)</f>
        <v>3ML</v>
      </c>
      <c r="G770" s="5">
        <v>46272</v>
      </c>
      <c r="H770" s="6">
        <v>0.64236111111111105</v>
      </c>
      <c r="I770" s="5">
        <v>46272</v>
      </c>
      <c r="J770" s="5"/>
      <c r="K770" s="5"/>
      <c r="L770" s="4" t="s">
        <v>76</v>
      </c>
      <c r="M770" s="4" t="s">
        <v>127</v>
      </c>
      <c r="N770" s="4" t="s">
        <v>17</v>
      </c>
      <c r="O770" s="4" t="s">
        <v>24</v>
      </c>
      <c r="P770" s="4">
        <v>33293</v>
      </c>
      <c r="Q770" s="4" t="s">
        <v>123</v>
      </c>
      <c r="S770" s="4" t="s">
        <v>307</v>
      </c>
      <c r="T770" s="4"/>
    </row>
    <row r="771" spans="1:20" x14ac:dyDescent="0.3">
      <c r="A771" s="4">
        <v>41062</v>
      </c>
      <c r="B771" s="4" t="s">
        <v>28</v>
      </c>
      <c r="C771" s="4" t="s">
        <v>124</v>
      </c>
      <c r="D771" s="4" t="s">
        <v>23</v>
      </c>
      <c r="E771" s="4" t="s">
        <v>46</v>
      </c>
      <c r="F771" s="4" t="str">
        <f t="shared" si="12"/>
        <v>6ML</v>
      </c>
      <c r="G771" s="5">
        <v>46272</v>
      </c>
      <c r="H771" s="6">
        <v>0.64236111111111105</v>
      </c>
      <c r="I771" s="5">
        <v>46272</v>
      </c>
      <c r="J771" s="5"/>
      <c r="K771" s="5"/>
      <c r="L771" s="4" t="s">
        <v>76</v>
      </c>
      <c r="M771" s="4" t="s">
        <v>127</v>
      </c>
      <c r="N771" s="4" t="s">
        <v>17</v>
      </c>
      <c r="O771" s="4" t="s">
        <v>24</v>
      </c>
      <c r="P771" s="4">
        <v>33292</v>
      </c>
      <c r="Q771" s="4" t="s">
        <v>123</v>
      </c>
      <c r="S771" s="4" t="s">
        <v>307</v>
      </c>
      <c r="T771" s="4"/>
    </row>
    <row r="772" spans="1:20" x14ac:dyDescent="0.3">
      <c r="A772" s="4">
        <v>41160</v>
      </c>
      <c r="B772" s="4" t="s">
        <v>28</v>
      </c>
      <c r="C772" s="4" t="s">
        <v>124</v>
      </c>
      <c r="D772" s="4" t="s">
        <v>23</v>
      </c>
      <c r="E772" s="4" t="s">
        <v>51</v>
      </c>
      <c r="F772" s="4" t="str">
        <f t="shared" si="12"/>
        <v>2MC</v>
      </c>
      <c r="G772" s="5">
        <v>46273</v>
      </c>
      <c r="H772" s="6">
        <v>0.46249999999999997</v>
      </c>
      <c r="I772" s="5">
        <v>46273</v>
      </c>
      <c r="J772" s="5"/>
      <c r="K772" s="5"/>
      <c r="L772" s="4" t="s">
        <v>336</v>
      </c>
      <c r="M772" s="4" t="s">
        <v>130</v>
      </c>
      <c r="N772" s="4" t="s">
        <v>208</v>
      </c>
      <c r="O772" s="4" t="s">
        <v>18</v>
      </c>
      <c r="P772" s="4">
        <v>33337</v>
      </c>
      <c r="Q772" s="4" t="s">
        <v>123</v>
      </c>
      <c r="S772" s="4" t="s">
        <v>224</v>
      </c>
      <c r="T772" s="4"/>
    </row>
    <row r="773" spans="1:20" x14ac:dyDescent="0.3">
      <c r="A773" s="4">
        <v>41161</v>
      </c>
      <c r="B773" s="4" t="s">
        <v>28</v>
      </c>
      <c r="C773" s="4" t="s">
        <v>124</v>
      </c>
      <c r="D773" s="4" t="s">
        <v>23</v>
      </c>
      <c r="E773" s="4" t="s">
        <v>53</v>
      </c>
      <c r="F773" s="4" t="str">
        <f t="shared" si="12"/>
        <v>3MC</v>
      </c>
      <c r="G773" s="5">
        <v>46273</v>
      </c>
      <c r="H773" s="6">
        <v>0.46249999999999997</v>
      </c>
      <c r="I773" s="5">
        <v>46273</v>
      </c>
      <c r="J773" s="5"/>
      <c r="K773" s="5"/>
      <c r="L773" s="4" t="s">
        <v>336</v>
      </c>
      <c r="M773" s="4" t="s">
        <v>130</v>
      </c>
      <c r="N773" s="4" t="s">
        <v>208</v>
      </c>
      <c r="O773" s="4" t="s">
        <v>18</v>
      </c>
      <c r="P773" s="4">
        <v>33338</v>
      </c>
      <c r="Q773" s="4" t="s">
        <v>123</v>
      </c>
      <c r="S773" s="4" t="s">
        <v>224</v>
      </c>
      <c r="T773" s="4"/>
    </row>
    <row r="774" spans="1:20" x14ac:dyDescent="0.3">
      <c r="A774" s="4">
        <v>41162</v>
      </c>
      <c r="B774" s="4" t="s">
        <v>28</v>
      </c>
      <c r="C774" s="4" t="s">
        <v>124</v>
      </c>
      <c r="D774" s="4" t="s">
        <v>23</v>
      </c>
      <c r="E774" s="4" t="s">
        <v>52</v>
      </c>
      <c r="F774" s="4" t="str">
        <f t="shared" si="12"/>
        <v>6MC</v>
      </c>
      <c r="G774" s="5">
        <v>46273</v>
      </c>
      <c r="H774" s="6">
        <v>0.46249999999999997</v>
      </c>
      <c r="I774" s="5">
        <v>46273</v>
      </c>
      <c r="J774" s="5"/>
      <c r="K774" s="5"/>
      <c r="L774" s="4" t="s">
        <v>336</v>
      </c>
      <c r="M774" s="4" t="s">
        <v>130</v>
      </c>
      <c r="N774" s="4" t="s">
        <v>208</v>
      </c>
      <c r="O774" s="4" t="s">
        <v>18</v>
      </c>
      <c r="P774" s="4">
        <v>33339</v>
      </c>
      <c r="Q774" s="4" t="s">
        <v>123</v>
      </c>
      <c r="S774" s="4" t="s">
        <v>224</v>
      </c>
      <c r="T774" s="4"/>
    </row>
    <row r="775" spans="1:20" x14ac:dyDescent="0.3">
      <c r="A775" s="4">
        <v>41183</v>
      </c>
      <c r="B775" s="4" t="s">
        <v>28</v>
      </c>
      <c r="C775" s="4" t="s">
        <v>124</v>
      </c>
      <c r="D775" s="4" t="s">
        <v>23</v>
      </c>
      <c r="E775" s="4" t="s">
        <v>121</v>
      </c>
      <c r="F775" s="4" t="str">
        <f t="shared" si="12"/>
        <v>2MC</v>
      </c>
      <c r="G775" s="5">
        <v>46273</v>
      </c>
      <c r="H775" s="6">
        <v>0.81111111111111101</v>
      </c>
      <c r="I775" s="5">
        <v>46273</v>
      </c>
      <c r="J775" s="5">
        <v>46273</v>
      </c>
      <c r="K775" s="5">
        <v>46273</v>
      </c>
      <c r="L775" s="4" t="s">
        <v>339</v>
      </c>
      <c r="M775" s="4">
        <v>1624</v>
      </c>
      <c r="N775" s="4" t="s">
        <v>208</v>
      </c>
      <c r="O775" s="4" t="s">
        <v>24</v>
      </c>
      <c r="P775" s="4">
        <v>33353</v>
      </c>
      <c r="Q775" s="4" t="s">
        <v>123</v>
      </c>
      <c r="S775" s="4" t="s">
        <v>306</v>
      </c>
      <c r="T775" s="4"/>
    </row>
    <row r="776" spans="1:20" x14ac:dyDescent="0.3">
      <c r="A776" s="4">
        <v>41184</v>
      </c>
      <c r="B776" s="4" t="s">
        <v>28</v>
      </c>
      <c r="C776" s="4" t="s">
        <v>124</v>
      </c>
      <c r="D776" s="4" t="s">
        <v>23</v>
      </c>
      <c r="E776" s="4" t="s">
        <v>53</v>
      </c>
      <c r="F776" s="4" t="str">
        <f t="shared" si="12"/>
        <v>3MC</v>
      </c>
      <c r="G776" s="5">
        <v>46273</v>
      </c>
      <c r="H776" s="6">
        <v>0.81111111111111101</v>
      </c>
      <c r="I776" s="5">
        <v>46273</v>
      </c>
      <c r="J776" s="5">
        <v>46273</v>
      </c>
      <c r="K776" s="5">
        <v>46273</v>
      </c>
      <c r="L776" s="4" t="s">
        <v>339</v>
      </c>
      <c r="M776" s="4">
        <v>1624</v>
      </c>
      <c r="N776" s="4" t="s">
        <v>208</v>
      </c>
      <c r="O776" s="4" t="s">
        <v>24</v>
      </c>
      <c r="P776" s="4">
        <v>33354</v>
      </c>
      <c r="Q776" s="4" t="s">
        <v>123</v>
      </c>
      <c r="S776" s="4" t="s">
        <v>306</v>
      </c>
      <c r="T776" s="4"/>
    </row>
    <row r="777" spans="1:20" x14ac:dyDescent="0.3">
      <c r="A777" s="4">
        <v>41185</v>
      </c>
      <c r="B777" s="4" t="s">
        <v>28</v>
      </c>
      <c r="C777" s="4" t="s">
        <v>124</v>
      </c>
      <c r="D777" s="4" t="s">
        <v>23</v>
      </c>
      <c r="E777" s="4" t="s">
        <v>111</v>
      </c>
      <c r="F777" s="4" t="str">
        <f t="shared" si="12"/>
        <v>6MC</v>
      </c>
      <c r="G777" s="5">
        <v>46273</v>
      </c>
      <c r="H777" s="6">
        <v>0.81111111111111101</v>
      </c>
      <c r="I777" s="5">
        <v>46273</v>
      </c>
      <c r="J777" s="5">
        <v>46273</v>
      </c>
      <c r="K777" s="5">
        <v>46273</v>
      </c>
      <c r="L777" s="4" t="s">
        <v>339</v>
      </c>
      <c r="M777" s="4">
        <v>1624</v>
      </c>
      <c r="N777" s="4" t="s">
        <v>208</v>
      </c>
      <c r="O777" s="4" t="s">
        <v>24</v>
      </c>
      <c r="P777" s="4">
        <v>33355</v>
      </c>
      <c r="Q777" s="4" t="s">
        <v>123</v>
      </c>
      <c r="S777" s="4" t="s">
        <v>306</v>
      </c>
      <c r="T777" s="4"/>
    </row>
    <row r="778" spans="1:20" x14ac:dyDescent="0.3">
      <c r="A778" s="4">
        <v>41268</v>
      </c>
      <c r="B778" s="4" t="s">
        <v>28</v>
      </c>
      <c r="C778" s="4" t="s">
        <v>124</v>
      </c>
      <c r="D778" s="4" t="s">
        <v>23</v>
      </c>
      <c r="E778" s="4" t="s">
        <v>51</v>
      </c>
      <c r="F778" s="4" t="str">
        <f t="shared" si="12"/>
        <v>2MC</v>
      </c>
      <c r="G778" s="5">
        <v>46274</v>
      </c>
      <c r="H778" s="6">
        <v>0.80555555555555547</v>
      </c>
      <c r="I778" s="5">
        <v>46274</v>
      </c>
      <c r="J778" s="5">
        <v>46274</v>
      </c>
      <c r="K778" s="5">
        <v>46274</v>
      </c>
      <c r="L778" s="4" t="s">
        <v>234</v>
      </c>
      <c r="M778" s="4" t="s">
        <v>161</v>
      </c>
      <c r="N778" s="4" t="s">
        <v>208</v>
      </c>
      <c r="O778" s="4" t="s">
        <v>18</v>
      </c>
      <c r="P778" s="4">
        <v>33422</v>
      </c>
      <c r="Q778" s="4" t="s">
        <v>123</v>
      </c>
      <c r="S778" s="4" t="s">
        <v>22</v>
      </c>
      <c r="T778" s="4"/>
    </row>
    <row r="779" spans="1:20" x14ac:dyDescent="0.3">
      <c r="A779" s="4">
        <v>41274</v>
      </c>
      <c r="B779" s="4" t="s">
        <v>28</v>
      </c>
      <c r="C779" s="4" t="s">
        <v>124</v>
      </c>
      <c r="D779" s="4" t="s">
        <v>23</v>
      </c>
      <c r="E779" s="4" t="s">
        <v>52</v>
      </c>
      <c r="F779" s="4" t="str">
        <f t="shared" si="12"/>
        <v>6MC</v>
      </c>
      <c r="G779" s="5">
        <v>46274</v>
      </c>
      <c r="H779" s="6">
        <v>0.83263888888888893</v>
      </c>
      <c r="I779" s="5">
        <v>46274</v>
      </c>
      <c r="J779" s="5">
        <v>46274</v>
      </c>
      <c r="K779" s="5">
        <v>46274</v>
      </c>
      <c r="L779" s="4" t="s">
        <v>234</v>
      </c>
      <c r="M779" s="4" t="s">
        <v>161</v>
      </c>
      <c r="N779" s="4" t="s">
        <v>208</v>
      </c>
      <c r="O779" s="4" t="s">
        <v>18</v>
      </c>
      <c r="P779" s="4">
        <v>33423</v>
      </c>
      <c r="Q779" s="4" t="s">
        <v>123</v>
      </c>
      <c r="S779" s="4" t="s">
        <v>22</v>
      </c>
      <c r="T779" s="4"/>
    </row>
    <row r="780" spans="1:20" x14ac:dyDescent="0.3">
      <c r="A780" s="4">
        <v>41287</v>
      </c>
      <c r="B780" s="4" t="s">
        <v>28</v>
      </c>
      <c r="C780" s="4" t="s">
        <v>124</v>
      </c>
      <c r="D780" s="4" t="s">
        <v>23</v>
      </c>
      <c r="E780" s="4" t="s">
        <v>115</v>
      </c>
      <c r="F780" s="4" t="str">
        <f t="shared" si="12"/>
        <v>2ML</v>
      </c>
      <c r="G780" s="5">
        <v>46275</v>
      </c>
      <c r="H780" s="6">
        <v>0.49722222222222223</v>
      </c>
      <c r="I780" s="5">
        <v>46275</v>
      </c>
      <c r="J780" s="5"/>
      <c r="K780" s="5"/>
      <c r="L780" s="4" t="s">
        <v>148</v>
      </c>
      <c r="M780" s="4" t="s">
        <v>149</v>
      </c>
      <c r="N780" s="4" t="s">
        <v>208</v>
      </c>
      <c r="O780" s="4" t="s">
        <v>25</v>
      </c>
      <c r="P780" s="4">
        <v>33440</v>
      </c>
      <c r="Q780" s="4" t="s">
        <v>123</v>
      </c>
      <c r="S780" s="4" t="s">
        <v>26</v>
      </c>
      <c r="T780" s="4"/>
    </row>
    <row r="781" spans="1:20" x14ac:dyDescent="0.3">
      <c r="A781" s="4">
        <v>41288</v>
      </c>
      <c r="B781" s="4" t="s">
        <v>28</v>
      </c>
      <c r="C781" s="4" t="s">
        <v>124</v>
      </c>
      <c r="D781" s="4" t="s">
        <v>23</v>
      </c>
      <c r="E781" s="4" t="s">
        <v>116</v>
      </c>
      <c r="F781" s="4" t="str">
        <f t="shared" si="12"/>
        <v>3ML</v>
      </c>
      <c r="G781" s="5">
        <v>46275</v>
      </c>
      <c r="H781" s="6">
        <v>0.49722222222222223</v>
      </c>
      <c r="I781" s="5">
        <v>46275</v>
      </c>
      <c r="J781" s="5"/>
      <c r="K781" s="5"/>
      <c r="L781" s="4" t="s">
        <v>148</v>
      </c>
      <c r="M781" s="4" t="s">
        <v>149</v>
      </c>
      <c r="N781" s="4" t="s">
        <v>208</v>
      </c>
      <c r="O781" s="4" t="s">
        <v>25</v>
      </c>
      <c r="P781" s="4">
        <v>33441</v>
      </c>
      <c r="Q781" s="4" t="s">
        <v>123</v>
      </c>
      <c r="S781" s="4" t="s">
        <v>26</v>
      </c>
      <c r="T781" s="4"/>
    </row>
    <row r="782" spans="1:20" x14ac:dyDescent="0.3">
      <c r="A782" s="4">
        <v>41289</v>
      </c>
      <c r="B782" s="4" t="s">
        <v>28</v>
      </c>
      <c r="C782" s="4" t="s">
        <v>124</v>
      </c>
      <c r="D782" s="4" t="s">
        <v>23</v>
      </c>
      <c r="E782" s="4" t="s">
        <v>117</v>
      </c>
      <c r="F782" s="4" t="str">
        <f t="shared" si="12"/>
        <v>6ML</v>
      </c>
      <c r="G782" s="5">
        <v>46275</v>
      </c>
      <c r="H782" s="6">
        <v>0.49722222222222223</v>
      </c>
      <c r="I782" s="5">
        <v>46275</v>
      </c>
      <c r="J782" s="5"/>
      <c r="K782" s="5"/>
      <c r="L782" s="4" t="s">
        <v>148</v>
      </c>
      <c r="M782" s="4" t="s">
        <v>149</v>
      </c>
      <c r="N782" s="4" t="s">
        <v>208</v>
      </c>
      <c r="O782" s="4" t="s">
        <v>25</v>
      </c>
      <c r="P782" s="4">
        <v>33442</v>
      </c>
      <c r="Q782" s="4" t="s">
        <v>123</v>
      </c>
      <c r="S782" s="4" t="s">
        <v>26</v>
      </c>
      <c r="T782" s="4"/>
    </row>
    <row r="783" spans="1:20" x14ac:dyDescent="0.3">
      <c r="A783" s="4">
        <v>41346</v>
      </c>
      <c r="B783" s="4" t="s">
        <v>28</v>
      </c>
      <c r="C783" s="4" t="s">
        <v>124</v>
      </c>
      <c r="D783" s="4" t="s">
        <v>23</v>
      </c>
      <c r="E783" s="4" t="s">
        <v>118</v>
      </c>
      <c r="F783" s="4" t="str">
        <f t="shared" si="12"/>
        <v>2ML</v>
      </c>
      <c r="G783" s="5">
        <v>46275</v>
      </c>
      <c r="H783" s="6">
        <v>0.70972222222222225</v>
      </c>
      <c r="I783" s="5">
        <v>46275</v>
      </c>
      <c r="J783" s="5">
        <v>46275</v>
      </c>
      <c r="K783" s="5">
        <v>46275</v>
      </c>
      <c r="L783" s="4" t="s">
        <v>56</v>
      </c>
      <c r="M783" s="4" t="s">
        <v>142</v>
      </c>
      <c r="N783" s="4" t="s">
        <v>208</v>
      </c>
      <c r="O783" s="4" t="s">
        <v>25</v>
      </c>
      <c r="P783" s="4">
        <v>33476</v>
      </c>
      <c r="Q783" s="4" t="s">
        <v>123</v>
      </c>
      <c r="S783" s="4" t="s">
        <v>26</v>
      </c>
      <c r="T783" s="4"/>
    </row>
    <row r="784" spans="1:20" x14ac:dyDescent="0.3">
      <c r="A784" s="4">
        <v>41347</v>
      </c>
      <c r="B784" s="4" t="s">
        <v>28</v>
      </c>
      <c r="C784" s="4" t="s">
        <v>124</v>
      </c>
      <c r="D784" s="4" t="s">
        <v>23</v>
      </c>
      <c r="E784" s="4" t="s">
        <v>119</v>
      </c>
      <c r="F784" s="4" t="str">
        <f t="shared" si="12"/>
        <v>3ML</v>
      </c>
      <c r="G784" s="5">
        <v>46275</v>
      </c>
      <c r="H784" s="6">
        <v>0.70972222222222225</v>
      </c>
      <c r="I784" s="5">
        <v>46275</v>
      </c>
      <c r="J784" s="5">
        <v>46275</v>
      </c>
      <c r="K784" s="5">
        <v>46275</v>
      </c>
      <c r="L784" s="4" t="s">
        <v>56</v>
      </c>
      <c r="M784" s="4" t="s">
        <v>142</v>
      </c>
      <c r="N784" s="4" t="s">
        <v>208</v>
      </c>
      <c r="O784" s="4" t="s">
        <v>25</v>
      </c>
      <c r="P784" s="4">
        <v>33477</v>
      </c>
      <c r="Q784" s="4" t="s">
        <v>123</v>
      </c>
      <c r="S784" s="4" t="s">
        <v>26</v>
      </c>
      <c r="T784" s="4"/>
    </row>
    <row r="785" spans="1:20" x14ac:dyDescent="0.3">
      <c r="A785" s="4">
        <v>41348</v>
      </c>
      <c r="B785" s="4" t="s">
        <v>28</v>
      </c>
      <c r="C785" s="4" t="s">
        <v>124</v>
      </c>
      <c r="D785" s="4" t="s">
        <v>23</v>
      </c>
      <c r="E785" s="4" t="s">
        <v>120</v>
      </c>
      <c r="F785" s="4" t="str">
        <f t="shared" si="12"/>
        <v>6ML</v>
      </c>
      <c r="G785" s="5">
        <v>46275</v>
      </c>
      <c r="H785" s="6">
        <v>0.70972222222222225</v>
      </c>
      <c r="I785" s="5">
        <v>46275</v>
      </c>
      <c r="J785" s="5">
        <v>46275</v>
      </c>
      <c r="K785" s="5">
        <v>46275</v>
      </c>
      <c r="L785" s="4" t="s">
        <v>56</v>
      </c>
      <c r="M785" s="4" t="s">
        <v>142</v>
      </c>
      <c r="N785" s="4" t="s">
        <v>208</v>
      </c>
      <c r="O785" s="4" t="s">
        <v>25</v>
      </c>
      <c r="P785" s="4">
        <v>33478</v>
      </c>
      <c r="Q785" s="4" t="s">
        <v>123</v>
      </c>
      <c r="S785" s="4" t="s">
        <v>26</v>
      </c>
      <c r="T785" s="4"/>
    </row>
    <row r="786" spans="1:20" x14ac:dyDescent="0.3">
      <c r="A786" s="4">
        <v>41399</v>
      </c>
      <c r="B786" s="4" t="s">
        <v>28</v>
      </c>
      <c r="C786" s="4" t="s">
        <v>124</v>
      </c>
      <c r="D786" s="4" t="s">
        <v>23</v>
      </c>
      <c r="E786" s="4" t="s">
        <v>51</v>
      </c>
      <c r="F786" s="4" t="str">
        <f t="shared" si="12"/>
        <v>2MC</v>
      </c>
      <c r="G786" s="5">
        <v>46276</v>
      </c>
      <c r="H786" s="6">
        <v>0.69097222222222221</v>
      </c>
      <c r="I786" s="5">
        <v>46276</v>
      </c>
      <c r="J786" s="5">
        <v>46276</v>
      </c>
      <c r="K786" s="5">
        <v>46276</v>
      </c>
      <c r="L786" s="4" t="s">
        <v>337</v>
      </c>
      <c r="M786" s="4" t="s">
        <v>178</v>
      </c>
      <c r="N786" s="4" t="s">
        <v>208</v>
      </c>
      <c r="O786" s="4" t="s">
        <v>27</v>
      </c>
      <c r="P786" s="4">
        <v>33528</v>
      </c>
      <c r="Q786" s="4" t="s">
        <v>123</v>
      </c>
      <c r="S786" s="4" t="s">
        <v>306</v>
      </c>
      <c r="T786" s="4"/>
    </row>
    <row r="787" spans="1:20" x14ac:dyDescent="0.3">
      <c r="A787" s="4">
        <v>41400</v>
      </c>
      <c r="B787" s="4" t="s">
        <v>28</v>
      </c>
      <c r="C787" s="4" t="s">
        <v>124</v>
      </c>
      <c r="D787" s="4" t="s">
        <v>23</v>
      </c>
      <c r="E787" s="4" t="s">
        <v>53</v>
      </c>
      <c r="F787" s="4" t="str">
        <f t="shared" si="12"/>
        <v>3MC</v>
      </c>
      <c r="G787" s="5">
        <v>46276</v>
      </c>
      <c r="H787" s="6">
        <v>0.69097222222222221</v>
      </c>
      <c r="I787" s="5">
        <v>46276</v>
      </c>
      <c r="J787" s="5">
        <v>46276</v>
      </c>
      <c r="K787" s="5">
        <v>46276</v>
      </c>
      <c r="L787" s="4" t="s">
        <v>337</v>
      </c>
      <c r="M787" s="4" t="s">
        <v>178</v>
      </c>
      <c r="N787" s="4" t="s">
        <v>208</v>
      </c>
      <c r="O787" s="4" t="s">
        <v>27</v>
      </c>
      <c r="P787" s="4">
        <v>33529</v>
      </c>
      <c r="Q787" s="4" t="s">
        <v>123</v>
      </c>
      <c r="S787" s="4" t="s">
        <v>306</v>
      </c>
      <c r="T787" s="4"/>
    </row>
    <row r="788" spans="1:20" x14ac:dyDescent="0.3">
      <c r="A788" s="4">
        <v>41401</v>
      </c>
      <c r="B788" s="4" t="s">
        <v>28</v>
      </c>
      <c r="C788" s="4" t="s">
        <v>124</v>
      </c>
      <c r="D788" s="4" t="s">
        <v>23</v>
      </c>
      <c r="E788" s="4" t="s">
        <v>112</v>
      </c>
      <c r="F788" s="4" t="str">
        <f t="shared" si="12"/>
        <v>6MC</v>
      </c>
      <c r="G788" s="5">
        <v>46276</v>
      </c>
      <c r="H788" s="6">
        <v>0.69097222222222221</v>
      </c>
      <c r="I788" s="5">
        <v>46276</v>
      </c>
      <c r="J788" s="5">
        <v>46276</v>
      </c>
      <c r="K788" s="5">
        <v>46276</v>
      </c>
      <c r="L788" s="4" t="s">
        <v>337</v>
      </c>
      <c r="M788" s="4" t="s">
        <v>178</v>
      </c>
      <c r="N788" s="4" t="s">
        <v>208</v>
      </c>
      <c r="O788" s="4" t="s">
        <v>27</v>
      </c>
      <c r="P788" s="4">
        <v>33530</v>
      </c>
      <c r="Q788" s="4" t="s">
        <v>123</v>
      </c>
      <c r="S788" s="4" t="s">
        <v>306</v>
      </c>
      <c r="T788" s="4"/>
    </row>
    <row r="789" spans="1:20" x14ac:dyDescent="0.3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</row>
    <row r="790" spans="1:20" x14ac:dyDescent="0.3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</row>
    <row r="791" spans="1:20" x14ac:dyDescent="0.3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</row>
    <row r="792" spans="1:20" x14ac:dyDescent="0.3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</row>
    <row r="793" spans="1:20" x14ac:dyDescent="0.3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</row>
    <row r="794" spans="1:20" x14ac:dyDescent="0.3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</row>
    <row r="795" spans="1:20" x14ac:dyDescent="0.3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</row>
    <row r="796" spans="1:20" x14ac:dyDescent="0.3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</row>
    <row r="797" spans="1:20" x14ac:dyDescent="0.3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</row>
    <row r="798" spans="1:20" x14ac:dyDescent="0.3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</row>
    <row r="799" spans="1:20" x14ac:dyDescent="0.3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</row>
    <row r="800" spans="1:20" x14ac:dyDescent="0.3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</row>
    <row r="801" spans="1:19" x14ac:dyDescent="0.3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</row>
    <row r="802" spans="1:19" x14ac:dyDescent="0.3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</row>
    <row r="803" spans="1:19" x14ac:dyDescent="0.3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</row>
    <row r="804" spans="1:19" x14ac:dyDescent="0.3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</row>
    <row r="805" spans="1:19" x14ac:dyDescent="0.3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</row>
    <row r="806" spans="1:19" x14ac:dyDescent="0.3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</row>
    <row r="807" spans="1:19" x14ac:dyDescent="0.3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</row>
    <row r="808" spans="1:19" x14ac:dyDescent="0.3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</row>
    <row r="809" spans="1:19" x14ac:dyDescent="0.3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</row>
    <row r="810" spans="1:19" x14ac:dyDescent="0.3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</row>
    <row r="811" spans="1:19" x14ac:dyDescent="0.3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</row>
    <row r="812" spans="1:19" x14ac:dyDescent="0.3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</row>
    <row r="813" spans="1:19" x14ac:dyDescent="0.3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</row>
    <row r="814" spans="1:19" x14ac:dyDescent="0.3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</row>
    <row r="815" spans="1:19" x14ac:dyDescent="0.3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</row>
    <row r="816" spans="1:19" x14ac:dyDescent="0.3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</row>
    <row r="817" spans="1:19" x14ac:dyDescent="0.3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</row>
    <row r="818" spans="1:19" x14ac:dyDescent="0.3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</row>
    <row r="819" spans="1:19" x14ac:dyDescent="0.3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</row>
    <row r="820" spans="1:19" x14ac:dyDescent="0.3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</row>
    <row r="821" spans="1:19" x14ac:dyDescent="0.3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</row>
    <row r="822" spans="1:19" x14ac:dyDescent="0.3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</row>
    <row r="823" spans="1:19" x14ac:dyDescent="0.3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</row>
    <row r="824" spans="1:19" x14ac:dyDescent="0.3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</row>
    <row r="825" spans="1:19" x14ac:dyDescent="0.3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</row>
    <row r="826" spans="1:19" x14ac:dyDescent="0.3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</row>
    <row r="827" spans="1:19" x14ac:dyDescent="0.3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</row>
    <row r="828" spans="1:19" x14ac:dyDescent="0.3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</row>
    <row r="829" spans="1:19" x14ac:dyDescent="0.3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</row>
    <row r="830" spans="1:19" x14ac:dyDescent="0.3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</row>
    <row r="831" spans="1:19" x14ac:dyDescent="0.3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</row>
    <row r="832" spans="1:19" x14ac:dyDescent="0.3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</row>
    <row r="833" spans="1:19" x14ac:dyDescent="0.3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</row>
    <row r="834" spans="1:19" x14ac:dyDescent="0.3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</row>
    <row r="835" spans="1:19" x14ac:dyDescent="0.3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</row>
    <row r="836" spans="1:19" x14ac:dyDescent="0.3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</row>
    <row r="837" spans="1:19" x14ac:dyDescent="0.3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</row>
    <row r="838" spans="1:19" x14ac:dyDescent="0.3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</row>
    <row r="839" spans="1:19" x14ac:dyDescent="0.3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</row>
    <row r="840" spans="1:19" x14ac:dyDescent="0.3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</row>
    <row r="841" spans="1:19" x14ac:dyDescent="0.3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</row>
    <row r="842" spans="1:19" x14ac:dyDescent="0.3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</row>
    <row r="843" spans="1:19" x14ac:dyDescent="0.3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</row>
    <row r="844" spans="1:19" x14ac:dyDescent="0.3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</row>
    <row r="845" spans="1:19" x14ac:dyDescent="0.3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</row>
    <row r="846" spans="1:19" x14ac:dyDescent="0.3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</row>
    <row r="847" spans="1:19" x14ac:dyDescent="0.3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</row>
    <row r="848" spans="1:19" x14ac:dyDescent="0.3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</row>
    <row r="849" spans="1:19" x14ac:dyDescent="0.3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</row>
    <row r="850" spans="1:19" x14ac:dyDescent="0.3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</row>
    <row r="851" spans="1:19" x14ac:dyDescent="0.3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</row>
    <row r="852" spans="1:19" x14ac:dyDescent="0.3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</row>
    <row r="853" spans="1:19" x14ac:dyDescent="0.3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</row>
    <row r="854" spans="1:19" x14ac:dyDescent="0.3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</row>
    <row r="855" spans="1:19" x14ac:dyDescent="0.3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</row>
    <row r="856" spans="1:19" x14ac:dyDescent="0.3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</row>
    <row r="857" spans="1:19" x14ac:dyDescent="0.3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</row>
    <row r="858" spans="1:19" x14ac:dyDescent="0.3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</row>
    <row r="859" spans="1:19" x14ac:dyDescent="0.3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</row>
    <row r="860" spans="1:19" x14ac:dyDescent="0.3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</row>
    <row r="861" spans="1:19" x14ac:dyDescent="0.3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</row>
    <row r="862" spans="1:19" x14ac:dyDescent="0.3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</row>
    <row r="863" spans="1:19" x14ac:dyDescent="0.3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</row>
    <row r="864" spans="1:19" x14ac:dyDescent="0.3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</row>
    <row r="865" spans="1:19" x14ac:dyDescent="0.3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</row>
    <row r="866" spans="1:19" x14ac:dyDescent="0.3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</row>
    <row r="867" spans="1:19" x14ac:dyDescent="0.3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</row>
    <row r="868" spans="1:19" x14ac:dyDescent="0.3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</row>
    <row r="869" spans="1:19" x14ac:dyDescent="0.3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</row>
    <row r="870" spans="1:19" x14ac:dyDescent="0.3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</row>
    <row r="871" spans="1:19" x14ac:dyDescent="0.3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</row>
    <row r="872" spans="1:19" x14ac:dyDescent="0.3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</row>
    <row r="873" spans="1:19" x14ac:dyDescent="0.3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</row>
    <row r="874" spans="1:19" x14ac:dyDescent="0.3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</row>
    <row r="875" spans="1:19" x14ac:dyDescent="0.3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</row>
    <row r="876" spans="1:19" x14ac:dyDescent="0.3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</row>
    <row r="877" spans="1:19" x14ac:dyDescent="0.3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</row>
    <row r="878" spans="1:19" x14ac:dyDescent="0.3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</row>
    <row r="879" spans="1:19" x14ac:dyDescent="0.3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</row>
    <row r="880" spans="1:19" x14ac:dyDescent="0.3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</row>
    <row r="881" spans="1:19" x14ac:dyDescent="0.3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</row>
    <row r="882" spans="1:19" x14ac:dyDescent="0.3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</row>
    <row r="883" spans="1:19" x14ac:dyDescent="0.3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</row>
    <row r="884" spans="1:19" x14ac:dyDescent="0.3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</row>
    <row r="885" spans="1:19" x14ac:dyDescent="0.3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</row>
    <row r="886" spans="1:19" x14ac:dyDescent="0.3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</row>
    <row r="887" spans="1:19" x14ac:dyDescent="0.3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</row>
    <row r="888" spans="1:19" x14ac:dyDescent="0.3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</row>
    <row r="889" spans="1:19" x14ac:dyDescent="0.3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</row>
    <row r="890" spans="1:19" x14ac:dyDescent="0.3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</row>
    <row r="891" spans="1:19" x14ac:dyDescent="0.3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</row>
    <row r="892" spans="1:19" x14ac:dyDescent="0.3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</row>
    <row r="893" spans="1:19" x14ac:dyDescent="0.3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</row>
    <row r="894" spans="1:19" x14ac:dyDescent="0.3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</row>
    <row r="895" spans="1:19" x14ac:dyDescent="0.3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</row>
    <row r="896" spans="1:19" x14ac:dyDescent="0.3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</row>
    <row r="897" spans="1:19" x14ac:dyDescent="0.3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</row>
    <row r="898" spans="1:19" x14ac:dyDescent="0.3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</row>
    <row r="899" spans="1:19" x14ac:dyDescent="0.3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</row>
    <row r="900" spans="1:19" x14ac:dyDescent="0.3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</row>
    <row r="901" spans="1:19" x14ac:dyDescent="0.3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</row>
    <row r="902" spans="1:19" x14ac:dyDescent="0.3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</row>
    <row r="903" spans="1:19" x14ac:dyDescent="0.3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</row>
    <row r="904" spans="1:19" x14ac:dyDescent="0.3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</row>
    <row r="905" spans="1:19" x14ac:dyDescent="0.3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</row>
    <row r="906" spans="1:19" x14ac:dyDescent="0.3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</row>
    <row r="907" spans="1:19" x14ac:dyDescent="0.3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</row>
    <row r="908" spans="1:19" x14ac:dyDescent="0.3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</row>
    <row r="909" spans="1:19" x14ac:dyDescent="0.3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</row>
    <row r="910" spans="1:19" x14ac:dyDescent="0.3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</row>
    <row r="911" spans="1:19" x14ac:dyDescent="0.3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</row>
    <row r="912" spans="1:19" x14ac:dyDescent="0.3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</row>
    <row r="913" spans="1:19" x14ac:dyDescent="0.3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</row>
    <row r="914" spans="1:19" x14ac:dyDescent="0.3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</row>
    <row r="915" spans="1:19" x14ac:dyDescent="0.3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</row>
    <row r="916" spans="1:19" x14ac:dyDescent="0.3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</row>
    <row r="917" spans="1:19" x14ac:dyDescent="0.3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</row>
    <row r="918" spans="1:19" x14ac:dyDescent="0.3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</row>
    <row r="919" spans="1:19" x14ac:dyDescent="0.3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</row>
    <row r="920" spans="1:19" x14ac:dyDescent="0.3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</row>
    <row r="921" spans="1:19" x14ac:dyDescent="0.3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</row>
    <row r="922" spans="1:19" x14ac:dyDescent="0.3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</row>
    <row r="923" spans="1:19" x14ac:dyDescent="0.3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</row>
    <row r="924" spans="1:19" x14ac:dyDescent="0.3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</row>
    <row r="925" spans="1:19" x14ac:dyDescent="0.3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</row>
    <row r="926" spans="1:19" x14ac:dyDescent="0.3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</row>
    <row r="927" spans="1:19" x14ac:dyDescent="0.3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</row>
    <row r="928" spans="1:19" x14ac:dyDescent="0.3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</row>
    <row r="929" spans="1:19" x14ac:dyDescent="0.3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</row>
    <row r="930" spans="1:19" x14ac:dyDescent="0.3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</row>
    <row r="931" spans="1:19" x14ac:dyDescent="0.3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</row>
    <row r="932" spans="1:19" x14ac:dyDescent="0.3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</row>
    <row r="933" spans="1:19" x14ac:dyDescent="0.3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</row>
    <row r="934" spans="1:19" x14ac:dyDescent="0.3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</row>
    <row r="935" spans="1:19" x14ac:dyDescent="0.3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</row>
    <row r="936" spans="1:19" x14ac:dyDescent="0.3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</row>
    <row r="937" spans="1:19" x14ac:dyDescent="0.3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</row>
    <row r="938" spans="1:19" x14ac:dyDescent="0.3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</row>
    <row r="939" spans="1:19" x14ac:dyDescent="0.3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</row>
    <row r="940" spans="1:19" x14ac:dyDescent="0.3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</row>
    <row r="941" spans="1:19" x14ac:dyDescent="0.3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</row>
    <row r="942" spans="1:19" x14ac:dyDescent="0.3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</row>
    <row r="943" spans="1:19" x14ac:dyDescent="0.3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</row>
    <row r="944" spans="1:19" x14ac:dyDescent="0.3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</row>
    <row r="945" spans="1:19" x14ac:dyDescent="0.3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</row>
    <row r="946" spans="1:19" x14ac:dyDescent="0.3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</row>
    <row r="947" spans="1:19" x14ac:dyDescent="0.3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</row>
    <row r="948" spans="1:19" x14ac:dyDescent="0.3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</row>
    <row r="949" spans="1:19" x14ac:dyDescent="0.3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</row>
    <row r="950" spans="1:19" x14ac:dyDescent="0.3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</row>
    <row r="951" spans="1:19" x14ac:dyDescent="0.3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</row>
    <row r="952" spans="1:19" x14ac:dyDescent="0.3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</row>
    <row r="953" spans="1:19" x14ac:dyDescent="0.3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</row>
    <row r="954" spans="1:19" x14ac:dyDescent="0.3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</row>
    <row r="955" spans="1:19" x14ac:dyDescent="0.3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</row>
    <row r="956" spans="1:19" x14ac:dyDescent="0.3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</row>
    <row r="957" spans="1:19" x14ac:dyDescent="0.3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</row>
    <row r="958" spans="1:19" x14ac:dyDescent="0.3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</row>
    <row r="959" spans="1:19" x14ac:dyDescent="0.3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</row>
    <row r="960" spans="1:19" x14ac:dyDescent="0.3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</row>
    <row r="961" spans="1:19" x14ac:dyDescent="0.3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</row>
    <row r="962" spans="1:19" x14ac:dyDescent="0.3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</row>
    <row r="963" spans="1:19" x14ac:dyDescent="0.3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</row>
    <row r="964" spans="1:19" x14ac:dyDescent="0.3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</row>
    <row r="965" spans="1:19" x14ac:dyDescent="0.3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</row>
    <row r="966" spans="1:19" x14ac:dyDescent="0.3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</row>
    <row r="967" spans="1:19" x14ac:dyDescent="0.3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</row>
    <row r="968" spans="1:19" x14ac:dyDescent="0.3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</row>
    <row r="969" spans="1:19" x14ac:dyDescent="0.3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</row>
    <row r="970" spans="1:19" x14ac:dyDescent="0.3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</row>
    <row r="971" spans="1:19" x14ac:dyDescent="0.3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</row>
    <row r="972" spans="1:19" x14ac:dyDescent="0.3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</row>
    <row r="973" spans="1:19" x14ac:dyDescent="0.3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</row>
    <row r="974" spans="1:19" x14ac:dyDescent="0.3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</row>
    <row r="975" spans="1:19" x14ac:dyDescent="0.3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</row>
    <row r="976" spans="1:19" x14ac:dyDescent="0.3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</row>
    <row r="977" spans="1:19" x14ac:dyDescent="0.3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</row>
    <row r="978" spans="1:19" x14ac:dyDescent="0.3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</row>
    <row r="979" spans="1:19" x14ac:dyDescent="0.3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</row>
    <row r="980" spans="1:19" x14ac:dyDescent="0.3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</row>
    <row r="981" spans="1:19" x14ac:dyDescent="0.3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</row>
    <row r="982" spans="1:19" x14ac:dyDescent="0.3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</row>
    <row r="983" spans="1:19" x14ac:dyDescent="0.3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</row>
    <row r="984" spans="1:19" x14ac:dyDescent="0.3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</row>
    <row r="985" spans="1:19" x14ac:dyDescent="0.3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</row>
    <row r="986" spans="1:19" x14ac:dyDescent="0.3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</row>
    <row r="987" spans="1:19" x14ac:dyDescent="0.3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</row>
    <row r="988" spans="1:19" x14ac:dyDescent="0.3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</row>
    <row r="989" spans="1:19" x14ac:dyDescent="0.3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</row>
    <row r="990" spans="1:19" x14ac:dyDescent="0.3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</row>
    <row r="991" spans="1:19" x14ac:dyDescent="0.3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</row>
    <row r="992" spans="1:19" x14ac:dyDescent="0.3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</row>
    <row r="993" spans="1:19" x14ac:dyDescent="0.3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</row>
    <row r="994" spans="1:19" x14ac:dyDescent="0.3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</row>
    <row r="995" spans="1:19" x14ac:dyDescent="0.3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</row>
    <row r="996" spans="1:19" x14ac:dyDescent="0.3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</row>
    <row r="997" spans="1:19" x14ac:dyDescent="0.3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</row>
    <row r="998" spans="1:19" x14ac:dyDescent="0.3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</row>
    <row r="999" spans="1:19" x14ac:dyDescent="0.3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</row>
    <row r="1000" spans="1:19" x14ac:dyDescent="0.3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</row>
    <row r="1001" spans="1:19" x14ac:dyDescent="0.3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</row>
    <row r="1002" spans="1:19" x14ac:dyDescent="0.3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</row>
    <row r="1003" spans="1:19" x14ac:dyDescent="0.3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</row>
    <row r="1004" spans="1:19" x14ac:dyDescent="0.3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</row>
    <row r="1005" spans="1:19" x14ac:dyDescent="0.3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</row>
    <row r="1006" spans="1:19" x14ac:dyDescent="0.3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</row>
    <row r="1007" spans="1:19" x14ac:dyDescent="0.3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</row>
    <row r="1008" spans="1:19" x14ac:dyDescent="0.3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</row>
    <row r="1009" spans="1:19" x14ac:dyDescent="0.3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</row>
    <row r="1010" spans="1:19" x14ac:dyDescent="0.3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</row>
    <row r="1011" spans="1:19" x14ac:dyDescent="0.3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</row>
    <row r="1012" spans="1:19" x14ac:dyDescent="0.3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</row>
    <row r="1013" spans="1:19" x14ac:dyDescent="0.3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</row>
    <row r="1014" spans="1:19" x14ac:dyDescent="0.3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</row>
    <row r="1015" spans="1:19" x14ac:dyDescent="0.3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</row>
    <row r="1016" spans="1:19" x14ac:dyDescent="0.3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</row>
    <row r="1017" spans="1:19" x14ac:dyDescent="0.3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</row>
    <row r="1018" spans="1:19" x14ac:dyDescent="0.3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</row>
    <row r="1019" spans="1:19" x14ac:dyDescent="0.3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</row>
    <row r="1020" spans="1:19" x14ac:dyDescent="0.3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</row>
    <row r="1021" spans="1:19" x14ac:dyDescent="0.3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</row>
    <row r="1022" spans="1:19" x14ac:dyDescent="0.3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</row>
    <row r="1023" spans="1:19" x14ac:dyDescent="0.3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</row>
    <row r="1024" spans="1:19" x14ac:dyDescent="0.3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</row>
    <row r="1025" spans="1:19" x14ac:dyDescent="0.3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</row>
    <row r="1026" spans="1:19" x14ac:dyDescent="0.3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</row>
    <row r="1027" spans="1:19" x14ac:dyDescent="0.3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</row>
    <row r="1028" spans="1:19" x14ac:dyDescent="0.3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</row>
    <row r="1029" spans="1:19" x14ac:dyDescent="0.3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</row>
    <row r="1030" spans="1:19" x14ac:dyDescent="0.3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</row>
    <row r="1031" spans="1:19" x14ac:dyDescent="0.3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</row>
    <row r="1032" spans="1:19" x14ac:dyDescent="0.3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</row>
    <row r="1033" spans="1:19" x14ac:dyDescent="0.3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</row>
    <row r="1034" spans="1:19" x14ac:dyDescent="0.3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</row>
    <row r="1035" spans="1:19" x14ac:dyDescent="0.3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</row>
    <row r="1036" spans="1:19" x14ac:dyDescent="0.3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</row>
    <row r="1037" spans="1:19" x14ac:dyDescent="0.3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</row>
    <row r="1038" spans="1:19" x14ac:dyDescent="0.3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</row>
    <row r="1039" spans="1:19" x14ac:dyDescent="0.3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</row>
    <row r="1040" spans="1:19" x14ac:dyDescent="0.3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</row>
    <row r="1041" spans="1:19" x14ac:dyDescent="0.3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</row>
    <row r="1042" spans="1:19" x14ac:dyDescent="0.3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</row>
    <row r="1043" spans="1:19" x14ac:dyDescent="0.3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</row>
    <row r="1044" spans="1:19" x14ac:dyDescent="0.3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</row>
    <row r="1045" spans="1:19" x14ac:dyDescent="0.3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</row>
    <row r="1046" spans="1:19" x14ac:dyDescent="0.3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</row>
    <row r="1047" spans="1:19" x14ac:dyDescent="0.3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</row>
    <row r="1048" spans="1:19" x14ac:dyDescent="0.3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</row>
    <row r="1049" spans="1:19" x14ac:dyDescent="0.3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</row>
    <row r="1050" spans="1:19" x14ac:dyDescent="0.3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</row>
    <row r="1051" spans="1:19" x14ac:dyDescent="0.3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</row>
    <row r="1052" spans="1:19" x14ac:dyDescent="0.3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</row>
    <row r="1053" spans="1:19" x14ac:dyDescent="0.3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</row>
    <row r="1054" spans="1:19" x14ac:dyDescent="0.3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</row>
    <row r="1055" spans="1:19" x14ac:dyDescent="0.3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</row>
    <row r="1056" spans="1:19" x14ac:dyDescent="0.3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</row>
    <row r="1057" spans="1:19" x14ac:dyDescent="0.3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</row>
    <row r="1058" spans="1:19" x14ac:dyDescent="0.3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</row>
    <row r="1059" spans="1:19" x14ac:dyDescent="0.3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</row>
    <row r="1060" spans="1:19" x14ac:dyDescent="0.3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</row>
    <row r="1061" spans="1:19" x14ac:dyDescent="0.3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</row>
    <row r="1062" spans="1:19" x14ac:dyDescent="0.3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</row>
    <row r="1063" spans="1:19" x14ac:dyDescent="0.3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</row>
    <row r="1064" spans="1:19" x14ac:dyDescent="0.3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</row>
    <row r="1065" spans="1:19" x14ac:dyDescent="0.3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</row>
    <row r="1066" spans="1:19" x14ac:dyDescent="0.3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</row>
    <row r="1067" spans="1:19" x14ac:dyDescent="0.3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</row>
    <row r="1068" spans="1:19" x14ac:dyDescent="0.3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</row>
    <row r="1069" spans="1:19" x14ac:dyDescent="0.3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</row>
    <row r="1070" spans="1:19" x14ac:dyDescent="0.3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</row>
    <row r="1071" spans="1:19" x14ac:dyDescent="0.3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</row>
    <row r="1072" spans="1:19" x14ac:dyDescent="0.3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</row>
    <row r="1073" spans="1:19" x14ac:dyDescent="0.3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</row>
    <row r="1074" spans="1:19" x14ac:dyDescent="0.3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</row>
    <row r="1075" spans="1:19" x14ac:dyDescent="0.3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</row>
    <row r="1076" spans="1:19" x14ac:dyDescent="0.3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</row>
    <row r="1077" spans="1:19" x14ac:dyDescent="0.3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</row>
    <row r="1078" spans="1:19" x14ac:dyDescent="0.3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</row>
    <row r="1079" spans="1:19" x14ac:dyDescent="0.3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</row>
    <row r="1080" spans="1:19" x14ac:dyDescent="0.3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</row>
    <row r="1081" spans="1:19" x14ac:dyDescent="0.3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</row>
    <row r="1082" spans="1:19" x14ac:dyDescent="0.3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</row>
    <row r="1083" spans="1:19" x14ac:dyDescent="0.3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</row>
    <row r="1084" spans="1:19" x14ac:dyDescent="0.3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</row>
    <row r="1085" spans="1:19" x14ac:dyDescent="0.3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</row>
    <row r="1086" spans="1:19" x14ac:dyDescent="0.3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</row>
    <row r="1087" spans="1:19" x14ac:dyDescent="0.3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</row>
    <row r="1088" spans="1:19" x14ac:dyDescent="0.3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</row>
    <row r="1089" spans="1:19" x14ac:dyDescent="0.3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</row>
    <row r="1090" spans="1:19" x14ac:dyDescent="0.3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</row>
    <row r="1091" spans="1:19" x14ac:dyDescent="0.3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</row>
    <row r="1092" spans="1:19" x14ac:dyDescent="0.3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</row>
    <row r="1093" spans="1:19" x14ac:dyDescent="0.3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</row>
    <row r="1094" spans="1:19" x14ac:dyDescent="0.3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</row>
    <row r="1095" spans="1:19" x14ac:dyDescent="0.3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</row>
    <row r="1096" spans="1:19" x14ac:dyDescent="0.3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</row>
    <row r="1097" spans="1:19" x14ac:dyDescent="0.3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</row>
    <row r="1098" spans="1:19" x14ac:dyDescent="0.3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</row>
    <row r="1099" spans="1:19" x14ac:dyDescent="0.3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</row>
    <row r="1100" spans="1:19" x14ac:dyDescent="0.3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</row>
    <row r="1101" spans="1:19" x14ac:dyDescent="0.3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</row>
    <row r="1102" spans="1:19" x14ac:dyDescent="0.3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</row>
    <row r="1103" spans="1:19" x14ac:dyDescent="0.3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</row>
    <row r="1104" spans="1:19" x14ac:dyDescent="0.3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</row>
    <row r="1105" spans="1:19" x14ac:dyDescent="0.3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</row>
    <row r="1106" spans="1:19" x14ac:dyDescent="0.3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</row>
    <row r="1107" spans="1:19" x14ac:dyDescent="0.3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</row>
    <row r="1108" spans="1:19" x14ac:dyDescent="0.3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</row>
    <row r="1109" spans="1:19" x14ac:dyDescent="0.3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</row>
    <row r="1110" spans="1:19" x14ac:dyDescent="0.3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</row>
    <row r="1111" spans="1:19" x14ac:dyDescent="0.3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</row>
    <row r="1112" spans="1:19" x14ac:dyDescent="0.3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</row>
    <row r="1113" spans="1:19" x14ac:dyDescent="0.3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</row>
    <row r="1114" spans="1:19" x14ac:dyDescent="0.3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</row>
    <row r="1115" spans="1:19" x14ac:dyDescent="0.3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</row>
    <row r="1116" spans="1:19" x14ac:dyDescent="0.3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</row>
    <row r="1117" spans="1:19" x14ac:dyDescent="0.3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</row>
    <row r="1118" spans="1:19" x14ac:dyDescent="0.3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</row>
    <row r="1119" spans="1:19" x14ac:dyDescent="0.3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</row>
    <row r="1120" spans="1:19" x14ac:dyDescent="0.3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</row>
    <row r="1121" spans="1:19" x14ac:dyDescent="0.3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</row>
    <row r="1122" spans="1:19" x14ac:dyDescent="0.3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</row>
    <row r="1123" spans="1:19" x14ac:dyDescent="0.3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</row>
    <row r="1124" spans="1:19" x14ac:dyDescent="0.3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</row>
    <row r="1125" spans="1:19" x14ac:dyDescent="0.3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</row>
    <row r="1126" spans="1:19" x14ac:dyDescent="0.3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</row>
    <row r="1127" spans="1:19" x14ac:dyDescent="0.3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</row>
    <row r="1128" spans="1:19" x14ac:dyDescent="0.3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</row>
    <row r="1129" spans="1:19" x14ac:dyDescent="0.3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</row>
    <row r="1130" spans="1:19" x14ac:dyDescent="0.3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</row>
    <row r="1131" spans="1:19" x14ac:dyDescent="0.3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</row>
    <row r="1132" spans="1:19" x14ac:dyDescent="0.3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</row>
    <row r="1133" spans="1:19" x14ac:dyDescent="0.3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</row>
    <row r="1134" spans="1:19" x14ac:dyDescent="0.3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</row>
    <row r="1135" spans="1:19" x14ac:dyDescent="0.3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</row>
    <row r="1136" spans="1:19" x14ac:dyDescent="0.3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</row>
    <row r="1137" spans="1:19" x14ac:dyDescent="0.3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</row>
    <row r="1138" spans="1:19" x14ac:dyDescent="0.3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</row>
    <row r="1139" spans="1:19" x14ac:dyDescent="0.3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</row>
    <row r="1140" spans="1:19" x14ac:dyDescent="0.3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</row>
    <row r="1141" spans="1:19" x14ac:dyDescent="0.3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</row>
    <row r="1142" spans="1:19" x14ac:dyDescent="0.3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</row>
    <row r="1143" spans="1:19" x14ac:dyDescent="0.3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</row>
    <row r="1144" spans="1:19" x14ac:dyDescent="0.3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</row>
    <row r="1145" spans="1:19" x14ac:dyDescent="0.3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</row>
    <row r="1146" spans="1:19" x14ac:dyDescent="0.3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</row>
    <row r="1147" spans="1:19" x14ac:dyDescent="0.3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</row>
    <row r="1148" spans="1:19" x14ac:dyDescent="0.3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</row>
    <row r="1149" spans="1:19" x14ac:dyDescent="0.3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</row>
    <row r="1150" spans="1:19" x14ac:dyDescent="0.3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</row>
    <row r="1151" spans="1:19" x14ac:dyDescent="0.3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</row>
    <row r="1152" spans="1:19" x14ac:dyDescent="0.3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</row>
    <row r="1153" spans="1:19" x14ac:dyDescent="0.3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</row>
    <row r="1154" spans="1:19" x14ac:dyDescent="0.3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</row>
    <row r="1155" spans="1:19" x14ac:dyDescent="0.3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</row>
    <row r="1156" spans="1:19" x14ac:dyDescent="0.3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</row>
    <row r="1157" spans="1:19" x14ac:dyDescent="0.3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</row>
    <row r="1158" spans="1:19" x14ac:dyDescent="0.3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</row>
    <row r="1159" spans="1:19" x14ac:dyDescent="0.3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</row>
    <row r="1160" spans="1:19" x14ac:dyDescent="0.3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</row>
    <row r="1161" spans="1:19" x14ac:dyDescent="0.3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</row>
    <row r="1162" spans="1:19" x14ac:dyDescent="0.3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</row>
    <row r="1163" spans="1:19" x14ac:dyDescent="0.3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</row>
    <row r="1164" spans="1:19" x14ac:dyDescent="0.3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</row>
    <row r="1165" spans="1:19" x14ac:dyDescent="0.3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</row>
    <row r="1166" spans="1:19" x14ac:dyDescent="0.3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</row>
    <row r="1167" spans="1:19" x14ac:dyDescent="0.3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</row>
    <row r="1168" spans="1:19" x14ac:dyDescent="0.3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</row>
    <row r="1169" spans="1:19" x14ac:dyDescent="0.3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</row>
    <row r="1170" spans="1:19" x14ac:dyDescent="0.3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</row>
    <row r="1171" spans="1:19" x14ac:dyDescent="0.3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</row>
    <row r="1172" spans="1:19" x14ac:dyDescent="0.3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</row>
    <row r="1173" spans="1:19" x14ac:dyDescent="0.3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</row>
    <row r="1174" spans="1:19" x14ac:dyDescent="0.3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</row>
    <row r="1175" spans="1:19" x14ac:dyDescent="0.3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</row>
    <row r="1176" spans="1:19" x14ac:dyDescent="0.3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</row>
    <row r="1177" spans="1:19" x14ac:dyDescent="0.3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</row>
    <row r="1178" spans="1:19" x14ac:dyDescent="0.3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</row>
    <row r="1179" spans="1:19" x14ac:dyDescent="0.3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</row>
    <row r="1180" spans="1:19" x14ac:dyDescent="0.3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</row>
    <row r="1181" spans="1:19" x14ac:dyDescent="0.3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</row>
    <row r="1182" spans="1:19" x14ac:dyDescent="0.3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</row>
    <row r="1183" spans="1:19" x14ac:dyDescent="0.3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</row>
    <row r="1184" spans="1:19" x14ac:dyDescent="0.3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</row>
    <row r="1185" spans="1:19" x14ac:dyDescent="0.3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</row>
    <row r="1186" spans="1:19" x14ac:dyDescent="0.3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</row>
    <row r="1187" spans="1:19" x14ac:dyDescent="0.3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</row>
    <row r="1188" spans="1:19" x14ac:dyDescent="0.3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</row>
    <row r="1189" spans="1:19" x14ac:dyDescent="0.3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</row>
    <row r="1190" spans="1:19" x14ac:dyDescent="0.3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</row>
    <row r="1191" spans="1:19" x14ac:dyDescent="0.3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</row>
    <row r="1192" spans="1:19" x14ac:dyDescent="0.3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</row>
    <row r="1193" spans="1:19" x14ac:dyDescent="0.3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</row>
    <row r="1194" spans="1:19" x14ac:dyDescent="0.3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</row>
    <row r="1195" spans="1:19" x14ac:dyDescent="0.3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</row>
    <row r="1196" spans="1:19" x14ac:dyDescent="0.3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</row>
    <row r="1197" spans="1:19" x14ac:dyDescent="0.3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</row>
    <row r="1198" spans="1:19" x14ac:dyDescent="0.3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</row>
    <row r="1199" spans="1:19" x14ac:dyDescent="0.3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</row>
    <row r="1200" spans="1:19" x14ac:dyDescent="0.3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</row>
    <row r="1201" spans="1:19" x14ac:dyDescent="0.3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</row>
    <row r="1202" spans="1:19" x14ac:dyDescent="0.3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</row>
    <row r="1203" spans="1:19" x14ac:dyDescent="0.3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</row>
    <row r="1204" spans="1:19" x14ac:dyDescent="0.3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</row>
    <row r="1205" spans="1:19" x14ac:dyDescent="0.3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</row>
    <row r="1206" spans="1:19" x14ac:dyDescent="0.3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</row>
    <row r="1207" spans="1:19" x14ac:dyDescent="0.3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</row>
    <row r="1208" spans="1:19" x14ac:dyDescent="0.3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</row>
    <row r="1209" spans="1:19" x14ac:dyDescent="0.3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</row>
    <row r="1210" spans="1:19" x14ac:dyDescent="0.3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</row>
    <row r="1211" spans="1:19" x14ac:dyDescent="0.3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</row>
    <row r="1212" spans="1:19" x14ac:dyDescent="0.3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</row>
    <row r="1213" spans="1:19" x14ac:dyDescent="0.3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</row>
    <row r="1214" spans="1:19" x14ac:dyDescent="0.3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</row>
    <row r="1215" spans="1:19" x14ac:dyDescent="0.3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</row>
    <row r="1216" spans="1:19" x14ac:dyDescent="0.3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</row>
    <row r="1217" spans="1:19" x14ac:dyDescent="0.3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</row>
    <row r="1218" spans="1:19" x14ac:dyDescent="0.3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</row>
    <row r="1219" spans="1:19" x14ac:dyDescent="0.3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</row>
    <row r="1220" spans="1:19" x14ac:dyDescent="0.3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</row>
    <row r="1221" spans="1:19" x14ac:dyDescent="0.3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</row>
    <row r="1222" spans="1:19" x14ac:dyDescent="0.3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</row>
    <row r="1223" spans="1:19" x14ac:dyDescent="0.3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</row>
    <row r="1224" spans="1:19" x14ac:dyDescent="0.3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</row>
    <row r="1225" spans="1:19" x14ac:dyDescent="0.3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</row>
    <row r="1226" spans="1:19" x14ac:dyDescent="0.3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</row>
    <row r="1227" spans="1:19" x14ac:dyDescent="0.3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</row>
    <row r="1228" spans="1:19" x14ac:dyDescent="0.3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</row>
    <row r="1229" spans="1:19" x14ac:dyDescent="0.3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</row>
    <row r="1230" spans="1:19" x14ac:dyDescent="0.3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</row>
    <row r="1231" spans="1:19" x14ac:dyDescent="0.3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</row>
    <row r="1232" spans="1:19" x14ac:dyDescent="0.3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</row>
    <row r="1233" spans="1:19" x14ac:dyDescent="0.3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</row>
    <row r="1234" spans="1:19" x14ac:dyDescent="0.3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</row>
    <row r="1235" spans="1:19" x14ac:dyDescent="0.3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</row>
    <row r="1236" spans="1:19" x14ac:dyDescent="0.3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</row>
    <row r="1237" spans="1:19" x14ac:dyDescent="0.3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</row>
    <row r="1238" spans="1:19" x14ac:dyDescent="0.3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</row>
    <row r="1239" spans="1:19" x14ac:dyDescent="0.3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</row>
    <row r="1240" spans="1:19" x14ac:dyDescent="0.3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</row>
    <row r="1241" spans="1:19" x14ac:dyDescent="0.3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</row>
    <row r="1242" spans="1:19" x14ac:dyDescent="0.3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</row>
    <row r="1243" spans="1:19" x14ac:dyDescent="0.3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</row>
    <row r="1244" spans="1:19" x14ac:dyDescent="0.3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</row>
    <row r="1245" spans="1:19" x14ac:dyDescent="0.3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</row>
    <row r="1246" spans="1:19" x14ac:dyDescent="0.3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</row>
    <row r="1247" spans="1:19" x14ac:dyDescent="0.3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</row>
    <row r="1248" spans="1:19" x14ac:dyDescent="0.3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</row>
    <row r="1249" spans="1:19" x14ac:dyDescent="0.3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</row>
    <row r="1250" spans="1:19" x14ac:dyDescent="0.3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</row>
    <row r="1251" spans="1:19" x14ac:dyDescent="0.3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</row>
    <row r="1252" spans="1:19" x14ac:dyDescent="0.3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</row>
    <row r="1253" spans="1:19" x14ac:dyDescent="0.3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</row>
    <row r="1254" spans="1:19" x14ac:dyDescent="0.3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</row>
    <row r="1255" spans="1:19" x14ac:dyDescent="0.3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</row>
    <row r="1256" spans="1:19" x14ac:dyDescent="0.3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</row>
    <row r="1257" spans="1:19" x14ac:dyDescent="0.3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</row>
    <row r="1258" spans="1:19" x14ac:dyDescent="0.3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</row>
    <row r="1259" spans="1:19" x14ac:dyDescent="0.3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</row>
    <row r="1260" spans="1:19" x14ac:dyDescent="0.3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</row>
    <row r="1261" spans="1:19" x14ac:dyDescent="0.3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</row>
    <row r="1262" spans="1:19" x14ac:dyDescent="0.3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</row>
    <row r="1263" spans="1:19" x14ac:dyDescent="0.3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</row>
    <row r="1264" spans="1:19" x14ac:dyDescent="0.3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</row>
    <row r="1265" spans="1:19" x14ac:dyDescent="0.3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</row>
    <row r="1266" spans="1:19" x14ac:dyDescent="0.3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</row>
    <row r="1267" spans="1:19" x14ac:dyDescent="0.3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</row>
    <row r="1268" spans="1:19" x14ac:dyDescent="0.3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</row>
    <row r="1269" spans="1:19" x14ac:dyDescent="0.3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</row>
    <row r="1270" spans="1:19" x14ac:dyDescent="0.3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</row>
    <row r="1271" spans="1:19" x14ac:dyDescent="0.3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</row>
    <row r="1272" spans="1:19" x14ac:dyDescent="0.3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</row>
    <row r="1273" spans="1:19" x14ac:dyDescent="0.3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</row>
    <row r="1274" spans="1:19" x14ac:dyDescent="0.3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</row>
    <row r="1275" spans="1:19" x14ac:dyDescent="0.3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</row>
    <row r="1276" spans="1:19" x14ac:dyDescent="0.3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</row>
    <row r="1277" spans="1:19" x14ac:dyDescent="0.3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</row>
    <row r="1278" spans="1:19" x14ac:dyDescent="0.3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</row>
    <row r="1279" spans="1:19" x14ac:dyDescent="0.3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</row>
    <row r="1280" spans="1:19" x14ac:dyDescent="0.3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</row>
    <row r="1281" spans="1:19" x14ac:dyDescent="0.3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</row>
    <row r="1282" spans="1:19" x14ac:dyDescent="0.3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</row>
    <row r="1283" spans="1:19" x14ac:dyDescent="0.3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</row>
    <row r="1284" spans="1:19" x14ac:dyDescent="0.3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</row>
    <row r="1285" spans="1:19" x14ac:dyDescent="0.3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</row>
    <row r="1286" spans="1:19" x14ac:dyDescent="0.3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</row>
    <row r="1287" spans="1:19" x14ac:dyDescent="0.3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</row>
    <row r="1288" spans="1:19" x14ac:dyDescent="0.3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</row>
    <row r="1289" spans="1:19" x14ac:dyDescent="0.3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</row>
    <row r="1290" spans="1:19" x14ac:dyDescent="0.3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</row>
    <row r="1291" spans="1:19" x14ac:dyDescent="0.3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</row>
    <row r="1292" spans="1:19" x14ac:dyDescent="0.3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</row>
    <row r="1293" spans="1:19" x14ac:dyDescent="0.3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</row>
    <row r="1294" spans="1:19" x14ac:dyDescent="0.3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</row>
    <row r="1295" spans="1:19" x14ac:dyDescent="0.3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</row>
    <row r="1296" spans="1:19" x14ac:dyDescent="0.3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</row>
    <row r="1297" spans="1:19" x14ac:dyDescent="0.3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</row>
    <row r="1298" spans="1:19" x14ac:dyDescent="0.3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</row>
    <row r="1299" spans="1:19" x14ac:dyDescent="0.3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</row>
    <row r="1300" spans="1:19" x14ac:dyDescent="0.3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</row>
    <row r="1301" spans="1:19" x14ac:dyDescent="0.3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</row>
    <row r="1302" spans="1:19" x14ac:dyDescent="0.3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</row>
    <row r="1303" spans="1:19" x14ac:dyDescent="0.3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</row>
    <row r="1304" spans="1:19" x14ac:dyDescent="0.3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</row>
    <row r="1305" spans="1:19" x14ac:dyDescent="0.3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</row>
    <row r="1306" spans="1:19" x14ac:dyDescent="0.3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</row>
    <row r="1307" spans="1:19" x14ac:dyDescent="0.3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</row>
    <row r="1308" spans="1:19" x14ac:dyDescent="0.3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</row>
    <row r="1309" spans="1:19" x14ac:dyDescent="0.3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</row>
    <row r="1310" spans="1:19" x14ac:dyDescent="0.3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</row>
    <row r="1311" spans="1:19" x14ac:dyDescent="0.3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</row>
    <row r="1312" spans="1:19" x14ac:dyDescent="0.3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</row>
    <row r="1313" spans="1:19" x14ac:dyDescent="0.3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</row>
    <row r="1314" spans="1:19" x14ac:dyDescent="0.3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</row>
    <row r="1315" spans="1:19" x14ac:dyDescent="0.3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</row>
    <row r="1316" spans="1:19" x14ac:dyDescent="0.3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</row>
    <row r="1317" spans="1:19" x14ac:dyDescent="0.3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</row>
    <row r="1318" spans="1:19" x14ac:dyDescent="0.3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</row>
    <row r="1319" spans="1:19" x14ac:dyDescent="0.3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</row>
    <row r="1320" spans="1:19" x14ac:dyDescent="0.3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</row>
    <row r="1321" spans="1:19" x14ac:dyDescent="0.3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</row>
    <row r="1322" spans="1:19" x14ac:dyDescent="0.3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</row>
    <row r="1323" spans="1:19" x14ac:dyDescent="0.3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</row>
    <row r="1324" spans="1:19" x14ac:dyDescent="0.3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</row>
    <row r="1325" spans="1:19" x14ac:dyDescent="0.3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</row>
    <row r="1326" spans="1:19" x14ac:dyDescent="0.3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</row>
    <row r="1327" spans="1:19" x14ac:dyDescent="0.3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</row>
    <row r="1328" spans="1:19" x14ac:dyDescent="0.3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</row>
    <row r="1329" spans="1:19" x14ac:dyDescent="0.3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</row>
    <row r="1330" spans="1:19" x14ac:dyDescent="0.3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</row>
    <row r="1331" spans="1:19" x14ac:dyDescent="0.3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</row>
    <row r="1332" spans="1:19" x14ac:dyDescent="0.3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</row>
    <row r="1333" spans="1:19" x14ac:dyDescent="0.3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</row>
    <row r="1334" spans="1:19" x14ac:dyDescent="0.3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</row>
    <row r="1335" spans="1:19" x14ac:dyDescent="0.3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</row>
    <row r="1336" spans="1:19" x14ac:dyDescent="0.3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</row>
    <row r="1337" spans="1:19" x14ac:dyDescent="0.3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</row>
    <row r="1338" spans="1:19" x14ac:dyDescent="0.3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</row>
    <row r="1339" spans="1:19" x14ac:dyDescent="0.3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</row>
    <row r="1340" spans="1:19" x14ac:dyDescent="0.3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</row>
    <row r="1341" spans="1:19" x14ac:dyDescent="0.3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</row>
    <row r="1342" spans="1:19" x14ac:dyDescent="0.3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</row>
    <row r="1343" spans="1:19" x14ac:dyDescent="0.3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</row>
    <row r="1344" spans="1:19" x14ac:dyDescent="0.3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</row>
    <row r="1345" spans="1:19" x14ac:dyDescent="0.3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</row>
    <row r="1346" spans="1:19" x14ac:dyDescent="0.3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</row>
    <row r="1347" spans="1:19" x14ac:dyDescent="0.3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</row>
    <row r="1348" spans="1:19" x14ac:dyDescent="0.3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</row>
    <row r="1349" spans="1:19" x14ac:dyDescent="0.3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</row>
    <row r="1350" spans="1:19" x14ac:dyDescent="0.3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</row>
    <row r="1351" spans="1:19" x14ac:dyDescent="0.3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</row>
    <row r="1352" spans="1:19" x14ac:dyDescent="0.3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</row>
    <row r="1353" spans="1:19" x14ac:dyDescent="0.3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</row>
    <row r="1354" spans="1:19" x14ac:dyDescent="0.3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</row>
    <row r="1355" spans="1:19" x14ac:dyDescent="0.3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</row>
    <row r="1356" spans="1:19" x14ac:dyDescent="0.3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</row>
    <row r="1357" spans="1:19" x14ac:dyDescent="0.3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</row>
    <row r="1358" spans="1:19" x14ac:dyDescent="0.3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</row>
    <row r="1359" spans="1:19" x14ac:dyDescent="0.3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</row>
    <row r="1360" spans="1:19" x14ac:dyDescent="0.3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</row>
    <row r="1361" spans="1:19" x14ac:dyDescent="0.3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</row>
    <row r="1362" spans="1:19" x14ac:dyDescent="0.3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</row>
    <row r="1363" spans="1:19" x14ac:dyDescent="0.3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</row>
    <row r="1364" spans="1:19" x14ac:dyDescent="0.3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</row>
    <row r="1365" spans="1:19" x14ac:dyDescent="0.3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</row>
    <row r="1366" spans="1:19" x14ac:dyDescent="0.3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</row>
    <row r="1367" spans="1:19" x14ac:dyDescent="0.3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</row>
    <row r="1368" spans="1:19" x14ac:dyDescent="0.3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</row>
    <row r="1369" spans="1:19" x14ac:dyDescent="0.3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</row>
    <row r="1370" spans="1:19" x14ac:dyDescent="0.3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</row>
    <row r="1371" spans="1:19" x14ac:dyDescent="0.3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</row>
    <row r="1372" spans="1:19" x14ac:dyDescent="0.3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</row>
    <row r="1373" spans="1:19" x14ac:dyDescent="0.3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</row>
    <row r="1374" spans="1:19" x14ac:dyDescent="0.3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</row>
    <row r="1375" spans="1:19" x14ac:dyDescent="0.3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</row>
    <row r="1376" spans="1:19" x14ac:dyDescent="0.3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</row>
    <row r="1377" spans="1:19" x14ac:dyDescent="0.3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</row>
    <row r="1378" spans="1:19" x14ac:dyDescent="0.3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</row>
    <row r="1379" spans="1:19" x14ac:dyDescent="0.3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</row>
    <row r="1380" spans="1:19" x14ac:dyDescent="0.3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</row>
    <row r="1381" spans="1:19" x14ac:dyDescent="0.3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</row>
    <row r="1382" spans="1:19" x14ac:dyDescent="0.3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</row>
    <row r="1383" spans="1:19" x14ac:dyDescent="0.3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</row>
    <row r="1384" spans="1:19" x14ac:dyDescent="0.3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</row>
    <row r="1385" spans="1:19" x14ac:dyDescent="0.3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</row>
    <row r="1386" spans="1:19" x14ac:dyDescent="0.3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</row>
    <row r="1387" spans="1:19" x14ac:dyDescent="0.3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</row>
    <row r="1388" spans="1:19" x14ac:dyDescent="0.3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</row>
    <row r="1389" spans="1:19" x14ac:dyDescent="0.3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</row>
    <row r="1390" spans="1:19" x14ac:dyDescent="0.3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</row>
    <row r="1391" spans="1:19" x14ac:dyDescent="0.3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</row>
    <row r="1392" spans="1:19" x14ac:dyDescent="0.3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</row>
    <row r="1393" spans="1:19" x14ac:dyDescent="0.3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</row>
    <row r="1394" spans="1:19" x14ac:dyDescent="0.3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</row>
    <row r="1395" spans="1:19" x14ac:dyDescent="0.3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</row>
    <row r="1396" spans="1:19" x14ac:dyDescent="0.3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</row>
    <row r="1397" spans="1:19" x14ac:dyDescent="0.3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</row>
    <row r="1398" spans="1:19" x14ac:dyDescent="0.3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</row>
    <row r="1399" spans="1:19" x14ac:dyDescent="0.3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</row>
    <row r="1400" spans="1:19" x14ac:dyDescent="0.3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</row>
    <row r="1401" spans="1:19" x14ac:dyDescent="0.3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</row>
    <row r="1402" spans="1:19" x14ac:dyDescent="0.3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</row>
    <row r="1403" spans="1:19" x14ac:dyDescent="0.3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</row>
    <row r="1404" spans="1:19" x14ac:dyDescent="0.3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</row>
    <row r="1405" spans="1:19" x14ac:dyDescent="0.3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</row>
    <row r="1406" spans="1:19" x14ac:dyDescent="0.3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</row>
    <row r="1407" spans="1:19" x14ac:dyDescent="0.3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</row>
    <row r="1408" spans="1:19" x14ac:dyDescent="0.3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</row>
    <row r="1409" spans="1:19" x14ac:dyDescent="0.3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</row>
    <row r="1410" spans="1:19" x14ac:dyDescent="0.3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</row>
    <row r="1411" spans="1:19" x14ac:dyDescent="0.3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</row>
    <row r="1412" spans="1:19" x14ac:dyDescent="0.3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</row>
    <row r="1413" spans="1:19" x14ac:dyDescent="0.3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</row>
    <row r="1414" spans="1:19" x14ac:dyDescent="0.3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</row>
    <row r="1415" spans="1:19" x14ac:dyDescent="0.3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</row>
    <row r="1416" spans="1:19" x14ac:dyDescent="0.3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</row>
    <row r="1417" spans="1:19" x14ac:dyDescent="0.3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</row>
    <row r="1418" spans="1:19" x14ac:dyDescent="0.3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</row>
    <row r="1419" spans="1:19" x14ac:dyDescent="0.3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</row>
    <row r="1420" spans="1:19" x14ac:dyDescent="0.3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</row>
    <row r="1421" spans="1:19" x14ac:dyDescent="0.3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</row>
    <row r="1422" spans="1:19" x14ac:dyDescent="0.3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</row>
    <row r="1423" spans="1:19" x14ac:dyDescent="0.3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</row>
    <row r="1424" spans="1:19" x14ac:dyDescent="0.3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</row>
    <row r="1425" spans="1:19" x14ac:dyDescent="0.3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</row>
    <row r="1426" spans="1:19" x14ac:dyDescent="0.3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</row>
    <row r="1427" spans="1:19" x14ac:dyDescent="0.3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</row>
    <row r="1428" spans="1:19" x14ac:dyDescent="0.3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</row>
    <row r="1429" spans="1:19" x14ac:dyDescent="0.3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</row>
    <row r="1430" spans="1:19" x14ac:dyDescent="0.3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</row>
    <row r="1431" spans="1:19" x14ac:dyDescent="0.3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</row>
    <row r="1432" spans="1:19" x14ac:dyDescent="0.3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</row>
    <row r="1433" spans="1:19" x14ac:dyDescent="0.3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</row>
    <row r="1434" spans="1:19" x14ac:dyDescent="0.3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</row>
    <row r="1435" spans="1:19" x14ac:dyDescent="0.3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</row>
    <row r="1436" spans="1:19" x14ac:dyDescent="0.3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</row>
    <row r="1437" spans="1:19" x14ac:dyDescent="0.3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</row>
    <row r="1438" spans="1:19" x14ac:dyDescent="0.3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</row>
    <row r="1439" spans="1:19" x14ac:dyDescent="0.3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</row>
    <row r="1440" spans="1:19" x14ac:dyDescent="0.3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</row>
    <row r="1441" spans="1:19" x14ac:dyDescent="0.3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</row>
    <row r="1442" spans="1:19" x14ac:dyDescent="0.3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</row>
    <row r="1443" spans="1:19" x14ac:dyDescent="0.3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</row>
    <row r="1444" spans="1:19" x14ac:dyDescent="0.3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</row>
    <row r="1445" spans="1:19" x14ac:dyDescent="0.3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</row>
    <row r="1446" spans="1:19" x14ac:dyDescent="0.3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</row>
  </sheetData>
  <autoFilter ref="A1:S144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2026-09-12T13:55:18Z</dcterms:modified>
</cp:coreProperties>
</file>