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26'!$A$1:$S$1205</definedName>
  </definedNames>
  <calcPr calcId="162913"/>
  <pivotCaches>
    <pivotCache cacheId="13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91" i="1" l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 l="1"/>
  <c r="F1334" i="1"/>
  <c r="F1333" i="1"/>
  <c r="F1332" i="1"/>
  <c r="F1331" i="1"/>
  <c r="F1330" i="1"/>
  <c r="F1329" i="1"/>
  <c r="F1328" i="1"/>
  <c r="F1327" i="1"/>
  <c r="F1326" i="1" l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 l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S1205" i="1" l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S2" i="1" l="1"/>
  <c r="F1166" i="1" l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<sst xmlns="http://schemas.openxmlformats.org/spreadsheetml/2006/main" count="13449" uniqueCount="335">
  <si>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</si>
  <si>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</si>
  <si>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</si>
  <si>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</si>
  <si>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</si>
  <si>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</si>
  <si>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</si>
  <si>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</si>
  <si>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</si>
  <si>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</si>
  <si>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</si>
  <si>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</si>
  <si>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</si>
  <si>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</si>
  <si>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</si>
  <si>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</si>
  <si>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</si>
  <si>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</si>
  <si>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</si>
  <si>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</si>
  <si>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</si>
  <si>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</si>
  <si>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</si>
  <si>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</si>
  <si>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</si>
  <si>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</si>
  <si>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</si>
  <si>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</si>
  <si>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</si>
  <si>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</si>
  <si>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</si>
  <si>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</si>
  <si>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</si>
  <si>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</si>
  <si>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</si>
  <si>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</si>
  <si>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</si>
  <si>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</si>
  <si>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</si>
  <si>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</si>
  <si>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</si>
  <si>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</si>
  <si>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</si>
  <si>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</si>
  <si>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</si>
  <si>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</si>
  <si>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</si>
  <si>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</si>
  <si>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</si>
  <si>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</si>
  <si>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</si>
  <si>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</si>
  <si>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</si>
  <si>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</si>
  <si>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</si>
  <si>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</si>
  <si>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</si>
  <si>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</si>
  <si>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</si>
  <si>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</si>
  <si>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</si>
  <si>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</si>
  <si>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</si>
  <si>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</si>
  <si>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</si>
  <si>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</si>
  <si>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</si>
  <si>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</si>
  <si>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</si>
  <si>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</si>
  <si>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</si>
  <si>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</si>
  <si>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</si>
  <si>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</si>
  <si>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</si>
  <si>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</si>
  <si>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</si>
  <si>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</si>
  <si>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</si>
  <si>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</si>
  <si>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</si>
  <si>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</si>
  <si>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</si>
  <si>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</si>
  <si>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</si>
  <si>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</si>
  <si>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</si>
  <si>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</si>
  <si>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</si>
  <si>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</si>
  <si>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</si>
  <si>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</si>
  <si>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</si>
  <si>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</si>
  <si>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</si>
  <si>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</si>
  <si>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</si>
  <si>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</si>
  <si>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</si>
  <si>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</si>
  <si>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</si>
  <si>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</si>
  <si>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</si>
  <si>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</si>
  <si>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</si>
  <si>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</si>
  <si>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</si>
  <si>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</si>
  <si>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</si>
  <si>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</si>
  <si>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</si>
  <si>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</si>
  <si>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</si>
  <si>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</si>
  <si>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</si>
  <si>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</si>
  <si>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</si>
  <si>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</si>
  <si>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</si>
  <si>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</si>
  <si>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</si>
  <si>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</si>
  <si>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</si>
  <si>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</si>
  <si>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</si>
  <si>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</si>
  <si>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</si>
  <si>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</si>
  <si>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</si>
  <si>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</si>
  <si>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</si>
  <si>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</si>
  <si>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</si>
  <si>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</si>
  <si>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</si>
  <si>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</si>
  <si>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</si>
  <si>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</si>
  <si>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</si>
  <si>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</si>
  <si>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</si>
  <si>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</si>
  <si>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</si>
  <si>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</si>
  <si>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</si>
  <si>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</si>
  <si>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</si>
  <si>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</si>
  <si>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</si>
  <si>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</si>
  <si>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</si>
  <si>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</si>
  <si>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</si>
  <si>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</si>
  <si>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</si>
  <si>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</si>
  <si>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</si>
  <si>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</si>
  <si>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</si>
  <si>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</si>
  <si>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</si>
  <si>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</si>
  <si>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</si>
  <si>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</si>
  <si>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</si>
  <si>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</si>
  <si>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</si>
  <si>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</si>
  <si>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</si>
  <si>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</si>
  <si>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</si>
  <si>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</si>
  <si>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</si>
  <si>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</si>
  <si>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</si>
  <si>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</si>
  <si>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</si>
  <si>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</si>
  <si>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</si>
  <si>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</si>
  <si>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</si>
  <si>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</si>
  <si>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</si>
  <si>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</si>
  <si>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</si>
  <si>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</si>
  <si>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</si>
  <si>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</si>
  <si>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</si>
  <si>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</si>
  <si>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</si>
  <si>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</si>
  <si>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</si>
  <si>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</si>
  <si>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</si>
  <si>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</si>
  <si>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</si>
  <si>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</si>
  <si>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</si>
  <si>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</si>
  <si>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</si>
  <si>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</si>
  <si>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</si>
  <si>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</si>
  <si>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</si>
  <si>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</si>
  <si>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</si>
  <si>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</si>
  <si>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</si>
  <si>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</si>
  <si>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</si>
  <si>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</si>
  <si>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</si>
  <si>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</si>
  <si>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</si>
  <si>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</si>
  <si>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</si>
  <si>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</si>
  <si>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</si>
  <si>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</si>
  <si>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</si>
  <si>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</si>
  <si>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</si>
  <si>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</si>
  <si>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</si>
  <si>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</si>
  <si>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</si>
  <si>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</si>
  <si>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</si>
  <si>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</si>
  <si>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</si>
  <si>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</si>
  <si>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</si>
  <si>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</si>
  <si>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</si>
  <si>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</si>
  <si>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</si>
  <si>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</si>
  <si>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</si>
  <si>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</si>
  <si>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</si>
  <si>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</si>
  <si>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</si>
  <si>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</si>
  <si>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</si>
  <si>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</si>
  <si>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</si>
  <si>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</si>
  <si>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</si>
  <si>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</si>
  <si>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</si>
  <si>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</si>
  <si>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</si>
  <si>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</si>
  <si>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</si>
  <si>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</si>
  <si>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</si>
  <si>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</si>
  <si>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</si>
  <si>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</si>
  <si>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</si>
  <si>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</si>
  <si>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</si>
  <si>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</si>
  <si>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</si>
  <si>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</si>
  <si>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</si>
  <si>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</si>
  <si>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</si>
  <si>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</si>
  <si>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</si>
  <si>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</si>
  <si>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</si>
  <si>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</si>
  <si>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</si>
  <si>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</si>
  <si>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</si>
  <si>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</si>
  <si>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</si>
  <si>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</si>
  <si>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</si>
  <si>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</si>
  <si>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</si>
  <si>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</si>
  <si>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</si>
  <si>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</si>
  <si>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</si>
  <si>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</si>
  <si>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</si>
  <si>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</si>
  <si>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</si>
  <si>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</si>
  <si>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</si>
  <si>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</si>
  <si>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</si>
  <si>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</si>
  <si>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</si>
  <si>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</si>
  <si>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</si>
  <si>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</si>
  <si>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</si>
  <si>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</si>
  <si>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</si>
  <si>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</si>
  <si>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</si>
  <si>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</si>
  <si>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</si>
  <si>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</si>
  <si>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</si>
  <si>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</si>
  <si>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</si>
  <si>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</si>
  <si>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</si>
  <si>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</si>
  <si>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</si>
  <si>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</si>
  <si>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</si>
  <si>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</si>
  <si>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</si>
  <si>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</si>
  <si>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</si>
  <si>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</si>
  <si>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</si>
  <si>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</si>
  <si>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</si>
  <si>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</si>
  <si>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</si>
  <si>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</si>
  <si>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</si>
  <si>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</si>
  <si>
    <t>Topacio - Topacio</t>
  </si>
  <si>
    <t>MolCa - Molino Cañuelas</t>
  </si>
  <si>
    <t>Arcor - Arcor</t>
  </si>
  <si>
    <t>KPQ389</t>
  </si>
  <si>
    <t>AF653AB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</si>
</sst>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0" fillId="0" borderId="0" xfId="0" applyNumberFormat="1"/>
    <xf numFmtId="0" fontId="1" fillId="0" borderId="0" xfId="1"/>
    <xf numFmtId="14" fontId="1" fillId="0" borderId="0" xfId="1" applyNumberFormat="1"/>
    <xf numFmtId="20" fontId="1" fillId="0" borderId="0" xfId="1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62.523401157407" createdVersion="6" refreshedVersion="6" minRefreshableVersion="3" recordCount="1390">
  <cacheSource type="worksheet">
    <worksheetSource ref="A1:S1391" sheet="Preventivos Realizados List 26"/>
  </cacheSource>
  <cacheFields count="19">
    <cacheField name="Nro. orden" numFmtId="0">
      <sharedItems containsSemiMixedTypes="0" containsString="0" containsNumber="1" containsInteger="1" minValue="26992" maxValue="40361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08-27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8-27T00:00:00" count="135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  <d v="2026-08-25T00:00:00"/>
        <d v="2026-08-26T00:00:00"/>
      </sharedItems>
    </cacheField>
    <cacheField name="Fecha estimada de cierre" numFmtId="0">
      <sharedItems containsNonDate="0" containsDate="1" containsString="0" containsBlank="1" minDate="2026-01-02T00:00:00" maxDate="2026-08-27T00:00:00"/>
    </cacheField>
    <cacheField name="Fecha de cierre" numFmtId="0">
      <sharedItems containsNonDate="0" containsDate="1" containsString="0" containsBlank="1" minDate="2026-01-02T00:00:00" maxDate="2026-08-28T00:00:00"/>
    </cacheField>
    <cacheField name="Código de equipo" numFmtId="0">
      <sharedItems count="198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  <s v="KPQ389"/>
        <s v="AF653AB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2830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7749"/>
    </cacheField>
    <cacheField name="CC Grupo" numFmtId="0">
      <sharedItems count="34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  <s v="Topacio - Topacio"/>
        <s v="MolCa - Molino Cañuelas"/>
        <s v="Arcor - Arco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90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1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5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5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9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7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6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3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5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9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1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3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n v="45739"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n v="45740"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50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2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4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6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8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60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3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5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7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024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455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02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50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3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5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n v="46498"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n v="46499"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n v="46500"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n v="46529"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n v="46530"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n v="46531"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n v="46532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20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20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20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20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n v="46510"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n v="46511"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n v="46512"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m/>
    <x v="3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n v="46894"/>
    <x v="31"/>
  </r>
  <r>
    <n v="36674"/>
    <s v="Preventivo"/>
    <s v="Cerrada"/>
    <s v="Si"/>
    <s v="2ML"/>
    <x v="3"/>
    <d v="2026-07-02T00:00:00"/>
    <d v="1899-12-30T12:33:00"/>
    <x v="102"/>
    <m/>
    <d v="2026-08-21T00:00:00"/>
    <x v="167"/>
    <s v="AXOR 1933"/>
    <x v="3"/>
    <s v="C000004"/>
    <n v="30737"/>
    <s v="O"/>
    <m/>
    <x v="32"/>
  </r>
  <r>
    <n v="36674"/>
    <s v="Preventivo"/>
    <s v="Cerrada"/>
    <s v="Si"/>
    <s v="2ML"/>
    <x v="3"/>
    <d v="2026-07-02T00:00:00"/>
    <d v="1899-12-30T12:33:00"/>
    <x v="102"/>
    <m/>
    <d v="2026-08-21T00:00:00"/>
    <x v="167"/>
    <s v="AXOR 1933"/>
    <x v="3"/>
    <s v="C000004"/>
    <n v="30737"/>
    <s v="O"/>
    <n v="46896"/>
    <x v="32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m/>
    <x v="32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n v="46897"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m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n v="46898"/>
    <x v="32"/>
  </r>
  <r>
    <n v="36690"/>
    <s v="Preventivo"/>
    <s v="Cerrada"/>
    <s v="Si"/>
    <s v="2MC 2"/>
    <x v="0"/>
    <d v="2026-07-02T00:00:00"/>
    <d v="1899-12-30T18:34:00"/>
    <x v="102"/>
    <d v="2026-07-02T00:00:00"/>
    <d v="2026-08-21T00:00:00"/>
    <x v="168"/>
    <s v="TECTOR EVO 170E28"/>
    <x v="3"/>
    <s v="C000001"/>
    <n v="30751"/>
    <s v="O"/>
    <m/>
    <x v="0"/>
  </r>
  <r>
    <n v="36690"/>
    <s v="Preventivo"/>
    <s v="Cerrada"/>
    <s v="Si"/>
    <s v="2MC 2"/>
    <x v="0"/>
    <d v="2026-07-02T00:00:00"/>
    <d v="1899-12-30T18:34:00"/>
    <x v="102"/>
    <d v="2026-07-02T00:00:00"/>
    <d v="2026-08-21T00:00:00"/>
    <x v="168"/>
    <s v="TECTOR EVO 170E28"/>
    <x v="3"/>
    <s v="C000001"/>
    <n v="30751"/>
    <s v="O"/>
    <n v="46901"/>
    <x v="0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m/>
    <x v="0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n v="46902"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m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n v="46903"/>
    <x v="0"/>
  </r>
  <r>
    <n v="36699"/>
    <s v="Preventivo"/>
    <s v="Cerrada"/>
    <s v="Si"/>
    <s v="2MC"/>
    <x v="0"/>
    <d v="2026-07-03T00:00:00"/>
    <d v="1899-12-30T09:26:00"/>
    <x v="103"/>
    <m/>
    <d v="2026-08-21T00:00:00"/>
    <x v="169"/>
    <n v="1620"/>
    <x v="3"/>
    <s v="C000004"/>
    <n v="30759"/>
    <s v="O"/>
    <m/>
    <x v="32"/>
  </r>
  <r>
    <n v="36699"/>
    <s v="Preventivo"/>
    <s v="Cerrada"/>
    <s v="Si"/>
    <s v="2MC"/>
    <x v="0"/>
    <d v="2026-07-03T00:00:00"/>
    <d v="1899-12-30T09:26:00"/>
    <x v="103"/>
    <m/>
    <d v="2026-08-21T00:00:00"/>
    <x v="169"/>
    <n v="1620"/>
    <x v="3"/>
    <s v="C000004"/>
    <n v="30759"/>
    <s v="O"/>
    <n v="46905"/>
    <x v="32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m/>
    <x v="32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n v="46906"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m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n v="46907"/>
    <x v="32"/>
  </r>
  <r>
    <n v="36891"/>
    <s v="Preventivo"/>
    <s v="Cerrada"/>
    <s v="Si"/>
    <s v="2ML 1"/>
    <x v="3"/>
    <d v="2026-07-06T00:00:00"/>
    <d v="1899-12-30T09:05:00"/>
    <x v="104"/>
    <m/>
    <d v="2026-08-21T00:00:00"/>
    <x v="2"/>
    <s v="AXOR 2541"/>
    <x v="3"/>
    <s v="C000002"/>
    <n v="30842"/>
    <s v="O"/>
    <m/>
    <x v="1"/>
  </r>
  <r>
    <n v="36891"/>
    <s v="Preventivo"/>
    <s v="Cerrada"/>
    <s v="Si"/>
    <s v="2ML 1"/>
    <x v="3"/>
    <d v="2026-07-06T00:00:00"/>
    <d v="1899-12-30T09:05:00"/>
    <x v="104"/>
    <m/>
    <d v="2026-08-21T00:00:00"/>
    <x v="2"/>
    <s v="AXOR 2541"/>
    <x v="3"/>
    <s v="C000002"/>
    <n v="30842"/>
    <s v="O"/>
    <n v="46913"/>
    <x v="1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m/>
    <x v="1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n v="46914"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m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n v="46915"/>
    <x v="1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m/>
    <x v="33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n v="46928"/>
    <x v="33"/>
  </r>
  <r>
    <n v="37217"/>
    <s v="Preventivo"/>
    <s v="Cerrada"/>
    <s v="Si"/>
    <s v="2ML"/>
    <x v="3"/>
    <d v="2026-07-13T00:00:00"/>
    <d v="1899-12-30T08:54:00"/>
    <x v="107"/>
    <m/>
    <d v="2026-08-24T00:00:00"/>
    <x v="77"/>
    <s v="AXOR 1933"/>
    <x v="3"/>
    <s v="C000003"/>
    <n v="31025"/>
    <s v="O"/>
    <m/>
    <x v="2"/>
  </r>
  <r>
    <n v="37217"/>
    <s v="Preventivo"/>
    <s v="Cerrada"/>
    <s v="Si"/>
    <s v="2ML"/>
    <x v="3"/>
    <d v="2026-07-13T00:00:00"/>
    <d v="1899-12-30T08:54:00"/>
    <x v="107"/>
    <m/>
    <d v="2026-08-24T00:00:00"/>
    <x v="77"/>
    <s v="AXOR 1933"/>
    <x v="3"/>
    <s v="C000003"/>
    <n v="31025"/>
    <s v="O"/>
    <n v="46982"/>
    <x v="2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m/>
    <x v="2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n v="46984"/>
    <x v="2"/>
  </r>
  <r>
    <n v="37467"/>
    <s v="Preventivo"/>
    <s v="Cerrada"/>
    <s v="Si"/>
    <s v="2ML 1"/>
    <x v="3"/>
    <d v="2026-07-17T00:00:00"/>
    <d v="1899-12-30T13:30:00"/>
    <x v="109"/>
    <m/>
    <d v="2026-08-24T00:00:00"/>
    <x v="44"/>
    <s v="ACTROS 2045"/>
    <x v="3"/>
    <s v="C000003"/>
    <n v="31202"/>
    <s v="O"/>
    <n v="47099"/>
    <x v="2"/>
  </r>
  <r>
    <n v="37467"/>
    <s v="Preventivo"/>
    <s v="Cerrada"/>
    <s v="Si"/>
    <s v="2ML 1"/>
    <x v="3"/>
    <d v="2026-07-17T00:00:00"/>
    <d v="1899-12-30T13:30:00"/>
    <x v="109"/>
    <m/>
    <d v="2026-08-24T00:00:00"/>
    <x v="44"/>
    <s v="ACTROS 2045"/>
    <x v="3"/>
    <s v="C000003"/>
    <n v="31202"/>
    <s v="O"/>
    <m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n v="47100"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m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n v="47101"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m/>
    <x v="2"/>
  </r>
  <r>
    <n v="39064"/>
    <s v="Preventivo"/>
    <s v="Cerrada"/>
    <s v="Si"/>
    <s v="3ML 1"/>
    <x v="4"/>
    <d v="2026-08-13T00:00:00"/>
    <d v="1899-12-30T11:17:00"/>
    <x v="129"/>
    <m/>
    <d v="2026-08-27T00:00:00"/>
    <x v="3"/>
    <s v="AXOR 2541"/>
    <x v="3"/>
    <s v="C000002"/>
    <n v="32309"/>
    <s v="C"/>
    <n v="47705"/>
    <x v="1"/>
  </r>
  <r>
    <n v="39064"/>
    <s v="Preventivo"/>
    <s v="Cerrada"/>
    <s v="Si"/>
    <s v="3ML 1"/>
    <x v="4"/>
    <d v="2026-08-13T00:00:00"/>
    <d v="1899-12-30T11:17:00"/>
    <x v="129"/>
    <m/>
    <d v="2026-08-27T00:00:00"/>
    <x v="3"/>
    <s v="AXOR 2541"/>
    <x v="3"/>
    <s v="C000002"/>
    <n v="32309"/>
    <s v="C"/>
    <n v="47749"/>
    <x v="1"/>
  </r>
  <r>
    <n v="39525"/>
    <s v="Preventivo"/>
    <s v="Cerrada"/>
    <s v="Si"/>
    <s v="2ML 1"/>
    <x v="3"/>
    <d v="2026-08-20T00:00:00"/>
    <d v="1899-12-30T07:47:00"/>
    <x v="132"/>
    <m/>
    <d v="2026-08-24T00:00:00"/>
    <x v="21"/>
    <s v="AXOR 2541"/>
    <x v="3"/>
    <s v="C000002"/>
    <n v="32533"/>
    <s v="C"/>
    <n v="47749"/>
    <x v="1"/>
  </r>
  <r>
    <n v="39525"/>
    <s v="Preventivo"/>
    <s v="Cerrada"/>
    <s v="Si"/>
    <s v="2ML 1"/>
    <x v="3"/>
    <d v="2026-08-20T00:00:00"/>
    <d v="1899-12-30T07:47:00"/>
    <x v="132"/>
    <m/>
    <d v="2026-08-24T00:00:00"/>
    <x v="21"/>
    <s v="AXOR 2541"/>
    <x v="3"/>
    <s v="C000002"/>
    <n v="32533"/>
    <s v="C"/>
    <n v="47539"/>
    <x v="1"/>
  </r>
  <r>
    <n v="39526"/>
    <s v="Preventivo"/>
    <s v="Cerrada"/>
    <s v="Si"/>
    <s v="3ML 1"/>
    <x v="4"/>
    <d v="2026-08-20T00:00:00"/>
    <d v="1899-12-30T07:47:00"/>
    <x v="132"/>
    <m/>
    <d v="2026-08-24T00:00:00"/>
    <x v="21"/>
    <s v="AXOR 2541"/>
    <x v="3"/>
    <s v="C000002"/>
    <n v="32534"/>
    <s v="C"/>
    <n v="47749"/>
    <x v="1"/>
  </r>
  <r>
    <n v="39526"/>
    <s v="Preventivo"/>
    <s v="Cerrada"/>
    <s v="Si"/>
    <s v="3ML 1"/>
    <x v="4"/>
    <d v="2026-08-20T00:00:00"/>
    <d v="1899-12-30T07:47:00"/>
    <x v="132"/>
    <m/>
    <d v="2026-08-24T00:00:00"/>
    <x v="21"/>
    <s v="AXOR 2541"/>
    <x v="3"/>
    <s v="C000002"/>
    <n v="32534"/>
    <s v="C"/>
    <n v="47538"/>
    <x v="1"/>
  </r>
  <r>
    <n v="39527"/>
    <s v="Preventivo"/>
    <s v="Cerrada"/>
    <s v="Si"/>
    <s v="6ML 1"/>
    <x v="5"/>
    <d v="2026-08-20T00:00:00"/>
    <d v="1899-12-30T07:47:00"/>
    <x v="132"/>
    <m/>
    <d v="2026-08-24T00:00:00"/>
    <x v="21"/>
    <s v="AXOR 2541"/>
    <x v="3"/>
    <s v="C000002"/>
    <n v="32535"/>
    <s v="C"/>
    <n v="47749"/>
    <x v="1"/>
  </r>
  <r>
    <n v="39527"/>
    <s v="Preventivo"/>
    <s v="Cerrada"/>
    <s v="Si"/>
    <s v="6ML 1"/>
    <x v="5"/>
    <d v="2026-08-20T00:00:00"/>
    <d v="1899-12-30T07:47:00"/>
    <x v="132"/>
    <m/>
    <d v="2026-08-24T00:00:00"/>
    <x v="21"/>
    <s v="AXOR 2541"/>
    <x v="3"/>
    <s v="C000002"/>
    <n v="32535"/>
    <s v="C"/>
    <n v="47537"/>
    <x v="1"/>
  </r>
  <r>
    <n v="39553"/>
    <s v="Preventivo"/>
    <s v="Cerrada"/>
    <s v="Si"/>
    <s v="2ML 1"/>
    <x v="3"/>
    <d v="2026-08-20T00:00:00"/>
    <d v="1899-12-30T14:45:00"/>
    <x v="132"/>
    <d v="2026-08-20T00:00:00"/>
    <d v="2026-08-24T00:00:00"/>
    <x v="16"/>
    <s v="AXOR 2541"/>
    <x v="3"/>
    <s v="C000002"/>
    <n v="32553"/>
    <s v="C"/>
    <n v="47749"/>
    <x v="1"/>
  </r>
  <r>
    <n v="39553"/>
    <s v="Preventivo"/>
    <s v="Cerrada"/>
    <s v="Si"/>
    <s v="2ML 1"/>
    <x v="3"/>
    <d v="2026-08-20T00:00:00"/>
    <d v="1899-12-30T14:45:00"/>
    <x v="132"/>
    <d v="2026-08-20T00:00:00"/>
    <d v="2026-08-24T00:00:00"/>
    <x v="16"/>
    <s v="AXOR 2541"/>
    <x v="3"/>
    <s v="C000002"/>
    <n v="32553"/>
    <s v="C"/>
    <n v="47528"/>
    <x v="1"/>
  </r>
  <r>
    <n v="39555"/>
    <s v="Preventivo"/>
    <s v="Cerrada"/>
    <s v="Si"/>
    <s v="6ML 1"/>
    <x v="5"/>
    <d v="2026-08-20T00:00:00"/>
    <d v="1899-12-30T14:45:00"/>
    <x v="132"/>
    <d v="2026-08-20T00:00:00"/>
    <d v="2026-08-24T00:00:00"/>
    <x v="16"/>
    <s v="AXOR 2541"/>
    <x v="3"/>
    <s v="C000002"/>
    <n v="32551"/>
    <s v="C"/>
    <n v="47749"/>
    <x v="1"/>
  </r>
  <r>
    <n v="39555"/>
    <s v="Preventivo"/>
    <s v="Cerrada"/>
    <s v="Si"/>
    <s v="6ML 1"/>
    <x v="5"/>
    <d v="2026-08-20T00:00:00"/>
    <d v="1899-12-30T14:45:00"/>
    <x v="132"/>
    <d v="2026-08-20T00:00:00"/>
    <d v="2026-08-24T00:00:00"/>
    <x v="16"/>
    <s v="AXOR 2541"/>
    <x v="3"/>
    <s v="C000002"/>
    <n v="32551"/>
    <s v="C"/>
    <n v="47526"/>
    <x v="1"/>
  </r>
  <r>
    <n v="40326"/>
    <s v="Preventivo"/>
    <s v="Liberada"/>
    <s v="No"/>
    <s v="2MC"/>
    <x v="0"/>
    <d v="2026-08-25T00:00:00"/>
    <d v="1899-12-30T20:34:00"/>
    <x v="133"/>
    <d v="2026-08-25T00:00:00"/>
    <d v="2026-08-25T00:00:00"/>
    <x v="196"/>
    <s v="ATRON 1720"/>
    <x v="3"/>
    <s v="C000001"/>
    <n v="32798"/>
    <s v="O"/>
    <m/>
    <x v="17"/>
  </r>
  <r>
    <n v="40327"/>
    <s v="Preventivo"/>
    <s v="Liberada"/>
    <s v="No"/>
    <s v="3MC"/>
    <x v="1"/>
    <d v="2026-08-25T00:00:00"/>
    <d v="1899-12-30T20:34:00"/>
    <x v="133"/>
    <d v="2026-08-25T00:00:00"/>
    <d v="2026-08-25T00:00:00"/>
    <x v="196"/>
    <s v="ATRON 1720"/>
    <x v="3"/>
    <s v="C000001"/>
    <n v="32799"/>
    <s v="O"/>
    <m/>
    <x v="17"/>
  </r>
  <r>
    <n v="40328"/>
    <s v="Preventivo"/>
    <s v="Liberada"/>
    <s v="No"/>
    <s v="6MC"/>
    <x v="2"/>
    <d v="2026-08-25T00:00:00"/>
    <d v="1899-12-30T20:34:00"/>
    <x v="133"/>
    <d v="2026-08-25T00:00:00"/>
    <d v="2026-08-25T00:00:00"/>
    <x v="196"/>
    <s v="ATRON 1720"/>
    <x v="3"/>
    <s v="C000001"/>
    <n v="32800"/>
    <s v="O"/>
    <m/>
    <x v="17"/>
  </r>
  <r>
    <n v="40359"/>
    <s v="Preventivo"/>
    <s v="Liberada"/>
    <s v="No"/>
    <s v="2MC"/>
    <x v="0"/>
    <d v="2026-08-26T00:00:00"/>
    <d v="1899-12-30T18:48:00"/>
    <x v="134"/>
    <d v="2026-08-26T00:00:00"/>
    <d v="2026-08-26T00:00:00"/>
    <x v="197"/>
    <s v="ATEGO 1721"/>
    <x v="3"/>
    <s v="C000001"/>
    <n v="32828"/>
    <s v="O"/>
    <m/>
    <x v="0"/>
  </r>
  <r>
    <n v="40360"/>
    <s v="Preventivo"/>
    <s v="Liberada"/>
    <s v="No"/>
    <s v="3MC"/>
    <x v="1"/>
    <d v="2026-08-26T00:00:00"/>
    <d v="1899-12-30T18:48:00"/>
    <x v="134"/>
    <d v="2026-08-26T00:00:00"/>
    <d v="2026-08-26T00:00:00"/>
    <x v="197"/>
    <s v="ATEGO 1721"/>
    <x v="3"/>
    <s v="C000001"/>
    <n v="32829"/>
    <s v="O"/>
    <m/>
    <x v="0"/>
  </r>
  <r>
    <n v="40361"/>
    <s v="Preventivo"/>
    <s v="Liberada"/>
    <s v="No"/>
    <s v="6MC"/>
    <x v="2"/>
    <d v="2026-08-26T00:00:00"/>
    <d v="1899-12-30T18:48:00"/>
    <x v="134"/>
    <d v="2026-08-26T00:00:00"/>
    <d v="2026-08-26T00:00:00"/>
    <x v="197"/>
    <s v="ATEGO 1721"/>
    <x v="3"/>
    <s v="C000001"/>
    <n v="32830"/>
    <s v="O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60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198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4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  <item x="31"/>
        <item x="32"/>
        <item x="33"/>
      </items>
    </pivotField>
  </pivotFields>
  <rowFields count="5">
    <field x="11"/>
    <field x="8"/>
    <field x="5"/>
    <field x="18"/>
    <field x="13"/>
  </rowFields>
  <rowItems count="259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>
      <x v="54"/>
      <x v="34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 r="3">
      <x v="32"/>
      <x v="1"/>
    </i>
    <i>
      <x v="168"/>
      <x v="102"/>
      <x/>
      <x v="8"/>
      <x v="1"/>
    </i>
    <i>
      <x v="169"/>
      <x v="103"/>
      <x/>
      <x v="28"/>
      <x v="1"/>
    </i>
    <i r="3">
      <x v="32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>
      <x v="196"/>
      <x v="133"/>
      <x/>
      <x v="1"/>
      <x v="1"/>
    </i>
    <i>
      <x v="197"/>
      <x v="134"/>
      <x/>
      <x v="8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0"/>
  <sheetViews>
    <sheetView tabSelected="1" workbookViewId="0">
      <selection activeCell="D6" sqref="D2:D259"/>
      <pivotSelection pane="bottomRight" showHeader="1" axis="axisRow" dimension="3" activeRow="5" activeCol="3" previousRow="5" previousCol="3" click="1" r:id="rId1">
        <pivotArea dataOnly="0" labelOnly="1" fieldPosition="0">
          <references count="1">
            <reference field="18" count="0"/>
          </references>
        </pivotArea>
      </pivotSelection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2" t="s">
        <v>132</v>
      </c>
      <c r="B1" s="2" t="s">
        <v>5</v>
      </c>
      <c r="C1" s="2" t="s">
        <v>134</v>
      </c>
      <c r="D1" s="2" t="s">
        <v>14</v>
      </c>
      <c r="E1" s="2" t="s">
        <v>305</v>
      </c>
    </row>
    <row r="2" spans="1:5" x14ac:dyDescent="0.3">
      <c r="A2" s="3" t="s">
        <v>96</v>
      </c>
      <c r="B2" s="4">
        <v>46031</v>
      </c>
      <c r="C2" s="3" t="s">
        <v>35</v>
      </c>
      <c r="D2" s="3" t="s">
        <v>38</v>
      </c>
      <c r="E2" s="3" t="s">
        <v>21</v>
      </c>
    </row>
    <row r="3" spans="1:5" x14ac:dyDescent="0.3">
      <c r="A3" s="3" t="s">
        <v>96</v>
      </c>
      <c r="B3" s="4">
        <v>46162</v>
      </c>
      <c r="C3" s="3" t="s">
        <v>35</v>
      </c>
      <c r="D3" s="3" t="s">
        <v>38</v>
      </c>
      <c r="E3" s="3" t="s">
        <v>208</v>
      </c>
    </row>
    <row r="4" spans="1:5" x14ac:dyDescent="0.3">
      <c r="A4" s="3" t="s">
        <v>48</v>
      </c>
      <c r="B4" s="4">
        <v>46052</v>
      </c>
      <c r="C4" s="3" t="s">
        <v>35</v>
      </c>
      <c r="D4" s="3" t="s">
        <v>38</v>
      </c>
      <c r="E4" s="3" t="s">
        <v>21</v>
      </c>
    </row>
    <row r="5" spans="1:5" x14ac:dyDescent="0.3">
      <c r="A5" s="3" t="s">
        <v>48</v>
      </c>
      <c r="B5" s="4">
        <v>46161</v>
      </c>
      <c r="C5" s="3" t="s">
        <v>35</v>
      </c>
      <c r="D5" s="3" t="s">
        <v>38</v>
      </c>
      <c r="E5" s="3" t="s">
        <v>208</v>
      </c>
    </row>
    <row r="6" spans="1:5" x14ac:dyDescent="0.3">
      <c r="A6" s="3" t="s">
        <v>64</v>
      </c>
      <c r="B6" s="4">
        <v>46027</v>
      </c>
      <c r="C6" s="3" t="s">
        <v>35</v>
      </c>
      <c r="D6" s="3" t="s">
        <v>38</v>
      </c>
      <c r="E6" s="3" t="s">
        <v>21</v>
      </c>
    </row>
    <row r="7" spans="1:5" x14ac:dyDescent="0.3">
      <c r="A7" s="3" t="s">
        <v>64</v>
      </c>
      <c r="B7" s="4">
        <v>46209</v>
      </c>
      <c r="C7" s="3" t="s">
        <v>35</v>
      </c>
      <c r="D7" s="3" t="s">
        <v>38</v>
      </c>
      <c r="E7" s="3" t="s">
        <v>208</v>
      </c>
    </row>
    <row r="8" spans="1:5" x14ac:dyDescent="0.3">
      <c r="A8" s="3" t="s">
        <v>104</v>
      </c>
      <c r="B8" s="4">
        <v>46030</v>
      </c>
      <c r="C8" s="3" t="s">
        <v>35</v>
      </c>
      <c r="D8" s="3" t="s">
        <v>38</v>
      </c>
      <c r="E8" s="3" t="s">
        <v>21</v>
      </c>
    </row>
    <row r="9" spans="1:5" x14ac:dyDescent="0.3">
      <c r="A9" s="3" t="s">
        <v>104</v>
      </c>
      <c r="B9" s="4">
        <v>46200</v>
      </c>
      <c r="C9" s="3" t="s">
        <v>35</v>
      </c>
      <c r="D9" s="3" t="s">
        <v>38</v>
      </c>
      <c r="E9" s="3" t="s">
        <v>208</v>
      </c>
    </row>
    <row r="10" spans="1:5" x14ac:dyDescent="0.3">
      <c r="A10" s="3" t="s">
        <v>36</v>
      </c>
      <c r="B10" s="4">
        <v>46036</v>
      </c>
      <c r="C10" s="3" t="s">
        <v>51</v>
      </c>
      <c r="D10" s="3" t="s">
        <v>38</v>
      </c>
      <c r="E10" s="3" t="s">
        <v>21</v>
      </c>
    </row>
    <row r="11" spans="1:5" x14ac:dyDescent="0.3">
      <c r="A11" s="3" t="s">
        <v>36</v>
      </c>
      <c r="B11" s="4">
        <v>46129</v>
      </c>
      <c r="C11" s="3" t="s">
        <v>35</v>
      </c>
      <c r="D11" s="3" t="s">
        <v>38</v>
      </c>
      <c r="E11" s="3" t="s">
        <v>21</v>
      </c>
    </row>
    <row r="12" spans="1:5" x14ac:dyDescent="0.3">
      <c r="A12" s="3" t="s">
        <v>36</v>
      </c>
      <c r="B12" s="4">
        <v>46254</v>
      </c>
      <c r="C12" s="3" t="s">
        <v>35</v>
      </c>
      <c r="D12" s="3" t="s">
        <v>38</v>
      </c>
      <c r="E12" s="3" t="s">
        <v>208</v>
      </c>
    </row>
    <row r="13" spans="1:5" x14ac:dyDescent="0.3">
      <c r="A13" s="3" t="s">
        <v>69</v>
      </c>
      <c r="B13" s="4">
        <v>46051</v>
      </c>
      <c r="C13" s="3" t="s">
        <v>35</v>
      </c>
      <c r="D13" s="3" t="s">
        <v>38</v>
      </c>
      <c r="E13" s="3" t="s">
        <v>21</v>
      </c>
    </row>
    <row r="14" spans="1:5" x14ac:dyDescent="0.3">
      <c r="A14" s="3" t="s">
        <v>69</v>
      </c>
      <c r="B14" s="4">
        <v>46204</v>
      </c>
      <c r="C14" s="3" t="s">
        <v>35</v>
      </c>
      <c r="D14" s="3" t="s">
        <v>38</v>
      </c>
      <c r="E14" s="3" t="s">
        <v>208</v>
      </c>
    </row>
    <row r="15" spans="1:5" x14ac:dyDescent="0.3">
      <c r="A15" s="3" t="s">
        <v>70</v>
      </c>
      <c r="B15" s="4">
        <v>46029</v>
      </c>
      <c r="C15" s="3" t="s">
        <v>35</v>
      </c>
      <c r="D15" s="3" t="s">
        <v>38</v>
      </c>
      <c r="E15" s="3" t="s">
        <v>21</v>
      </c>
    </row>
    <row r="16" spans="1:5" x14ac:dyDescent="0.3">
      <c r="A16" s="3" t="s">
        <v>70</v>
      </c>
      <c r="B16" s="4">
        <v>46126</v>
      </c>
      <c r="C16" s="3" t="s">
        <v>35</v>
      </c>
      <c r="D16" s="3" t="s">
        <v>38</v>
      </c>
      <c r="E16" s="3" t="s">
        <v>21</v>
      </c>
    </row>
    <row r="17" spans="1:5" x14ac:dyDescent="0.3">
      <c r="A17" s="3" t="s">
        <v>70</v>
      </c>
      <c r="B17" s="4">
        <v>46248</v>
      </c>
      <c r="C17" s="3" t="s">
        <v>35</v>
      </c>
      <c r="D17" s="3" t="s">
        <v>38</v>
      </c>
      <c r="E17" s="3" t="s">
        <v>208</v>
      </c>
    </row>
    <row r="18" spans="1:5" x14ac:dyDescent="0.3">
      <c r="A18" s="3" t="s">
        <v>92</v>
      </c>
      <c r="B18" s="4">
        <v>46041</v>
      </c>
      <c r="C18" s="3" t="s">
        <v>35</v>
      </c>
      <c r="D18" s="3" t="s">
        <v>38</v>
      </c>
      <c r="E18" s="3" t="s">
        <v>21</v>
      </c>
    </row>
    <row r="19" spans="1:5" x14ac:dyDescent="0.3">
      <c r="A19" s="3" t="s">
        <v>92</v>
      </c>
      <c r="B19" s="4">
        <v>46127</v>
      </c>
      <c r="C19" s="3" t="s">
        <v>35</v>
      </c>
      <c r="D19" s="3" t="s">
        <v>38</v>
      </c>
      <c r="E19" s="3" t="s">
        <v>21</v>
      </c>
    </row>
    <row r="20" spans="1:5" x14ac:dyDescent="0.3">
      <c r="A20" s="3" t="s">
        <v>92</v>
      </c>
      <c r="B20" s="4">
        <v>46248</v>
      </c>
      <c r="C20" s="3" t="s">
        <v>35</v>
      </c>
      <c r="D20" s="3" t="s">
        <v>38</v>
      </c>
      <c r="E20" s="3" t="s">
        <v>208</v>
      </c>
    </row>
    <row r="21" spans="1:5" x14ac:dyDescent="0.3">
      <c r="A21" s="3" t="s">
        <v>54</v>
      </c>
      <c r="B21" s="4">
        <v>46028</v>
      </c>
      <c r="C21" s="3" t="s">
        <v>35</v>
      </c>
      <c r="D21" s="3" t="s">
        <v>38</v>
      </c>
      <c r="E21" s="3" t="s">
        <v>21</v>
      </c>
    </row>
    <row r="22" spans="1:5" x14ac:dyDescent="0.3">
      <c r="A22" s="3" t="s">
        <v>54</v>
      </c>
      <c r="B22" s="4">
        <v>46123</v>
      </c>
      <c r="C22" s="3" t="s">
        <v>35</v>
      </c>
      <c r="D22" s="3" t="s">
        <v>38</v>
      </c>
      <c r="E22" s="3" t="s">
        <v>21</v>
      </c>
    </row>
    <row r="23" spans="1:5" x14ac:dyDescent="0.3">
      <c r="A23" s="3" t="s">
        <v>54</v>
      </c>
      <c r="B23" s="4">
        <v>46247</v>
      </c>
      <c r="C23" s="3" t="s">
        <v>35</v>
      </c>
      <c r="D23" s="3" t="s">
        <v>38</v>
      </c>
      <c r="E23" s="3" t="s">
        <v>208</v>
      </c>
    </row>
    <row r="24" spans="1:5" x14ac:dyDescent="0.3">
      <c r="A24" s="3" t="s">
        <v>75</v>
      </c>
      <c r="B24" s="4">
        <v>46032</v>
      </c>
      <c r="C24" s="3" t="s">
        <v>35</v>
      </c>
      <c r="D24" s="3" t="s">
        <v>38</v>
      </c>
      <c r="E24" s="3" t="s">
        <v>21</v>
      </c>
    </row>
    <row r="25" spans="1:5" x14ac:dyDescent="0.3">
      <c r="A25" s="3" t="s">
        <v>75</v>
      </c>
      <c r="B25" s="4">
        <v>46102</v>
      </c>
      <c r="C25" s="3" t="s">
        <v>35</v>
      </c>
      <c r="D25" s="3" t="s">
        <v>38</v>
      </c>
      <c r="E25" s="3" t="s">
        <v>21</v>
      </c>
    </row>
    <row r="26" spans="1:5" x14ac:dyDescent="0.3">
      <c r="A26" s="3" t="s">
        <v>75</v>
      </c>
      <c r="B26" s="4">
        <v>46254</v>
      </c>
      <c r="C26" s="3" t="s">
        <v>35</v>
      </c>
      <c r="D26" s="3" t="s">
        <v>38</v>
      </c>
      <c r="E26" s="3" t="s">
        <v>208</v>
      </c>
    </row>
    <row r="27" spans="1:5" x14ac:dyDescent="0.3">
      <c r="A27" s="3" t="s">
        <v>76</v>
      </c>
      <c r="B27" s="4">
        <v>46050</v>
      </c>
      <c r="C27" s="3" t="s">
        <v>35</v>
      </c>
      <c r="D27" s="3" t="s">
        <v>298</v>
      </c>
      <c r="E27" s="3" t="s">
        <v>17</v>
      </c>
    </row>
    <row r="28" spans="1:5" x14ac:dyDescent="0.3">
      <c r="A28" s="3" t="s">
        <v>76</v>
      </c>
      <c r="B28" s="4">
        <v>46132</v>
      </c>
      <c r="C28" s="3" t="s">
        <v>35</v>
      </c>
      <c r="D28" s="3" t="s">
        <v>298</v>
      </c>
      <c r="E28" s="3" t="s">
        <v>17</v>
      </c>
    </row>
    <row r="29" spans="1:5" x14ac:dyDescent="0.3">
      <c r="A29" s="3" t="s">
        <v>76</v>
      </c>
      <c r="B29" s="4">
        <v>46195</v>
      </c>
      <c r="C29" s="3" t="s">
        <v>35</v>
      </c>
      <c r="D29" s="3" t="s">
        <v>298</v>
      </c>
      <c r="E29" s="3" t="s">
        <v>17</v>
      </c>
    </row>
    <row r="30" spans="1:5" x14ac:dyDescent="0.3">
      <c r="A30" s="3" t="s">
        <v>73</v>
      </c>
      <c r="B30" s="4">
        <v>46044</v>
      </c>
      <c r="C30" s="3" t="s">
        <v>35</v>
      </c>
      <c r="D30" s="3" t="s">
        <v>26</v>
      </c>
      <c r="E30" s="3" t="s">
        <v>17</v>
      </c>
    </row>
    <row r="31" spans="1:5" x14ac:dyDescent="0.3">
      <c r="A31" s="3" t="s">
        <v>73</v>
      </c>
      <c r="B31" s="4">
        <v>46139</v>
      </c>
      <c r="C31" s="3" t="s">
        <v>35</v>
      </c>
      <c r="D31" s="3" t="s">
        <v>26</v>
      </c>
      <c r="E31" s="3" t="s">
        <v>17</v>
      </c>
    </row>
    <row r="32" spans="1:5" x14ac:dyDescent="0.3">
      <c r="A32" s="3" t="s">
        <v>73</v>
      </c>
      <c r="B32" s="4">
        <v>46232</v>
      </c>
      <c r="C32" s="3" t="s">
        <v>35</v>
      </c>
      <c r="D32" s="3" t="s">
        <v>26</v>
      </c>
      <c r="E32" s="3" t="s">
        <v>17</v>
      </c>
    </row>
    <row r="33" spans="1:5" x14ac:dyDescent="0.3">
      <c r="A33" s="3" t="s">
        <v>61</v>
      </c>
      <c r="B33" s="4">
        <v>46029</v>
      </c>
      <c r="C33" s="3" t="s">
        <v>35</v>
      </c>
      <c r="D33" s="3" t="s">
        <v>26</v>
      </c>
      <c r="E33" s="3" t="s">
        <v>31</v>
      </c>
    </row>
    <row r="34" spans="1:5" x14ac:dyDescent="0.3">
      <c r="A34" s="3" t="s">
        <v>61</v>
      </c>
      <c r="B34" s="4">
        <v>46146</v>
      </c>
      <c r="C34" s="3" t="s">
        <v>35</v>
      </c>
      <c r="D34" s="3" t="s">
        <v>26</v>
      </c>
      <c r="E34" s="3" t="s">
        <v>31</v>
      </c>
    </row>
    <row r="35" spans="1:5" x14ac:dyDescent="0.3">
      <c r="A35" s="3" t="s">
        <v>61</v>
      </c>
      <c r="B35" s="4">
        <v>46224</v>
      </c>
      <c r="C35" s="3" t="s">
        <v>35</v>
      </c>
      <c r="D35" s="3" t="s">
        <v>26</v>
      </c>
      <c r="E35" s="3" t="s">
        <v>31</v>
      </c>
    </row>
    <row r="36" spans="1:5" x14ac:dyDescent="0.3">
      <c r="A36" s="3" t="s">
        <v>102</v>
      </c>
      <c r="B36" s="4">
        <v>46057</v>
      </c>
      <c r="C36" s="3" t="s">
        <v>108</v>
      </c>
      <c r="D36" s="3" t="s">
        <v>45</v>
      </c>
      <c r="E36" s="3" t="s">
        <v>17</v>
      </c>
    </row>
    <row r="37" spans="1:5" x14ac:dyDescent="0.3">
      <c r="A37" s="3" t="s">
        <v>102</v>
      </c>
      <c r="B37" s="4">
        <v>46234</v>
      </c>
      <c r="C37" s="3" t="s">
        <v>108</v>
      </c>
      <c r="D37" s="3" t="s">
        <v>45</v>
      </c>
      <c r="E37" s="3" t="s">
        <v>17</v>
      </c>
    </row>
    <row r="38" spans="1:5" x14ac:dyDescent="0.3">
      <c r="A38" s="3" t="s">
        <v>81</v>
      </c>
      <c r="B38" s="4">
        <v>46037</v>
      </c>
      <c r="C38" s="3" t="s">
        <v>51</v>
      </c>
      <c r="D38" s="3" t="s">
        <v>22</v>
      </c>
      <c r="E38" s="3" t="s">
        <v>21</v>
      </c>
    </row>
    <row r="39" spans="1:5" x14ac:dyDescent="0.3">
      <c r="A39" s="3" t="s">
        <v>89</v>
      </c>
      <c r="B39" s="4">
        <v>46024</v>
      </c>
      <c r="C39" s="3" t="s">
        <v>51</v>
      </c>
      <c r="D39" s="3" t="s">
        <v>22</v>
      </c>
      <c r="E39" s="3" t="s">
        <v>21</v>
      </c>
    </row>
    <row r="40" spans="1:5" x14ac:dyDescent="0.3">
      <c r="A40" s="3" t="s">
        <v>90</v>
      </c>
      <c r="B40" s="4">
        <v>46029</v>
      </c>
      <c r="C40" s="3" t="s">
        <v>51</v>
      </c>
      <c r="D40" s="3" t="s">
        <v>22</v>
      </c>
      <c r="E40" s="3" t="s">
        <v>21</v>
      </c>
    </row>
    <row r="41" spans="1:5" x14ac:dyDescent="0.3">
      <c r="A41" s="3" t="s">
        <v>90</v>
      </c>
      <c r="B41" s="4">
        <v>46065</v>
      </c>
      <c r="C41" s="3" t="s">
        <v>51</v>
      </c>
      <c r="D41" s="3" t="s">
        <v>22</v>
      </c>
      <c r="E41" s="3" t="s">
        <v>21</v>
      </c>
    </row>
    <row r="42" spans="1:5" x14ac:dyDescent="0.3">
      <c r="A42" s="3" t="s">
        <v>91</v>
      </c>
      <c r="B42" s="4">
        <v>46042</v>
      </c>
      <c r="C42" s="3" t="s">
        <v>35</v>
      </c>
      <c r="D42" s="3" t="s">
        <v>38</v>
      </c>
      <c r="E42" s="3" t="s">
        <v>21</v>
      </c>
    </row>
    <row r="43" spans="1:5" x14ac:dyDescent="0.3">
      <c r="A43" s="3" t="s">
        <v>91</v>
      </c>
      <c r="B43" s="4">
        <v>46175</v>
      </c>
      <c r="C43" s="3" t="s">
        <v>35</v>
      </c>
      <c r="D43" s="3" t="s">
        <v>38</v>
      </c>
      <c r="E43" s="3" t="s">
        <v>208</v>
      </c>
    </row>
    <row r="44" spans="1:5" x14ac:dyDescent="0.3">
      <c r="A44" s="3" t="s">
        <v>67</v>
      </c>
      <c r="B44" s="4">
        <v>46046</v>
      </c>
      <c r="C44" s="3" t="s">
        <v>35</v>
      </c>
      <c r="D44" s="3" t="s">
        <v>38</v>
      </c>
      <c r="E44" s="3" t="s">
        <v>21</v>
      </c>
    </row>
    <row r="45" spans="1:5" x14ac:dyDescent="0.3">
      <c r="A45" s="3" t="s">
        <v>67</v>
      </c>
      <c r="B45" s="4">
        <v>46161</v>
      </c>
      <c r="C45" s="3" t="s">
        <v>35</v>
      </c>
      <c r="D45" s="3" t="s">
        <v>38</v>
      </c>
      <c r="E45" s="3" t="s">
        <v>208</v>
      </c>
    </row>
    <row r="46" spans="1:5" x14ac:dyDescent="0.3">
      <c r="A46" s="3" t="s">
        <v>77</v>
      </c>
      <c r="B46" s="4">
        <v>46031</v>
      </c>
      <c r="C46" s="3" t="s">
        <v>51</v>
      </c>
      <c r="D46" s="3" t="s">
        <v>22</v>
      </c>
      <c r="E46" s="3" t="s">
        <v>21</v>
      </c>
    </row>
    <row r="47" spans="1:5" x14ac:dyDescent="0.3">
      <c r="A47" s="3" t="s">
        <v>106</v>
      </c>
      <c r="B47" s="4">
        <v>46024</v>
      </c>
      <c r="C47" s="3" t="s">
        <v>51</v>
      </c>
      <c r="D47" s="3" t="s">
        <v>22</v>
      </c>
      <c r="E47" s="3" t="s">
        <v>21</v>
      </c>
    </row>
    <row r="48" spans="1:5" x14ac:dyDescent="0.3">
      <c r="A48" s="3" t="s">
        <v>94</v>
      </c>
      <c r="B48" s="4">
        <v>46066</v>
      </c>
      <c r="C48" s="3" t="s">
        <v>108</v>
      </c>
      <c r="D48" s="3" t="s">
        <v>299</v>
      </c>
      <c r="E48" s="3" t="s">
        <v>21</v>
      </c>
    </row>
    <row r="49" spans="1:5" x14ac:dyDescent="0.3">
      <c r="A49" s="3" t="s">
        <v>105</v>
      </c>
      <c r="B49" s="4">
        <v>46052</v>
      </c>
      <c r="C49" s="3" t="s">
        <v>51</v>
      </c>
      <c r="D49" s="3" t="s">
        <v>22</v>
      </c>
      <c r="E49" s="3" t="s">
        <v>21</v>
      </c>
    </row>
    <row r="50" spans="1:5" x14ac:dyDescent="0.3">
      <c r="A50" s="3" t="s">
        <v>59</v>
      </c>
      <c r="B50" s="4">
        <v>46052</v>
      </c>
      <c r="C50" s="3" t="s">
        <v>51</v>
      </c>
      <c r="D50" s="3" t="s">
        <v>22</v>
      </c>
      <c r="E50" s="3" t="s">
        <v>21</v>
      </c>
    </row>
    <row r="51" spans="1:5" x14ac:dyDescent="0.3">
      <c r="A51" s="3" t="s">
        <v>98</v>
      </c>
      <c r="B51" s="4">
        <v>46034</v>
      </c>
      <c r="C51" s="3" t="s">
        <v>51</v>
      </c>
      <c r="D51" s="3" t="s">
        <v>40</v>
      </c>
      <c r="E51" s="3" t="s">
        <v>17</v>
      </c>
    </row>
    <row r="52" spans="1:5" x14ac:dyDescent="0.3">
      <c r="A52" s="3" t="s">
        <v>87</v>
      </c>
      <c r="B52" s="4">
        <v>46034</v>
      </c>
      <c r="C52" s="3" t="s">
        <v>51</v>
      </c>
      <c r="D52" s="3" t="s">
        <v>22</v>
      </c>
      <c r="E52" s="3" t="s">
        <v>21</v>
      </c>
    </row>
    <row r="53" spans="1:5" x14ac:dyDescent="0.3">
      <c r="A53" s="3" t="s">
        <v>99</v>
      </c>
      <c r="B53" s="4">
        <v>46029</v>
      </c>
      <c r="C53" s="3" t="s">
        <v>51</v>
      </c>
      <c r="D53" s="3" t="s">
        <v>22</v>
      </c>
      <c r="E53" s="3" t="s">
        <v>21</v>
      </c>
    </row>
    <row r="54" spans="1:5" x14ac:dyDescent="0.3">
      <c r="A54" s="3" t="s">
        <v>79</v>
      </c>
      <c r="B54" s="4">
        <v>46029</v>
      </c>
      <c r="C54" s="3" t="s">
        <v>35</v>
      </c>
      <c r="D54" s="3" t="s">
        <v>298</v>
      </c>
      <c r="E54" s="3" t="s">
        <v>17</v>
      </c>
    </row>
    <row r="55" spans="1:5" x14ac:dyDescent="0.3">
      <c r="A55" s="3" t="s">
        <v>79</v>
      </c>
      <c r="B55" s="4">
        <v>46162</v>
      </c>
      <c r="C55" s="3" t="s">
        <v>35</v>
      </c>
      <c r="D55" s="3" t="s">
        <v>298</v>
      </c>
      <c r="E55" s="3" t="s">
        <v>17</v>
      </c>
    </row>
    <row r="56" spans="1:5" x14ac:dyDescent="0.3">
      <c r="A56" s="3" t="s">
        <v>55</v>
      </c>
      <c r="B56" s="4">
        <v>46053</v>
      </c>
      <c r="C56" s="3" t="s">
        <v>35</v>
      </c>
      <c r="D56" s="3" t="s">
        <v>26</v>
      </c>
      <c r="E56" s="3" t="s">
        <v>17</v>
      </c>
    </row>
    <row r="57" spans="1:5" x14ac:dyDescent="0.3">
      <c r="A57" s="3" t="s">
        <v>55</v>
      </c>
      <c r="B57" s="4">
        <v>46128</v>
      </c>
      <c r="C57" s="3" t="s">
        <v>35</v>
      </c>
      <c r="D57" s="3" t="s">
        <v>26</v>
      </c>
      <c r="E57" s="3" t="s">
        <v>21</v>
      </c>
    </row>
    <row r="58" spans="1:5" x14ac:dyDescent="0.3">
      <c r="A58" s="3" t="s">
        <v>55</v>
      </c>
      <c r="B58" s="4">
        <v>46220</v>
      </c>
      <c r="C58" s="3" t="s">
        <v>35</v>
      </c>
      <c r="D58" s="3" t="s">
        <v>26</v>
      </c>
      <c r="E58" s="3" t="s">
        <v>208</v>
      </c>
    </row>
    <row r="59" spans="1:5" x14ac:dyDescent="0.3">
      <c r="A59" s="3" t="s">
        <v>60</v>
      </c>
      <c r="B59" s="4">
        <v>46048</v>
      </c>
      <c r="C59" s="3" t="s">
        <v>51</v>
      </c>
      <c r="D59" s="3" t="s">
        <v>300</v>
      </c>
      <c r="E59" s="3" t="s">
        <v>21</v>
      </c>
    </row>
    <row r="60" spans="1:5" x14ac:dyDescent="0.3">
      <c r="A60" s="3" t="s">
        <v>80</v>
      </c>
      <c r="B60" s="4">
        <v>46044</v>
      </c>
      <c r="C60" s="3" t="s">
        <v>51</v>
      </c>
      <c r="D60" s="3" t="s">
        <v>40</v>
      </c>
      <c r="E60" s="3" t="s">
        <v>17</v>
      </c>
    </row>
    <row r="61" spans="1:5" x14ac:dyDescent="0.3">
      <c r="A61" s="3" t="s">
        <v>80</v>
      </c>
      <c r="B61" s="4">
        <v>46241</v>
      </c>
      <c r="C61" s="3" t="s">
        <v>35</v>
      </c>
      <c r="D61" s="3" t="s">
        <v>40</v>
      </c>
      <c r="E61" s="3" t="s">
        <v>17</v>
      </c>
    </row>
    <row r="62" spans="1:5" x14ac:dyDescent="0.3">
      <c r="A62" s="3" t="s">
        <v>97</v>
      </c>
      <c r="B62" s="4">
        <v>46071</v>
      </c>
      <c r="C62" s="3" t="s">
        <v>51</v>
      </c>
      <c r="D62" s="3" t="s">
        <v>71</v>
      </c>
      <c r="E62" s="3" t="s">
        <v>21</v>
      </c>
    </row>
    <row r="63" spans="1:5" x14ac:dyDescent="0.3">
      <c r="A63" s="3" t="s">
        <v>97</v>
      </c>
      <c r="B63" s="4">
        <v>46247</v>
      </c>
      <c r="C63" s="3" t="s">
        <v>51</v>
      </c>
      <c r="D63" s="3" t="s">
        <v>324</v>
      </c>
      <c r="E63" s="3" t="s">
        <v>208</v>
      </c>
    </row>
    <row r="64" spans="1:5" x14ac:dyDescent="0.3">
      <c r="A64" s="3" t="s">
        <v>41</v>
      </c>
      <c r="B64" s="4">
        <v>46064</v>
      </c>
      <c r="C64" s="3" t="s">
        <v>51</v>
      </c>
      <c r="D64" s="3" t="s">
        <v>40</v>
      </c>
      <c r="E64" s="3" t="s">
        <v>17</v>
      </c>
    </row>
    <row r="65" spans="1:5" x14ac:dyDescent="0.3">
      <c r="A65" s="3" t="s">
        <v>41</v>
      </c>
      <c r="B65" s="4">
        <v>46171</v>
      </c>
      <c r="C65" s="3" t="s">
        <v>51</v>
      </c>
      <c r="D65" s="3" t="s">
        <v>40</v>
      </c>
      <c r="E65" s="3" t="s">
        <v>17</v>
      </c>
    </row>
    <row r="66" spans="1:5" x14ac:dyDescent="0.3">
      <c r="A66" s="3" t="s">
        <v>57</v>
      </c>
      <c r="B66" s="4">
        <v>46059</v>
      </c>
      <c r="C66" s="3" t="s">
        <v>35</v>
      </c>
      <c r="D66" s="3" t="s">
        <v>26</v>
      </c>
      <c r="E66" s="3" t="s">
        <v>31</v>
      </c>
    </row>
    <row r="67" spans="1:5" x14ac:dyDescent="0.3">
      <c r="A67" s="3" t="s">
        <v>57</v>
      </c>
      <c r="B67" s="4">
        <v>46168</v>
      </c>
      <c r="C67" s="3" t="s">
        <v>35</v>
      </c>
      <c r="D67" s="3" t="s">
        <v>26</v>
      </c>
      <c r="E67" s="3" t="s">
        <v>31</v>
      </c>
    </row>
    <row r="68" spans="1:5" x14ac:dyDescent="0.3">
      <c r="A68" s="3" t="s">
        <v>83</v>
      </c>
      <c r="B68" s="4">
        <v>46028</v>
      </c>
      <c r="C68" s="3" t="s">
        <v>51</v>
      </c>
      <c r="D68" s="3" t="s">
        <v>301</v>
      </c>
      <c r="E68" s="3" t="s">
        <v>21</v>
      </c>
    </row>
    <row r="69" spans="1:5" x14ac:dyDescent="0.3">
      <c r="A69" s="3" t="s">
        <v>72</v>
      </c>
      <c r="B69" s="4">
        <v>46034</v>
      </c>
      <c r="C69" s="3" t="s">
        <v>51</v>
      </c>
      <c r="D69" s="3" t="s">
        <v>302</v>
      </c>
      <c r="E69" s="3" t="s">
        <v>21</v>
      </c>
    </row>
    <row r="70" spans="1:5" x14ac:dyDescent="0.3">
      <c r="A70" s="3" t="s">
        <v>100</v>
      </c>
      <c r="B70" s="4">
        <v>46037</v>
      </c>
      <c r="C70" s="3" t="s">
        <v>51</v>
      </c>
      <c r="D70" s="3" t="s">
        <v>301</v>
      </c>
      <c r="E70" s="3" t="s">
        <v>21</v>
      </c>
    </row>
    <row r="71" spans="1:5" x14ac:dyDescent="0.3">
      <c r="A71" s="3" t="s">
        <v>100</v>
      </c>
      <c r="B71" s="4">
        <v>46066</v>
      </c>
      <c r="C71" s="3" t="s">
        <v>51</v>
      </c>
      <c r="D71" s="3" t="s">
        <v>301</v>
      </c>
      <c r="E71" s="3" t="s">
        <v>21</v>
      </c>
    </row>
    <row r="72" spans="1:5" x14ac:dyDescent="0.3">
      <c r="A72" s="3" t="s">
        <v>93</v>
      </c>
      <c r="B72" s="4">
        <v>46050</v>
      </c>
      <c r="C72" s="3" t="s">
        <v>51</v>
      </c>
      <c r="D72" s="3" t="s">
        <v>302</v>
      </c>
      <c r="E72" s="3" t="s">
        <v>21</v>
      </c>
    </row>
    <row r="73" spans="1:5" x14ac:dyDescent="0.3">
      <c r="A73" s="3" t="s">
        <v>74</v>
      </c>
      <c r="B73" s="4">
        <v>46038</v>
      </c>
      <c r="C73" s="3" t="s">
        <v>51</v>
      </c>
      <c r="D73" s="3" t="s">
        <v>22</v>
      </c>
      <c r="E73" s="3" t="s">
        <v>21</v>
      </c>
    </row>
    <row r="74" spans="1:5" x14ac:dyDescent="0.3">
      <c r="A74" s="3" t="s">
        <v>101</v>
      </c>
      <c r="B74" s="4">
        <v>46055</v>
      </c>
      <c r="C74" s="3" t="s">
        <v>35</v>
      </c>
      <c r="D74" s="3" t="s">
        <v>38</v>
      </c>
      <c r="E74" s="3" t="s">
        <v>21</v>
      </c>
    </row>
    <row r="75" spans="1:5" x14ac:dyDescent="0.3">
      <c r="A75" s="3" t="s">
        <v>101</v>
      </c>
      <c r="B75" s="4">
        <v>46177</v>
      </c>
      <c r="C75" s="3" t="s">
        <v>35</v>
      </c>
      <c r="D75" s="3" t="s">
        <v>38</v>
      </c>
      <c r="E75" s="3" t="s">
        <v>208</v>
      </c>
    </row>
    <row r="76" spans="1:5" x14ac:dyDescent="0.3">
      <c r="A76" s="3" t="s">
        <v>63</v>
      </c>
      <c r="B76" s="4">
        <v>46050</v>
      </c>
      <c r="C76" s="3" t="s">
        <v>35</v>
      </c>
      <c r="D76" s="3" t="s">
        <v>26</v>
      </c>
      <c r="E76" s="3" t="s">
        <v>31</v>
      </c>
    </row>
    <row r="77" spans="1:5" x14ac:dyDescent="0.3">
      <c r="A77" s="3" t="s">
        <v>43</v>
      </c>
      <c r="B77" s="4">
        <v>46036</v>
      </c>
      <c r="C77" s="3" t="s">
        <v>35</v>
      </c>
      <c r="D77" s="3" t="s">
        <v>26</v>
      </c>
      <c r="E77" s="3" t="s">
        <v>21</v>
      </c>
    </row>
    <row r="78" spans="1:5" x14ac:dyDescent="0.3">
      <c r="A78" s="3" t="s">
        <v>43</v>
      </c>
      <c r="B78" s="4">
        <v>46158</v>
      </c>
      <c r="C78" s="3" t="s">
        <v>35</v>
      </c>
      <c r="D78" s="3" t="s">
        <v>26</v>
      </c>
      <c r="E78" s="3" t="s">
        <v>17</v>
      </c>
    </row>
    <row r="79" spans="1:5" x14ac:dyDescent="0.3">
      <c r="A79" s="3" t="s">
        <v>42</v>
      </c>
      <c r="B79" s="4">
        <v>46051</v>
      </c>
      <c r="C79" s="3" t="s">
        <v>51</v>
      </c>
      <c r="D79" s="3" t="s">
        <v>22</v>
      </c>
      <c r="E79" s="3" t="s">
        <v>21</v>
      </c>
    </row>
    <row r="80" spans="1:5" x14ac:dyDescent="0.3">
      <c r="A80" s="3" t="s">
        <v>32</v>
      </c>
      <c r="B80" s="4">
        <v>46031</v>
      </c>
      <c r="C80" s="3" t="s">
        <v>108</v>
      </c>
      <c r="D80" s="3" t="s">
        <v>34</v>
      </c>
      <c r="E80" s="3" t="s">
        <v>17</v>
      </c>
    </row>
    <row r="81" spans="1:5" x14ac:dyDescent="0.3">
      <c r="A81" s="3" t="s">
        <v>56</v>
      </c>
      <c r="B81" s="4">
        <v>46049</v>
      </c>
      <c r="C81" s="3" t="s">
        <v>35</v>
      </c>
      <c r="D81" s="3" t="s">
        <v>26</v>
      </c>
      <c r="E81" s="3" t="s">
        <v>31</v>
      </c>
    </row>
    <row r="82" spans="1:5" x14ac:dyDescent="0.3">
      <c r="A82" s="3" t="s">
        <v>56</v>
      </c>
      <c r="B82" s="4">
        <v>46140</v>
      </c>
      <c r="C82" s="3" t="s">
        <v>35</v>
      </c>
      <c r="D82" s="3" t="s">
        <v>26</v>
      </c>
      <c r="E82" s="3" t="s">
        <v>31</v>
      </c>
    </row>
    <row r="83" spans="1:5" x14ac:dyDescent="0.3">
      <c r="A83" s="3" t="s">
        <v>56</v>
      </c>
      <c r="B83" s="4">
        <v>46216</v>
      </c>
      <c r="C83" s="3" t="s">
        <v>35</v>
      </c>
      <c r="D83" s="3" t="s">
        <v>26</v>
      </c>
      <c r="E83" s="3" t="s">
        <v>17</v>
      </c>
    </row>
    <row r="84" spans="1:5" x14ac:dyDescent="0.3">
      <c r="A84" s="3" t="s">
        <v>65</v>
      </c>
      <c r="B84" s="4">
        <v>46043</v>
      </c>
      <c r="C84" s="3" t="s">
        <v>35</v>
      </c>
      <c r="D84" s="3" t="s">
        <v>26</v>
      </c>
      <c r="E84" s="3" t="s">
        <v>17</v>
      </c>
    </row>
    <row r="85" spans="1:5" x14ac:dyDescent="0.3">
      <c r="A85" s="3" t="s">
        <v>65</v>
      </c>
      <c r="B85" s="4">
        <v>46146</v>
      </c>
      <c r="C85" s="3" t="s">
        <v>35</v>
      </c>
      <c r="D85" s="3" t="s">
        <v>26</v>
      </c>
      <c r="E85" s="3" t="s">
        <v>17</v>
      </c>
    </row>
    <row r="86" spans="1:5" x14ac:dyDescent="0.3">
      <c r="A86" s="3" t="s">
        <v>65</v>
      </c>
      <c r="B86" s="4">
        <v>46226</v>
      </c>
      <c r="C86" s="3" t="s">
        <v>35</v>
      </c>
      <c r="D86" s="3" t="s">
        <v>26</v>
      </c>
      <c r="E86" s="3" t="s">
        <v>17</v>
      </c>
    </row>
    <row r="87" spans="1:5" x14ac:dyDescent="0.3">
      <c r="A87" s="3" t="s">
        <v>29</v>
      </c>
      <c r="B87" s="4">
        <v>46028</v>
      </c>
      <c r="C87" s="3" t="s">
        <v>35</v>
      </c>
      <c r="D87" s="3" t="s">
        <v>26</v>
      </c>
      <c r="E87" s="3" t="s">
        <v>31</v>
      </c>
    </row>
    <row r="88" spans="1:5" x14ac:dyDescent="0.3">
      <c r="A88" s="3" t="s">
        <v>29</v>
      </c>
      <c r="B88" s="4">
        <v>46118</v>
      </c>
      <c r="C88" s="3" t="s">
        <v>35</v>
      </c>
      <c r="D88" s="3" t="s">
        <v>26</v>
      </c>
      <c r="E88" s="3" t="s">
        <v>31</v>
      </c>
    </row>
    <row r="89" spans="1:5" x14ac:dyDescent="0.3">
      <c r="A89" s="3" t="s">
        <v>29</v>
      </c>
      <c r="B89" s="4">
        <v>46198</v>
      </c>
      <c r="C89" s="3" t="s">
        <v>35</v>
      </c>
      <c r="D89" s="3" t="s">
        <v>26</v>
      </c>
      <c r="E89" s="3" t="s">
        <v>31</v>
      </c>
    </row>
    <row r="90" spans="1:5" x14ac:dyDescent="0.3">
      <c r="A90" s="3" t="s">
        <v>58</v>
      </c>
      <c r="B90" s="4">
        <v>46050</v>
      </c>
      <c r="C90" s="3" t="s">
        <v>51</v>
      </c>
      <c r="D90" s="3" t="s">
        <v>301</v>
      </c>
      <c r="E90" s="3" t="s">
        <v>21</v>
      </c>
    </row>
    <row r="91" spans="1:5" x14ac:dyDescent="0.3">
      <c r="A91" s="3" t="s">
        <v>66</v>
      </c>
      <c r="B91" s="4">
        <v>46052</v>
      </c>
      <c r="C91" s="3" t="s">
        <v>51</v>
      </c>
      <c r="D91" s="3" t="s">
        <v>22</v>
      </c>
      <c r="E91" s="3" t="s">
        <v>21</v>
      </c>
    </row>
    <row r="92" spans="1:5" x14ac:dyDescent="0.3">
      <c r="A92" s="3" t="s">
        <v>66</v>
      </c>
      <c r="B92" s="4">
        <v>46065</v>
      </c>
      <c r="C92" s="3" t="s">
        <v>51</v>
      </c>
      <c r="D92" s="3" t="s">
        <v>22</v>
      </c>
      <c r="E92" s="3" t="s">
        <v>21</v>
      </c>
    </row>
    <row r="93" spans="1:5" x14ac:dyDescent="0.3">
      <c r="A93" s="3" t="s">
        <v>85</v>
      </c>
      <c r="B93" s="4">
        <v>46035</v>
      </c>
      <c r="C93" s="3" t="s">
        <v>51</v>
      </c>
      <c r="D93" s="3" t="s">
        <v>302</v>
      </c>
      <c r="E93" s="3" t="s">
        <v>21</v>
      </c>
    </row>
    <row r="94" spans="1:5" x14ac:dyDescent="0.3">
      <c r="A94" s="3" t="s">
        <v>145</v>
      </c>
      <c r="B94" s="4">
        <v>46076</v>
      </c>
      <c r="C94" s="3" t="s">
        <v>35</v>
      </c>
      <c r="D94" s="3" t="s">
        <v>298</v>
      </c>
      <c r="E94" s="3" t="s">
        <v>17</v>
      </c>
    </row>
    <row r="95" spans="1:5" x14ac:dyDescent="0.3">
      <c r="A95" s="3" t="s">
        <v>145</v>
      </c>
      <c r="B95" s="4">
        <v>46169</v>
      </c>
      <c r="C95" s="3" t="s">
        <v>35</v>
      </c>
      <c r="D95" s="3" t="s">
        <v>298</v>
      </c>
      <c r="E95" s="3" t="s">
        <v>17</v>
      </c>
    </row>
    <row r="96" spans="1:5" x14ac:dyDescent="0.3">
      <c r="A96" s="3" t="s">
        <v>145</v>
      </c>
      <c r="B96" s="4">
        <v>46244</v>
      </c>
      <c r="C96" s="3" t="s">
        <v>35</v>
      </c>
      <c r="D96" s="3" t="s">
        <v>307</v>
      </c>
      <c r="E96" s="3" t="s">
        <v>17</v>
      </c>
    </row>
    <row r="97" spans="1:5" x14ac:dyDescent="0.3">
      <c r="A97" s="3" t="s">
        <v>147</v>
      </c>
      <c r="B97" s="4">
        <v>46079</v>
      </c>
      <c r="C97" s="3" t="s">
        <v>35</v>
      </c>
      <c r="D97" s="3" t="s">
        <v>26</v>
      </c>
      <c r="E97" s="3" t="s">
        <v>31</v>
      </c>
    </row>
    <row r="98" spans="1:5" x14ac:dyDescent="0.3">
      <c r="A98" s="3" t="s">
        <v>147</v>
      </c>
      <c r="B98" s="4">
        <v>46191</v>
      </c>
      <c r="C98" s="3" t="s">
        <v>35</v>
      </c>
      <c r="D98" s="3" t="s">
        <v>26</v>
      </c>
      <c r="E98" s="3" t="s">
        <v>17</v>
      </c>
    </row>
    <row r="99" spans="1:5" x14ac:dyDescent="0.3">
      <c r="A99" s="3" t="s">
        <v>148</v>
      </c>
      <c r="B99" s="4">
        <v>46080</v>
      </c>
      <c r="C99" s="3" t="s">
        <v>35</v>
      </c>
      <c r="D99" s="3" t="s">
        <v>26</v>
      </c>
      <c r="E99" s="3" t="s">
        <v>17</v>
      </c>
    </row>
    <row r="100" spans="1:5" x14ac:dyDescent="0.3">
      <c r="A100" s="3" t="s">
        <v>148</v>
      </c>
      <c r="B100" s="4">
        <v>46160</v>
      </c>
      <c r="C100" s="3" t="s">
        <v>35</v>
      </c>
      <c r="D100" s="3" t="s">
        <v>26</v>
      </c>
      <c r="E100" s="3" t="s">
        <v>17</v>
      </c>
    </row>
    <row r="101" spans="1:5" x14ac:dyDescent="0.3">
      <c r="A101" s="3" t="s">
        <v>150</v>
      </c>
      <c r="B101" s="4">
        <v>46086</v>
      </c>
      <c r="C101" s="3" t="s">
        <v>51</v>
      </c>
      <c r="D101" s="3" t="s">
        <v>151</v>
      </c>
      <c r="E101" s="3" t="s">
        <v>31</v>
      </c>
    </row>
    <row r="102" spans="1:5" x14ac:dyDescent="0.3">
      <c r="A102" s="3" t="s">
        <v>152</v>
      </c>
      <c r="B102" s="4">
        <v>46086</v>
      </c>
      <c r="C102" s="3" t="s">
        <v>51</v>
      </c>
      <c r="D102" s="3" t="s">
        <v>303</v>
      </c>
      <c r="E102" s="3" t="s">
        <v>17</v>
      </c>
    </row>
    <row r="103" spans="1:5" x14ac:dyDescent="0.3">
      <c r="A103" s="3" t="s">
        <v>153</v>
      </c>
      <c r="B103" s="4">
        <v>46086</v>
      </c>
      <c r="C103" s="3" t="s">
        <v>51</v>
      </c>
      <c r="D103" s="3" t="s">
        <v>22</v>
      </c>
      <c r="E103" s="3" t="s">
        <v>21</v>
      </c>
    </row>
    <row r="104" spans="1:5" x14ac:dyDescent="0.3">
      <c r="A104" s="3" t="s">
        <v>154</v>
      </c>
      <c r="B104" s="4">
        <v>46087</v>
      </c>
      <c r="C104" s="3" t="s">
        <v>51</v>
      </c>
      <c r="D104" s="3" t="s">
        <v>303</v>
      </c>
      <c r="E104" s="3" t="s">
        <v>17</v>
      </c>
    </row>
    <row r="105" spans="1:5" x14ac:dyDescent="0.3">
      <c r="A105" s="3" t="s">
        <v>156</v>
      </c>
      <c r="B105" s="4">
        <v>46090</v>
      </c>
      <c r="C105" s="3" t="s">
        <v>51</v>
      </c>
      <c r="D105" s="3" t="s">
        <v>303</v>
      </c>
      <c r="E105" s="3" t="s">
        <v>17</v>
      </c>
    </row>
    <row r="106" spans="1:5" x14ac:dyDescent="0.3">
      <c r="A106" s="3" t="s">
        <v>157</v>
      </c>
      <c r="B106" s="4">
        <v>46090</v>
      </c>
      <c r="C106" s="3" t="s">
        <v>51</v>
      </c>
      <c r="D106" s="3" t="s">
        <v>26</v>
      </c>
      <c r="E106" s="3" t="s">
        <v>21</v>
      </c>
    </row>
    <row r="107" spans="1:5" x14ac:dyDescent="0.3">
      <c r="A107" s="3" t="s">
        <v>158</v>
      </c>
      <c r="B107" s="4">
        <v>46090</v>
      </c>
      <c r="C107" s="3" t="s">
        <v>35</v>
      </c>
      <c r="D107" s="3" t="s">
        <v>298</v>
      </c>
      <c r="E107" s="3" t="s">
        <v>17</v>
      </c>
    </row>
    <row r="108" spans="1:5" x14ac:dyDescent="0.3">
      <c r="A108" s="3" t="s">
        <v>159</v>
      </c>
      <c r="B108" s="4">
        <v>46091</v>
      </c>
      <c r="C108" s="3" t="s">
        <v>51</v>
      </c>
      <c r="D108" s="3" t="s">
        <v>303</v>
      </c>
      <c r="E108" s="3" t="s">
        <v>17</v>
      </c>
    </row>
    <row r="109" spans="1:5" x14ac:dyDescent="0.3">
      <c r="A109" s="3" t="s">
        <v>160</v>
      </c>
      <c r="B109" s="4">
        <v>46091</v>
      </c>
      <c r="C109" s="3" t="s">
        <v>108</v>
      </c>
      <c r="D109" s="3" t="s">
        <v>45</v>
      </c>
      <c r="E109" s="3" t="s">
        <v>17</v>
      </c>
    </row>
    <row r="110" spans="1:5" x14ac:dyDescent="0.3">
      <c r="A110" s="3" t="s">
        <v>162</v>
      </c>
      <c r="B110" s="4">
        <v>46092</v>
      </c>
      <c r="C110" s="3" t="s">
        <v>51</v>
      </c>
      <c r="D110" s="3" t="s">
        <v>301</v>
      </c>
      <c r="E110" s="3" t="s">
        <v>21</v>
      </c>
    </row>
    <row r="111" spans="1:5" x14ac:dyDescent="0.3">
      <c r="A111" s="3" t="s">
        <v>164</v>
      </c>
      <c r="B111" s="4">
        <v>46092</v>
      </c>
      <c r="C111" s="3" t="s">
        <v>51</v>
      </c>
      <c r="D111" s="3" t="s">
        <v>22</v>
      </c>
      <c r="E111" s="3" t="s">
        <v>21</v>
      </c>
    </row>
    <row r="112" spans="1:5" x14ac:dyDescent="0.3">
      <c r="A112" s="3" t="s">
        <v>165</v>
      </c>
      <c r="B112" s="4">
        <v>46094</v>
      </c>
      <c r="C112" s="3" t="s">
        <v>35</v>
      </c>
      <c r="D112" s="3" t="s">
        <v>26</v>
      </c>
      <c r="E112" s="3" t="s">
        <v>21</v>
      </c>
    </row>
    <row r="113" spans="1:5" x14ac:dyDescent="0.3">
      <c r="A113" s="3" t="s">
        <v>165</v>
      </c>
      <c r="B113" s="4">
        <v>46183</v>
      </c>
      <c r="C113" s="3" t="s">
        <v>35</v>
      </c>
      <c r="D113" s="3" t="s">
        <v>26</v>
      </c>
      <c r="E113" s="3" t="s">
        <v>208</v>
      </c>
    </row>
    <row r="114" spans="1:5" x14ac:dyDescent="0.3">
      <c r="A114" s="3" t="s">
        <v>166</v>
      </c>
      <c r="B114" s="4">
        <v>46095</v>
      </c>
      <c r="C114" s="3" t="s">
        <v>35</v>
      </c>
      <c r="D114" s="3" t="s">
        <v>26</v>
      </c>
      <c r="E114" s="3" t="s">
        <v>17</v>
      </c>
    </row>
    <row r="115" spans="1:5" x14ac:dyDescent="0.3">
      <c r="A115" s="3" t="s">
        <v>166</v>
      </c>
      <c r="B115" s="4">
        <v>46223</v>
      </c>
      <c r="C115" s="3" t="s">
        <v>35</v>
      </c>
      <c r="D115" s="3" t="s">
        <v>26</v>
      </c>
      <c r="E115" s="3" t="s">
        <v>17</v>
      </c>
    </row>
    <row r="116" spans="1:5" x14ac:dyDescent="0.3">
      <c r="A116" s="3" t="s">
        <v>167</v>
      </c>
      <c r="B116" s="4">
        <v>46098</v>
      </c>
      <c r="C116" s="3" t="s">
        <v>35</v>
      </c>
      <c r="D116" s="3" t="s">
        <v>22</v>
      </c>
      <c r="E116" s="3" t="s">
        <v>21</v>
      </c>
    </row>
    <row r="117" spans="1:5" x14ac:dyDescent="0.3">
      <c r="A117" s="3" t="s">
        <v>168</v>
      </c>
      <c r="B117" s="4">
        <v>46104</v>
      </c>
      <c r="C117" s="3" t="s">
        <v>51</v>
      </c>
      <c r="D117" s="3" t="s">
        <v>301</v>
      </c>
      <c r="E117" s="3" t="s">
        <v>21</v>
      </c>
    </row>
    <row r="118" spans="1:5" x14ac:dyDescent="0.3">
      <c r="A118" s="3" t="s">
        <v>169</v>
      </c>
      <c r="B118" s="4">
        <v>46107</v>
      </c>
      <c r="C118" s="3" t="s">
        <v>51</v>
      </c>
      <c r="D118" s="3" t="s">
        <v>302</v>
      </c>
      <c r="E118" s="3" t="s">
        <v>21</v>
      </c>
    </row>
    <row r="119" spans="1:5" x14ac:dyDescent="0.3">
      <c r="A119" s="3" t="s">
        <v>170</v>
      </c>
      <c r="B119" s="4">
        <v>46111</v>
      </c>
      <c r="C119" s="3" t="s">
        <v>108</v>
      </c>
      <c r="D119" s="3" t="s">
        <v>172</v>
      </c>
      <c r="E119" s="3" t="s">
        <v>21</v>
      </c>
    </row>
    <row r="120" spans="1:5" x14ac:dyDescent="0.3">
      <c r="A120" s="3" t="s">
        <v>173</v>
      </c>
      <c r="B120" s="4">
        <v>46111</v>
      </c>
      <c r="C120" s="3" t="s">
        <v>35</v>
      </c>
      <c r="D120" s="3" t="s">
        <v>298</v>
      </c>
      <c r="E120" s="3" t="s">
        <v>17</v>
      </c>
    </row>
    <row r="121" spans="1:5" x14ac:dyDescent="0.3">
      <c r="A121" s="3" t="s">
        <v>173</v>
      </c>
      <c r="B121" s="4">
        <v>46214</v>
      </c>
      <c r="C121" s="3" t="s">
        <v>35</v>
      </c>
      <c r="D121" s="3" t="s">
        <v>298</v>
      </c>
      <c r="E121" s="3" t="s">
        <v>17</v>
      </c>
    </row>
    <row r="122" spans="1:5" x14ac:dyDescent="0.3">
      <c r="A122" s="3" t="s">
        <v>174</v>
      </c>
      <c r="B122" s="4">
        <v>46113</v>
      </c>
      <c r="C122" s="3" t="s">
        <v>51</v>
      </c>
      <c r="D122" s="3" t="s">
        <v>302</v>
      </c>
      <c r="E122" s="3" t="s">
        <v>21</v>
      </c>
    </row>
    <row r="123" spans="1:5" x14ac:dyDescent="0.3">
      <c r="A123" s="3" t="s">
        <v>175</v>
      </c>
      <c r="B123" s="4">
        <v>46121</v>
      </c>
      <c r="C123" s="3" t="s">
        <v>35</v>
      </c>
      <c r="D123" s="3" t="s">
        <v>38</v>
      </c>
      <c r="E123" s="3" t="s">
        <v>21</v>
      </c>
    </row>
    <row r="124" spans="1:5" x14ac:dyDescent="0.3">
      <c r="A124" s="3" t="s">
        <v>175</v>
      </c>
      <c r="B124" s="4">
        <v>46240</v>
      </c>
      <c r="C124" s="3" t="s">
        <v>35</v>
      </c>
      <c r="D124" s="3" t="s">
        <v>38</v>
      </c>
      <c r="E124" s="3" t="s">
        <v>208</v>
      </c>
    </row>
    <row r="125" spans="1:5" x14ac:dyDescent="0.3">
      <c r="A125" s="3" t="s">
        <v>176</v>
      </c>
      <c r="B125" s="4">
        <v>46122</v>
      </c>
      <c r="C125" s="3" t="s">
        <v>51</v>
      </c>
      <c r="D125" s="3" t="s">
        <v>301</v>
      </c>
      <c r="E125" s="3" t="s">
        <v>21</v>
      </c>
    </row>
    <row r="126" spans="1:5" x14ac:dyDescent="0.3">
      <c r="A126" s="3" t="s">
        <v>177</v>
      </c>
      <c r="B126" s="4">
        <v>46122</v>
      </c>
      <c r="C126" s="3" t="s">
        <v>51</v>
      </c>
      <c r="D126" s="3" t="s">
        <v>302</v>
      </c>
      <c r="E126" s="3" t="s">
        <v>21</v>
      </c>
    </row>
    <row r="127" spans="1:5" x14ac:dyDescent="0.3">
      <c r="A127" s="3" t="s">
        <v>179</v>
      </c>
      <c r="B127" s="4">
        <v>46125</v>
      </c>
      <c r="C127" s="3" t="s">
        <v>51</v>
      </c>
      <c r="D127" s="3" t="s">
        <v>180</v>
      </c>
      <c r="E127" s="3" t="s">
        <v>21</v>
      </c>
    </row>
    <row r="128" spans="1:5" x14ac:dyDescent="0.3">
      <c r="A128" s="3" t="s">
        <v>181</v>
      </c>
      <c r="B128" s="4">
        <v>46125</v>
      </c>
      <c r="C128" s="3" t="s">
        <v>35</v>
      </c>
      <c r="D128" s="3" t="s">
        <v>26</v>
      </c>
      <c r="E128" s="3" t="s">
        <v>21</v>
      </c>
    </row>
    <row r="129" spans="1:5" x14ac:dyDescent="0.3">
      <c r="A129" s="3" t="s">
        <v>181</v>
      </c>
      <c r="B129" s="4">
        <v>46216</v>
      </c>
      <c r="C129" s="3" t="s">
        <v>35</v>
      </c>
      <c r="D129" s="3" t="s">
        <v>26</v>
      </c>
      <c r="E129" s="3" t="s">
        <v>208</v>
      </c>
    </row>
    <row r="130" spans="1:5" x14ac:dyDescent="0.3">
      <c r="A130" s="3" t="s">
        <v>182</v>
      </c>
      <c r="B130" s="4">
        <v>46125</v>
      </c>
      <c r="C130" s="3" t="s">
        <v>51</v>
      </c>
      <c r="D130" s="3" t="s">
        <v>183</v>
      </c>
      <c r="E130" s="3" t="s">
        <v>21</v>
      </c>
    </row>
    <row r="131" spans="1:5" x14ac:dyDescent="0.3">
      <c r="A131" s="3" t="s">
        <v>184</v>
      </c>
      <c r="B131" s="4">
        <v>46125</v>
      </c>
      <c r="C131" s="3" t="s">
        <v>51</v>
      </c>
      <c r="D131" s="3" t="s">
        <v>22</v>
      </c>
      <c r="E131" s="3" t="s">
        <v>21</v>
      </c>
    </row>
    <row r="132" spans="1:5" x14ac:dyDescent="0.3">
      <c r="A132" s="3" t="s">
        <v>185</v>
      </c>
      <c r="B132" s="4">
        <v>46125</v>
      </c>
      <c r="C132" s="3" t="s">
        <v>51</v>
      </c>
      <c r="D132" s="3" t="s">
        <v>301</v>
      </c>
      <c r="E132" s="3" t="s">
        <v>21</v>
      </c>
    </row>
    <row r="133" spans="1:5" x14ac:dyDescent="0.3">
      <c r="A133" s="3" t="s">
        <v>186</v>
      </c>
      <c r="B133" s="4">
        <v>46125</v>
      </c>
      <c r="C133" s="3" t="s">
        <v>51</v>
      </c>
      <c r="D133" s="3" t="s">
        <v>301</v>
      </c>
      <c r="E133" s="3" t="s">
        <v>21</v>
      </c>
    </row>
    <row r="134" spans="1:5" x14ac:dyDescent="0.3">
      <c r="A134" s="3" t="s">
        <v>187</v>
      </c>
      <c r="B134" s="4">
        <v>46126</v>
      </c>
      <c r="C134" s="3" t="s">
        <v>51</v>
      </c>
      <c r="D134" s="3" t="s">
        <v>301</v>
      </c>
      <c r="E134" s="3" t="s">
        <v>21</v>
      </c>
    </row>
    <row r="135" spans="1:5" x14ac:dyDescent="0.3">
      <c r="A135" s="3" t="s">
        <v>188</v>
      </c>
      <c r="B135" s="4">
        <v>46127</v>
      </c>
      <c r="C135" s="3" t="s">
        <v>35</v>
      </c>
      <c r="D135" s="3" t="s">
        <v>180</v>
      </c>
      <c r="E135" s="3" t="s">
        <v>21</v>
      </c>
    </row>
    <row r="136" spans="1:5" x14ac:dyDescent="0.3">
      <c r="A136" s="3" t="s">
        <v>189</v>
      </c>
      <c r="B136" s="4">
        <v>46127</v>
      </c>
      <c r="C136" s="3" t="s">
        <v>51</v>
      </c>
      <c r="D136" s="3" t="s">
        <v>183</v>
      </c>
      <c r="E136" s="3" t="s">
        <v>21</v>
      </c>
    </row>
    <row r="137" spans="1:5" x14ac:dyDescent="0.3">
      <c r="A137" s="3" t="s">
        <v>190</v>
      </c>
      <c r="B137" s="4">
        <v>46127</v>
      </c>
      <c r="C137" s="3" t="s">
        <v>51</v>
      </c>
      <c r="D137" s="3" t="s">
        <v>301</v>
      </c>
      <c r="E137" s="3" t="s">
        <v>21</v>
      </c>
    </row>
    <row r="138" spans="1:5" x14ac:dyDescent="0.3">
      <c r="A138" s="3" t="s">
        <v>191</v>
      </c>
      <c r="B138" s="4">
        <v>46127</v>
      </c>
      <c r="C138" s="3" t="s">
        <v>51</v>
      </c>
      <c r="D138" s="3" t="s">
        <v>301</v>
      </c>
      <c r="E138" s="3" t="s">
        <v>21</v>
      </c>
    </row>
    <row r="139" spans="1:5" x14ac:dyDescent="0.3">
      <c r="A139" s="3" t="s">
        <v>193</v>
      </c>
      <c r="B139" s="4">
        <v>46127</v>
      </c>
      <c r="C139" s="3" t="s">
        <v>51</v>
      </c>
      <c r="D139" s="3" t="s">
        <v>303</v>
      </c>
      <c r="E139" s="3" t="s">
        <v>17</v>
      </c>
    </row>
    <row r="140" spans="1:5" x14ac:dyDescent="0.3">
      <c r="A140" s="3" t="s">
        <v>194</v>
      </c>
      <c r="B140" s="4">
        <v>46127</v>
      </c>
      <c r="C140" s="3" t="s">
        <v>35</v>
      </c>
      <c r="D140" s="3" t="s">
        <v>298</v>
      </c>
      <c r="E140" s="3" t="s">
        <v>17</v>
      </c>
    </row>
    <row r="141" spans="1:5" x14ac:dyDescent="0.3">
      <c r="A141" s="3" t="s">
        <v>194</v>
      </c>
      <c r="B141" s="4">
        <v>46230</v>
      </c>
      <c r="C141" s="3" t="s">
        <v>51</v>
      </c>
      <c r="D141" s="3" t="s">
        <v>298</v>
      </c>
      <c r="E141" s="3" t="s">
        <v>17</v>
      </c>
    </row>
    <row r="142" spans="1:5" x14ac:dyDescent="0.3">
      <c r="A142" s="3" t="s">
        <v>195</v>
      </c>
      <c r="B142" s="4">
        <v>46128</v>
      </c>
      <c r="C142" s="3" t="s">
        <v>51</v>
      </c>
      <c r="D142" s="3" t="s">
        <v>302</v>
      </c>
      <c r="E142" s="3" t="s">
        <v>21</v>
      </c>
    </row>
    <row r="143" spans="1:5" x14ac:dyDescent="0.3">
      <c r="A143" s="3" t="s">
        <v>196</v>
      </c>
      <c r="B143" s="4">
        <v>46129</v>
      </c>
      <c r="C143" s="3" t="s">
        <v>51</v>
      </c>
      <c r="D143" s="3" t="s">
        <v>71</v>
      </c>
      <c r="E143" s="3" t="s">
        <v>21</v>
      </c>
    </row>
    <row r="144" spans="1:5" x14ac:dyDescent="0.3">
      <c r="A144" s="3" t="s">
        <v>197</v>
      </c>
      <c r="B144" s="4">
        <v>46132</v>
      </c>
      <c r="C144" s="3" t="s">
        <v>51</v>
      </c>
      <c r="D144" s="3" t="s">
        <v>224</v>
      </c>
      <c r="E144" s="3" t="s">
        <v>21</v>
      </c>
    </row>
    <row r="145" spans="1:5" x14ac:dyDescent="0.3">
      <c r="A145" s="3" t="s">
        <v>198</v>
      </c>
      <c r="B145" s="4">
        <v>46133</v>
      </c>
      <c r="C145" s="3" t="s">
        <v>51</v>
      </c>
      <c r="D145" s="3" t="s">
        <v>71</v>
      </c>
      <c r="E145" s="3" t="s">
        <v>21</v>
      </c>
    </row>
    <row r="146" spans="1:5" x14ac:dyDescent="0.3">
      <c r="A146" s="3" t="s">
        <v>199</v>
      </c>
      <c r="B146" s="4">
        <v>46134</v>
      </c>
      <c r="C146" s="3" t="s">
        <v>51</v>
      </c>
      <c r="D146" s="3" t="s">
        <v>200</v>
      </c>
      <c r="E146" s="3" t="s">
        <v>31</v>
      </c>
    </row>
    <row r="147" spans="1:5" x14ac:dyDescent="0.3">
      <c r="A147" s="3" t="s">
        <v>201</v>
      </c>
      <c r="B147" s="4">
        <v>46134</v>
      </c>
      <c r="C147" s="3" t="s">
        <v>51</v>
      </c>
      <c r="D147" s="3" t="s">
        <v>301</v>
      </c>
      <c r="E147" s="3" t="s">
        <v>21</v>
      </c>
    </row>
    <row r="148" spans="1:5" x14ac:dyDescent="0.3">
      <c r="A148" s="3" t="s">
        <v>202</v>
      </c>
      <c r="B148" s="4">
        <v>46135</v>
      </c>
      <c r="C148" s="3" t="s">
        <v>51</v>
      </c>
      <c r="D148" s="3" t="s">
        <v>183</v>
      </c>
      <c r="E148" s="3" t="s">
        <v>21</v>
      </c>
    </row>
    <row r="149" spans="1:5" x14ac:dyDescent="0.3">
      <c r="A149" s="3" t="s">
        <v>203</v>
      </c>
      <c r="B149" s="4">
        <v>46134</v>
      </c>
      <c r="C149" s="3" t="s">
        <v>35</v>
      </c>
      <c r="D149" s="3" t="s">
        <v>298</v>
      </c>
      <c r="E149" s="3" t="s">
        <v>17</v>
      </c>
    </row>
    <row r="150" spans="1:5" x14ac:dyDescent="0.3">
      <c r="A150" s="3" t="s">
        <v>203</v>
      </c>
      <c r="B150" s="4">
        <v>46245</v>
      </c>
      <c r="C150" s="3" t="s">
        <v>35</v>
      </c>
      <c r="D150" s="3" t="s">
        <v>307</v>
      </c>
      <c r="E150" s="3" t="s">
        <v>17</v>
      </c>
    </row>
    <row r="151" spans="1:5" x14ac:dyDescent="0.3">
      <c r="A151" s="3" t="s">
        <v>205</v>
      </c>
      <c r="B151" s="4">
        <v>46141</v>
      </c>
      <c r="C151" s="3" t="s">
        <v>108</v>
      </c>
      <c r="D151" s="3" t="s">
        <v>45</v>
      </c>
      <c r="E151" s="3" t="s">
        <v>17</v>
      </c>
    </row>
    <row r="152" spans="1:5" x14ac:dyDescent="0.3">
      <c r="A152" s="3" t="s">
        <v>205</v>
      </c>
      <c r="B152" s="4">
        <v>46245</v>
      </c>
      <c r="C152" s="3" t="s">
        <v>108</v>
      </c>
      <c r="D152" s="3" t="s">
        <v>45</v>
      </c>
      <c r="E152" s="3" t="s">
        <v>17</v>
      </c>
    </row>
    <row r="153" spans="1:5" x14ac:dyDescent="0.3">
      <c r="A153" s="3" t="s">
        <v>206</v>
      </c>
      <c r="B153" s="4">
        <v>46199</v>
      </c>
      <c r="C153" s="3" t="s">
        <v>35</v>
      </c>
      <c r="D153" s="3" t="s">
        <v>26</v>
      </c>
      <c r="E153" s="3" t="s">
        <v>31</v>
      </c>
    </row>
    <row r="154" spans="1:5" x14ac:dyDescent="0.3">
      <c r="A154" s="3" t="s">
        <v>207</v>
      </c>
      <c r="B154" s="4">
        <v>46146</v>
      </c>
      <c r="C154" s="3" t="s">
        <v>51</v>
      </c>
      <c r="D154" s="3" t="s">
        <v>301</v>
      </c>
      <c r="E154" s="3" t="s">
        <v>208</v>
      </c>
    </row>
    <row r="155" spans="1:5" x14ac:dyDescent="0.3">
      <c r="A155" s="3" t="s">
        <v>209</v>
      </c>
      <c r="B155" s="4">
        <v>46147</v>
      </c>
      <c r="C155" s="3" t="s">
        <v>51</v>
      </c>
      <c r="D155" s="3" t="s">
        <v>180</v>
      </c>
      <c r="E155" s="3" t="s">
        <v>208</v>
      </c>
    </row>
    <row r="156" spans="1:5" x14ac:dyDescent="0.3">
      <c r="A156" s="3" t="s">
        <v>210</v>
      </c>
      <c r="B156" s="4">
        <v>46148</v>
      </c>
      <c r="C156" s="3" t="s">
        <v>35</v>
      </c>
      <c r="D156" s="3" t="s">
        <v>300</v>
      </c>
      <c r="E156" s="3" t="s">
        <v>208</v>
      </c>
    </row>
    <row r="157" spans="1:5" x14ac:dyDescent="0.3">
      <c r="A157" s="3" t="s">
        <v>211</v>
      </c>
      <c r="B157" s="4">
        <v>46148</v>
      </c>
      <c r="C157" s="3" t="s">
        <v>51</v>
      </c>
      <c r="D157" s="3" t="s">
        <v>301</v>
      </c>
      <c r="E157" s="3" t="s">
        <v>208</v>
      </c>
    </row>
    <row r="158" spans="1:5" x14ac:dyDescent="0.3">
      <c r="A158" s="3" t="s">
        <v>212</v>
      </c>
      <c r="B158" s="4">
        <v>46148</v>
      </c>
      <c r="C158" s="3" t="s">
        <v>51</v>
      </c>
      <c r="D158" s="3" t="s">
        <v>71</v>
      </c>
      <c r="E158" s="3" t="s">
        <v>208</v>
      </c>
    </row>
    <row r="159" spans="1:5" x14ac:dyDescent="0.3">
      <c r="A159" s="3" t="s">
        <v>213</v>
      </c>
      <c r="B159" s="4">
        <v>46148</v>
      </c>
      <c r="C159" s="3" t="s">
        <v>51</v>
      </c>
      <c r="D159" s="3" t="s">
        <v>301</v>
      </c>
      <c r="E159" s="3" t="s">
        <v>21</v>
      </c>
    </row>
    <row r="160" spans="1:5" x14ac:dyDescent="0.3">
      <c r="A160" s="3" t="s">
        <v>214</v>
      </c>
      <c r="B160" s="4">
        <v>46149</v>
      </c>
      <c r="C160" s="3" t="s">
        <v>51</v>
      </c>
      <c r="D160" s="3" t="s">
        <v>71</v>
      </c>
      <c r="E160" s="3" t="s">
        <v>208</v>
      </c>
    </row>
    <row r="161" spans="1:5" x14ac:dyDescent="0.3">
      <c r="A161" s="3" t="s">
        <v>215</v>
      </c>
      <c r="B161" s="4">
        <v>46149</v>
      </c>
      <c r="C161" s="3" t="s">
        <v>35</v>
      </c>
      <c r="D161" s="3" t="s">
        <v>26</v>
      </c>
      <c r="E161" s="3" t="s">
        <v>31</v>
      </c>
    </row>
    <row r="162" spans="1:5" x14ac:dyDescent="0.3">
      <c r="A162" s="3" t="s">
        <v>215</v>
      </c>
      <c r="B162" s="4">
        <v>46239</v>
      </c>
      <c r="C162" s="3" t="s">
        <v>35</v>
      </c>
      <c r="D162" s="3" t="s">
        <v>26</v>
      </c>
      <c r="E162" s="3" t="s">
        <v>31</v>
      </c>
    </row>
    <row r="163" spans="1:5" x14ac:dyDescent="0.3">
      <c r="A163" s="3" t="s">
        <v>217</v>
      </c>
      <c r="B163" s="4">
        <v>46149</v>
      </c>
      <c r="C163" s="3" t="s">
        <v>51</v>
      </c>
      <c r="D163" s="3" t="s">
        <v>301</v>
      </c>
      <c r="E163" s="3" t="s">
        <v>208</v>
      </c>
    </row>
    <row r="164" spans="1:5" x14ac:dyDescent="0.3">
      <c r="A164" s="3" t="s">
        <v>219</v>
      </c>
      <c r="B164" s="4">
        <v>46150</v>
      </c>
      <c r="C164" s="3" t="s">
        <v>35</v>
      </c>
      <c r="D164" s="3" t="s">
        <v>26</v>
      </c>
      <c r="E164" s="3" t="s">
        <v>208</v>
      </c>
    </row>
    <row r="165" spans="1:5" x14ac:dyDescent="0.3">
      <c r="A165" s="3" t="s">
        <v>219</v>
      </c>
      <c r="B165" s="4">
        <v>46225</v>
      </c>
      <c r="C165" s="3" t="s">
        <v>35</v>
      </c>
      <c r="D165" s="3" t="s">
        <v>26</v>
      </c>
      <c r="E165" s="3" t="s">
        <v>31</v>
      </c>
    </row>
    <row r="166" spans="1:5" x14ac:dyDescent="0.3">
      <c r="A166" s="3" t="s">
        <v>220</v>
      </c>
      <c r="B166" s="4">
        <v>46150</v>
      </c>
      <c r="C166" s="3" t="s">
        <v>51</v>
      </c>
      <c r="D166" s="3" t="s">
        <v>180</v>
      </c>
      <c r="E166" s="3" t="s">
        <v>208</v>
      </c>
    </row>
    <row r="167" spans="1:5" x14ac:dyDescent="0.3">
      <c r="A167" s="3" t="s">
        <v>221</v>
      </c>
      <c r="B167" s="4">
        <v>46150</v>
      </c>
      <c r="C167" s="3" t="s">
        <v>51</v>
      </c>
      <c r="D167" s="3" t="s">
        <v>71</v>
      </c>
      <c r="E167" s="3" t="s">
        <v>208</v>
      </c>
    </row>
    <row r="168" spans="1:5" x14ac:dyDescent="0.3">
      <c r="A168" s="3" t="s">
        <v>222</v>
      </c>
      <c r="B168" s="4">
        <v>46150</v>
      </c>
      <c r="C168" s="3" t="s">
        <v>51</v>
      </c>
      <c r="D168" s="3" t="s">
        <v>71</v>
      </c>
      <c r="E168" s="3" t="s">
        <v>208</v>
      </c>
    </row>
    <row r="169" spans="1:5" x14ac:dyDescent="0.3">
      <c r="A169" s="3" t="s">
        <v>223</v>
      </c>
      <c r="B169" s="4">
        <v>46150</v>
      </c>
      <c r="C169" s="3" t="s">
        <v>51</v>
      </c>
      <c r="D169" s="3" t="s">
        <v>224</v>
      </c>
      <c r="E169" s="3" t="s">
        <v>208</v>
      </c>
    </row>
    <row r="170" spans="1:5" x14ac:dyDescent="0.3">
      <c r="A170" s="3" t="s">
        <v>225</v>
      </c>
      <c r="B170" s="4">
        <v>46153</v>
      </c>
      <c r="C170" s="3" t="s">
        <v>108</v>
      </c>
      <c r="D170" s="3" t="s">
        <v>183</v>
      </c>
      <c r="E170" s="3" t="s">
        <v>21</v>
      </c>
    </row>
    <row r="171" spans="1:5" x14ac:dyDescent="0.3">
      <c r="A171" s="3" t="s">
        <v>225</v>
      </c>
      <c r="B171" s="4">
        <v>46244</v>
      </c>
      <c r="C171" s="3" t="s">
        <v>108</v>
      </c>
      <c r="D171" s="3" t="s">
        <v>183</v>
      </c>
      <c r="E171" s="3" t="s">
        <v>208</v>
      </c>
    </row>
    <row r="172" spans="1:5" x14ac:dyDescent="0.3">
      <c r="A172" s="3" t="s">
        <v>226</v>
      </c>
      <c r="B172" s="4">
        <v>46154</v>
      </c>
      <c r="C172" s="3" t="s">
        <v>51</v>
      </c>
      <c r="D172" s="3" t="s">
        <v>172</v>
      </c>
      <c r="E172" s="3" t="s">
        <v>208</v>
      </c>
    </row>
    <row r="173" spans="1:5" x14ac:dyDescent="0.3">
      <c r="A173" s="3" t="s">
        <v>227</v>
      </c>
      <c r="B173" s="4">
        <v>46156</v>
      </c>
      <c r="C173" s="3" t="s">
        <v>51</v>
      </c>
      <c r="D173" s="3" t="s">
        <v>302</v>
      </c>
      <c r="E173" s="3" t="s">
        <v>208</v>
      </c>
    </row>
    <row r="174" spans="1:5" x14ac:dyDescent="0.3">
      <c r="A174" s="3" t="s">
        <v>228</v>
      </c>
      <c r="B174" s="4">
        <v>46156</v>
      </c>
      <c r="C174" s="3" t="s">
        <v>51</v>
      </c>
      <c r="D174" s="3" t="s">
        <v>71</v>
      </c>
      <c r="E174" s="3" t="s">
        <v>208</v>
      </c>
    </row>
    <row r="175" spans="1:5" x14ac:dyDescent="0.3">
      <c r="A175" s="3" t="s">
        <v>229</v>
      </c>
      <c r="B175" s="4">
        <v>46156</v>
      </c>
      <c r="C175" s="3" t="s">
        <v>108</v>
      </c>
      <c r="D175" s="3" t="s">
        <v>172</v>
      </c>
      <c r="E175" s="3" t="s">
        <v>208</v>
      </c>
    </row>
    <row r="176" spans="1:5" x14ac:dyDescent="0.3">
      <c r="A176" s="3" t="s">
        <v>230</v>
      </c>
      <c r="B176" s="4">
        <v>46156</v>
      </c>
      <c r="C176" s="3" t="s">
        <v>51</v>
      </c>
      <c r="D176" s="3" t="s">
        <v>302</v>
      </c>
      <c r="E176" s="3" t="s">
        <v>208</v>
      </c>
    </row>
    <row r="177" spans="1:5" x14ac:dyDescent="0.3">
      <c r="A177" s="3" t="s">
        <v>231</v>
      </c>
      <c r="B177" s="4">
        <v>46157</v>
      </c>
      <c r="C177" s="3" t="s">
        <v>51</v>
      </c>
      <c r="D177" s="3" t="s">
        <v>183</v>
      </c>
      <c r="E177" s="3" t="s">
        <v>208</v>
      </c>
    </row>
    <row r="178" spans="1:5" x14ac:dyDescent="0.3">
      <c r="A178" s="3" t="s">
        <v>232</v>
      </c>
      <c r="B178" s="4">
        <v>46156</v>
      </c>
      <c r="C178" s="3" t="s">
        <v>51</v>
      </c>
      <c r="D178" s="3" t="s">
        <v>303</v>
      </c>
      <c r="E178" s="3" t="s">
        <v>17</v>
      </c>
    </row>
    <row r="179" spans="1:5" x14ac:dyDescent="0.3">
      <c r="A179" s="3" t="s">
        <v>232</v>
      </c>
      <c r="B179" s="4">
        <v>46192</v>
      </c>
      <c r="C179" s="3" t="s">
        <v>51</v>
      </c>
      <c r="D179" s="3" t="s">
        <v>22</v>
      </c>
      <c r="E179" s="3" t="s">
        <v>208</v>
      </c>
    </row>
    <row r="180" spans="1:5" x14ac:dyDescent="0.3">
      <c r="A180" s="3" t="s">
        <v>233</v>
      </c>
      <c r="B180" s="4">
        <v>46157</v>
      </c>
      <c r="C180" s="3" t="s">
        <v>35</v>
      </c>
      <c r="D180" s="3" t="s">
        <v>298</v>
      </c>
      <c r="E180" s="3" t="s">
        <v>17</v>
      </c>
    </row>
    <row r="181" spans="1:5" x14ac:dyDescent="0.3">
      <c r="A181" s="3" t="s">
        <v>234</v>
      </c>
      <c r="B181" s="4">
        <v>46161</v>
      </c>
      <c r="C181" s="3" t="s">
        <v>51</v>
      </c>
      <c r="D181" s="3" t="s">
        <v>22</v>
      </c>
      <c r="E181" s="3" t="s">
        <v>208</v>
      </c>
    </row>
    <row r="182" spans="1:5" x14ac:dyDescent="0.3">
      <c r="A182" s="3" t="s">
        <v>235</v>
      </c>
      <c r="B182" s="4">
        <v>46161</v>
      </c>
      <c r="C182" s="3" t="s">
        <v>51</v>
      </c>
      <c r="D182" s="3" t="s">
        <v>22</v>
      </c>
      <c r="E182" s="3" t="s">
        <v>208</v>
      </c>
    </row>
    <row r="183" spans="1:5" x14ac:dyDescent="0.3">
      <c r="A183" s="3" t="s">
        <v>236</v>
      </c>
      <c r="B183" s="4">
        <v>46162</v>
      </c>
      <c r="C183" s="3" t="s">
        <v>108</v>
      </c>
      <c r="D183" s="3" t="s">
        <v>22</v>
      </c>
      <c r="E183" s="3" t="s">
        <v>208</v>
      </c>
    </row>
    <row r="184" spans="1:5" x14ac:dyDescent="0.3">
      <c r="A184" s="3" t="s">
        <v>238</v>
      </c>
      <c r="B184" s="4">
        <v>46162</v>
      </c>
      <c r="C184" s="3" t="s">
        <v>51</v>
      </c>
      <c r="D184" s="3" t="s">
        <v>22</v>
      </c>
      <c r="E184" s="3" t="s">
        <v>208</v>
      </c>
    </row>
    <row r="185" spans="1:5" x14ac:dyDescent="0.3">
      <c r="A185" s="3" t="s">
        <v>239</v>
      </c>
      <c r="B185" s="4">
        <v>46163</v>
      </c>
      <c r="C185" s="3" t="s">
        <v>51</v>
      </c>
      <c r="D185" s="3" t="s">
        <v>22</v>
      </c>
      <c r="E185" s="3" t="s">
        <v>208</v>
      </c>
    </row>
    <row r="186" spans="1:5" x14ac:dyDescent="0.3">
      <c r="A186" s="3" t="s">
        <v>240</v>
      </c>
      <c r="B186" s="4">
        <v>46155</v>
      </c>
      <c r="C186" s="3" t="s">
        <v>35</v>
      </c>
      <c r="D186" s="3" t="s">
        <v>26</v>
      </c>
      <c r="E186" s="3" t="s">
        <v>31</v>
      </c>
    </row>
    <row r="187" spans="1:5" x14ac:dyDescent="0.3">
      <c r="A187" s="3" t="s">
        <v>240</v>
      </c>
      <c r="B187" s="4">
        <v>46232</v>
      </c>
      <c r="C187" s="3" t="s">
        <v>35</v>
      </c>
      <c r="D187" s="3" t="s">
        <v>26</v>
      </c>
      <c r="E187" s="3" t="s">
        <v>31</v>
      </c>
    </row>
    <row r="188" spans="1:5" x14ac:dyDescent="0.3">
      <c r="A188" s="3" t="s">
        <v>241</v>
      </c>
      <c r="B188" s="4">
        <v>46164</v>
      </c>
      <c r="C188" s="3" t="s">
        <v>51</v>
      </c>
      <c r="D188" s="3" t="s">
        <v>40</v>
      </c>
      <c r="E188" s="3" t="s">
        <v>17</v>
      </c>
    </row>
    <row r="189" spans="1:5" x14ac:dyDescent="0.3">
      <c r="A189" s="3" t="s">
        <v>242</v>
      </c>
      <c r="B189" s="4">
        <v>46164</v>
      </c>
      <c r="C189" s="3" t="s">
        <v>51</v>
      </c>
      <c r="D189" s="3" t="s">
        <v>40</v>
      </c>
      <c r="E189" s="3" t="s">
        <v>17</v>
      </c>
    </row>
    <row r="190" spans="1:5" x14ac:dyDescent="0.3">
      <c r="A190" s="3" t="s">
        <v>243</v>
      </c>
      <c r="B190" s="4">
        <v>46165</v>
      </c>
      <c r="C190" s="3" t="s">
        <v>108</v>
      </c>
      <c r="D190" s="3" t="s">
        <v>45</v>
      </c>
      <c r="E190" s="3" t="s">
        <v>17</v>
      </c>
    </row>
    <row r="191" spans="1:5" x14ac:dyDescent="0.3">
      <c r="A191" s="3" t="s">
        <v>244</v>
      </c>
      <c r="B191" s="4">
        <v>46168</v>
      </c>
      <c r="C191" s="3" t="s">
        <v>51</v>
      </c>
      <c r="D191" s="3" t="s">
        <v>26</v>
      </c>
      <c r="E191" s="3" t="s">
        <v>208</v>
      </c>
    </row>
    <row r="192" spans="1:5" x14ac:dyDescent="0.3">
      <c r="A192" s="3" t="s">
        <v>245</v>
      </c>
      <c r="B192" s="4">
        <v>46144</v>
      </c>
      <c r="C192" s="3" t="s">
        <v>51</v>
      </c>
      <c r="D192" s="3" t="s">
        <v>298</v>
      </c>
      <c r="E192" s="3" t="s">
        <v>31</v>
      </c>
    </row>
    <row r="193" spans="1:5" x14ac:dyDescent="0.3">
      <c r="A193" s="3" t="s">
        <v>246</v>
      </c>
      <c r="B193" s="4">
        <v>46168</v>
      </c>
      <c r="C193" s="3" t="s">
        <v>51</v>
      </c>
      <c r="D193" s="3" t="s">
        <v>22</v>
      </c>
      <c r="E193" s="3" t="s">
        <v>208</v>
      </c>
    </row>
    <row r="194" spans="1:5" x14ac:dyDescent="0.3">
      <c r="A194" s="3" t="s">
        <v>247</v>
      </c>
      <c r="B194" s="4">
        <v>46168</v>
      </c>
      <c r="C194" s="3" t="s">
        <v>51</v>
      </c>
      <c r="D194" s="3" t="s">
        <v>40</v>
      </c>
      <c r="E194" s="3" t="s">
        <v>17</v>
      </c>
    </row>
    <row r="195" spans="1:5" x14ac:dyDescent="0.3">
      <c r="A195" s="3" t="s">
        <v>248</v>
      </c>
      <c r="B195" s="4">
        <v>46168</v>
      </c>
      <c r="C195" s="3" t="s">
        <v>51</v>
      </c>
      <c r="D195" s="3" t="s">
        <v>40</v>
      </c>
      <c r="E195" s="3" t="s">
        <v>17</v>
      </c>
    </row>
    <row r="196" spans="1:5" x14ac:dyDescent="0.3">
      <c r="A196" s="3" t="s">
        <v>249</v>
      </c>
      <c r="B196" s="4">
        <v>46169</v>
      </c>
      <c r="C196" s="3" t="s">
        <v>35</v>
      </c>
      <c r="D196" s="3" t="s">
        <v>300</v>
      </c>
      <c r="E196" s="3" t="s">
        <v>208</v>
      </c>
    </row>
    <row r="197" spans="1:5" x14ac:dyDescent="0.3">
      <c r="A197" s="3" t="s">
        <v>250</v>
      </c>
      <c r="B197" s="4">
        <v>46172</v>
      </c>
      <c r="C197" s="3" t="s">
        <v>51</v>
      </c>
      <c r="D197" s="3" t="s">
        <v>251</v>
      </c>
      <c r="E197" s="3" t="s">
        <v>17</v>
      </c>
    </row>
    <row r="198" spans="1:5" x14ac:dyDescent="0.3">
      <c r="A198" s="3" t="s">
        <v>252</v>
      </c>
      <c r="B198" s="4">
        <v>46172</v>
      </c>
      <c r="C198" s="3" t="s">
        <v>51</v>
      </c>
      <c r="D198" s="3" t="s">
        <v>40</v>
      </c>
      <c r="E198" s="3" t="s">
        <v>17</v>
      </c>
    </row>
    <row r="199" spans="1:5" x14ac:dyDescent="0.3">
      <c r="A199" s="3" t="s">
        <v>253</v>
      </c>
      <c r="B199" s="4">
        <v>46175</v>
      </c>
      <c r="C199" s="3" t="s">
        <v>51</v>
      </c>
      <c r="D199" s="3" t="s">
        <v>151</v>
      </c>
      <c r="E199" s="3" t="s">
        <v>31</v>
      </c>
    </row>
    <row r="200" spans="1:5" x14ac:dyDescent="0.3">
      <c r="A200" s="3" t="s">
        <v>254</v>
      </c>
      <c r="B200" s="4">
        <v>46175</v>
      </c>
      <c r="C200" s="3" t="s">
        <v>51</v>
      </c>
      <c r="D200" s="3" t="s">
        <v>183</v>
      </c>
      <c r="E200" s="3" t="s">
        <v>208</v>
      </c>
    </row>
    <row r="201" spans="1:5" x14ac:dyDescent="0.3">
      <c r="A201" s="3" t="s">
        <v>255</v>
      </c>
      <c r="B201" s="4">
        <v>46175</v>
      </c>
      <c r="C201" s="3" t="s">
        <v>51</v>
      </c>
      <c r="D201" s="3" t="s">
        <v>22</v>
      </c>
      <c r="E201" s="3" t="s">
        <v>208</v>
      </c>
    </row>
    <row r="202" spans="1:5" x14ac:dyDescent="0.3">
      <c r="A202" s="3" t="s">
        <v>256</v>
      </c>
      <c r="B202" s="4">
        <v>46174</v>
      </c>
      <c r="C202" s="3" t="s">
        <v>51</v>
      </c>
      <c r="D202" s="3" t="s">
        <v>257</v>
      </c>
      <c r="E202" s="3" t="s">
        <v>31</v>
      </c>
    </row>
    <row r="203" spans="1:5" x14ac:dyDescent="0.3">
      <c r="A203" s="3" t="s">
        <v>258</v>
      </c>
      <c r="B203" s="4">
        <v>46176</v>
      </c>
      <c r="C203" s="3" t="s">
        <v>51</v>
      </c>
      <c r="D203" s="3" t="s">
        <v>302</v>
      </c>
      <c r="E203" s="3" t="s">
        <v>208</v>
      </c>
    </row>
    <row r="204" spans="1:5" x14ac:dyDescent="0.3">
      <c r="A204" s="3" t="s">
        <v>259</v>
      </c>
      <c r="B204" s="4">
        <v>46176</v>
      </c>
      <c r="C204" s="3" t="s">
        <v>51</v>
      </c>
      <c r="D204" s="3" t="s">
        <v>301</v>
      </c>
      <c r="E204" s="3" t="s">
        <v>208</v>
      </c>
    </row>
    <row r="205" spans="1:5" x14ac:dyDescent="0.3">
      <c r="A205" s="3" t="s">
        <v>260</v>
      </c>
      <c r="B205" s="4">
        <v>46182</v>
      </c>
      <c r="C205" s="3" t="s">
        <v>51</v>
      </c>
      <c r="D205" s="3" t="s">
        <v>302</v>
      </c>
      <c r="E205" s="3" t="s">
        <v>208</v>
      </c>
    </row>
    <row r="206" spans="1:5" x14ac:dyDescent="0.3">
      <c r="A206" s="3" t="s">
        <v>261</v>
      </c>
      <c r="B206" s="4">
        <v>46182</v>
      </c>
      <c r="C206" s="3" t="s">
        <v>51</v>
      </c>
      <c r="D206" s="3" t="s">
        <v>302</v>
      </c>
      <c r="E206" s="3" t="s">
        <v>208</v>
      </c>
    </row>
    <row r="207" spans="1:5" x14ac:dyDescent="0.3">
      <c r="A207" s="3" t="s">
        <v>264</v>
      </c>
      <c r="B207" s="4">
        <v>46182</v>
      </c>
      <c r="C207" s="3" t="s">
        <v>35</v>
      </c>
      <c r="D207" s="3" t="s">
        <v>298</v>
      </c>
      <c r="E207" s="3" t="s">
        <v>17</v>
      </c>
    </row>
    <row r="208" spans="1:5" x14ac:dyDescent="0.3">
      <c r="A208" s="3" t="s">
        <v>264</v>
      </c>
      <c r="B208" s="4">
        <v>46238</v>
      </c>
      <c r="C208" s="3" t="s">
        <v>35</v>
      </c>
      <c r="D208" s="3" t="s">
        <v>307</v>
      </c>
      <c r="E208" s="3" t="s">
        <v>17</v>
      </c>
    </row>
    <row r="209" spans="1:5" x14ac:dyDescent="0.3">
      <c r="A209" s="3" t="s">
        <v>265</v>
      </c>
      <c r="B209" s="4">
        <v>46183</v>
      </c>
      <c r="C209" s="3" t="s">
        <v>51</v>
      </c>
      <c r="D209" s="3" t="s">
        <v>301</v>
      </c>
      <c r="E209" s="3" t="s">
        <v>208</v>
      </c>
    </row>
    <row r="210" spans="1:5" x14ac:dyDescent="0.3">
      <c r="A210" s="3" t="s">
        <v>266</v>
      </c>
      <c r="B210" s="4">
        <v>46183</v>
      </c>
      <c r="C210" s="3" t="s">
        <v>51</v>
      </c>
      <c r="D210" s="3" t="s">
        <v>301</v>
      </c>
      <c r="E210" s="3" t="s">
        <v>208</v>
      </c>
    </row>
    <row r="211" spans="1:5" x14ac:dyDescent="0.3">
      <c r="A211" s="3" t="s">
        <v>267</v>
      </c>
      <c r="B211" s="4">
        <v>46184</v>
      </c>
      <c r="C211" s="3" t="s">
        <v>51</v>
      </c>
      <c r="D211" s="3" t="s">
        <v>22</v>
      </c>
      <c r="E211" s="3" t="s">
        <v>208</v>
      </c>
    </row>
    <row r="212" spans="1:5" x14ac:dyDescent="0.3">
      <c r="A212" s="3" t="s">
        <v>268</v>
      </c>
      <c r="B212" s="4">
        <v>46184</v>
      </c>
      <c r="C212" s="3" t="s">
        <v>51</v>
      </c>
      <c r="D212" s="3" t="s">
        <v>301</v>
      </c>
      <c r="E212" s="3" t="s">
        <v>208</v>
      </c>
    </row>
    <row r="213" spans="1:5" x14ac:dyDescent="0.3">
      <c r="A213" s="3" t="s">
        <v>269</v>
      </c>
      <c r="B213" s="4">
        <v>46190</v>
      </c>
      <c r="C213" s="3" t="s">
        <v>51</v>
      </c>
      <c r="D213" s="3" t="s">
        <v>270</v>
      </c>
      <c r="E213" s="3" t="s">
        <v>31</v>
      </c>
    </row>
    <row r="214" spans="1:5" x14ac:dyDescent="0.3">
      <c r="A214" s="3" t="s">
        <v>271</v>
      </c>
      <c r="B214" s="4">
        <v>46191</v>
      </c>
      <c r="C214" s="3" t="s">
        <v>51</v>
      </c>
      <c r="D214" s="3" t="s">
        <v>302</v>
      </c>
      <c r="E214" s="3" t="s">
        <v>208</v>
      </c>
    </row>
    <row r="215" spans="1:5" x14ac:dyDescent="0.3">
      <c r="A215" s="3" t="s">
        <v>272</v>
      </c>
      <c r="B215" s="4">
        <v>46191</v>
      </c>
      <c r="C215" s="3" t="s">
        <v>35</v>
      </c>
      <c r="D215" s="3" t="s">
        <v>26</v>
      </c>
      <c r="E215" s="3" t="s">
        <v>31</v>
      </c>
    </row>
    <row r="216" spans="1:5" x14ac:dyDescent="0.3">
      <c r="A216" s="3" t="s">
        <v>273</v>
      </c>
      <c r="B216" s="4">
        <v>46191</v>
      </c>
      <c r="C216" s="3" t="s">
        <v>51</v>
      </c>
      <c r="D216" s="3" t="s">
        <v>302</v>
      </c>
      <c r="E216" s="3" t="s">
        <v>208</v>
      </c>
    </row>
    <row r="217" spans="1:5" x14ac:dyDescent="0.3">
      <c r="A217" s="3" t="s">
        <v>274</v>
      </c>
      <c r="B217" s="4">
        <v>46195</v>
      </c>
      <c r="C217" s="3" t="s">
        <v>51</v>
      </c>
      <c r="D217" s="3" t="s">
        <v>22</v>
      </c>
      <c r="E217" s="3" t="s">
        <v>208</v>
      </c>
    </row>
    <row r="218" spans="1:5" x14ac:dyDescent="0.3">
      <c r="A218" s="3" t="s">
        <v>275</v>
      </c>
      <c r="B218" s="4">
        <v>46196</v>
      </c>
      <c r="C218" s="3" t="s">
        <v>51</v>
      </c>
      <c r="D218" s="3" t="s">
        <v>22</v>
      </c>
      <c r="E218" s="3" t="s">
        <v>208</v>
      </c>
    </row>
    <row r="219" spans="1:5" x14ac:dyDescent="0.3">
      <c r="A219" s="3" t="s">
        <v>276</v>
      </c>
      <c r="B219" s="4">
        <v>46196</v>
      </c>
      <c r="C219" s="3" t="s">
        <v>51</v>
      </c>
      <c r="D219" s="3" t="s">
        <v>301</v>
      </c>
      <c r="E219" s="3" t="s">
        <v>208</v>
      </c>
    </row>
    <row r="220" spans="1:5" x14ac:dyDescent="0.3">
      <c r="A220" s="3" t="s">
        <v>277</v>
      </c>
      <c r="B220" s="4">
        <v>46196</v>
      </c>
      <c r="C220" s="3" t="s">
        <v>51</v>
      </c>
      <c r="D220" s="3" t="s">
        <v>301</v>
      </c>
      <c r="E220" s="3" t="s">
        <v>208</v>
      </c>
    </row>
    <row r="221" spans="1:5" x14ac:dyDescent="0.3">
      <c r="A221" s="3" t="s">
        <v>278</v>
      </c>
      <c r="B221" s="4">
        <v>46197</v>
      </c>
      <c r="C221" s="3" t="s">
        <v>51</v>
      </c>
      <c r="D221" s="3" t="s">
        <v>200</v>
      </c>
      <c r="E221" s="3" t="s">
        <v>31</v>
      </c>
    </row>
    <row r="222" spans="1:5" x14ac:dyDescent="0.3">
      <c r="A222" s="3" t="s">
        <v>279</v>
      </c>
      <c r="B222" s="4">
        <v>46197</v>
      </c>
      <c r="C222" s="3" t="s">
        <v>51</v>
      </c>
      <c r="D222" s="3" t="s">
        <v>301</v>
      </c>
      <c r="E222" s="3" t="s">
        <v>208</v>
      </c>
    </row>
    <row r="223" spans="1:5" x14ac:dyDescent="0.3">
      <c r="A223" s="3" t="s">
        <v>280</v>
      </c>
      <c r="B223" s="4">
        <v>46199</v>
      </c>
      <c r="C223" s="3" t="s">
        <v>51</v>
      </c>
      <c r="D223" s="3" t="s">
        <v>304</v>
      </c>
      <c r="E223" s="3" t="s">
        <v>208</v>
      </c>
    </row>
    <row r="224" spans="1:5" x14ac:dyDescent="0.3">
      <c r="A224" s="3" t="s">
        <v>281</v>
      </c>
      <c r="B224" s="4">
        <v>46197</v>
      </c>
      <c r="C224" s="3" t="s">
        <v>108</v>
      </c>
      <c r="D224" s="3" t="s">
        <v>251</v>
      </c>
      <c r="E224" s="3" t="s">
        <v>17</v>
      </c>
    </row>
    <row r="225" spans="1:5" x14ac:dyDescent="0.3">
      <c r="A225" s="3" t="s">
        <v>282</v>
      </c>
      <c r="B225" s="4">
        <v>46197</v>
      </c>
      <c r="C225" s="3" t="s">
        <v>35</v>
      </c>
      <c r="D225" s="3" t="s">
        <v>26</v>
      </c>
      <c r="E225" s="3" t="s">
        <v>17</v>
      </c>
    </row>
    <row r="226" spans="1:5" x14ac:dyDescent="0.3">
      <c r="A226" s="3" t="s">
        <v>283</v>
      </c>
      <c r="B226" s="4">
        <v>46205</v>
      </c>
      <c r="C226" s="3" t="s">
        <v>51</v>
      </c>
      <c r="D226" s="3" t="s">
        <v>320</v>
      </c>
      <c r="E226" s="3" t="s">
        <v>208</v>
      </c>
    </row>
    <row r="227" spans="1:5" x14ac:dyDescent="0.3">
      <c r="A227" s="3" t="s">
        <v>284</v>
      </c>
      <c r="B227" s="4">
        <v>46205</v>
      </c>
      <c r="C227" s="3" t="s">
        <v>35</v>
      </c>
      <c r="D227" s="3" t="s">
        <v>183</v>
      </c>
      <c r="E227" s="3" t="s">
        <v>208</v>
      </c>
    </row>
    <row r="228" spans="1:5" x14ac:dyDescent="0.3">
      <c r="A228" s="3" t="s">
        <v>284</v>
      </c>
      <c r="B228" s="4">
        <v>46205</v>
      </c>
      <c r="C228" s="3" t="s">
        <v>35</v>
      </c>
      <c r="D228" s="3" t="s">
        <v>331</v>
      </c>
      <c r="E228" s="3" t="s">
        <v>208</v>
      </c>
    </row>
    <row r="229" spans="1:5" x14ac:dyDescent="0.3">
      <c r="A229" s="3" t="s">
        <v>285</v>
      </c>
      <c r="B229" s="4">
        <v>46205</v>
      </c>
      <c r="C229" s="3" t="s">
        <v>51</v>
      </c>
      <c r="D229" s="3" t="s">
        <v>22</v>
      </c>
      <c r="E229" s="3" t="s">
        <v>208</v>
      </c>
    </row>
    <row r="230" spans="1:5" x14ac:dyDescent="0.3">
      <c r="A230" s="3" t="s">
        <v>286</v>
      </c>
      <c r="B230" s="4">
        <v>46206</v>
      </c>
      <c r="C230" s="3" t="s">
        <v>51</v>
      </c>
      <c r="D230" s="3" t="s">
        <v>321</v>
      </c>
      <c r="E230" s="3" t="s">
        <v>208</v>
      </c>
    </row>
    <row r="231" spans="1:5" x14ac:dyDescent="0.3">
      <c r="A231" s="3" t="s">
        <v>286</v>
      </c>
      <c r="B231" s="4">
        <v>46206</v>
      </c>
      <c r="C231" s="3" t="s">
        <v>51</v>
      </c>
      <c r="D231" s="3" t="s">
        <v>331</v>
      </c>
      <c r="E231" s="3" t="s">
        <v>208</v>
      </c>
    </row>
    <row r="232" spans="1:5" x14ac:dyDescent="0.3">
      <c r="A232" s="3" t="s">
        <v>287</v>
      </c>
      <c r="B232" s="4">
        <v>46210</v>
      </c>
      <c r="C232" s="3" t="s">
        <v>51</v>
      </c>
      <c r="D232" s="3" t="s">
        <v>22</v>
      </c>
      <c r="E232" s="3" t="s">
        <v>208</v>
      </c>
    </row>
    <row r="233" spans="1:5" x14ac:dyDescent="0.3">
      <c r="A233" s="3" t="s">
        <v>288</v>
      </c>
      <c r="B233" s="4">
        <v>46211</v>
      </c>
      <c r="C233" s="3" t="s">
        <v>35</v>
      </c>
      <c r="D233" s="3" t="s">
        <v>300</v>
      </c>
      <c r="E233" s="3" t="s">
        <v>208</v>
      </c>
    </row>
    <row r="234" spans="1:5" x14ac:dyDescent="0.3">
      <c r="A234" s="3" t="s">
        <v>289</v>
      </c>
      <c r="B234" s="4">
        <v>46216</v>
      </c>
      <c r="C234" s="3" t="s">
        <v>51</v>
      </c>
      <c r="D234" s="3" t="s">
        <v>302</v>
      </c>
      <c r="E234" s="3" t="s">
        <v>208</v>
      </c>
    </row>
    <row r="235" spans="1:5" x14ac:dyDescent="0.3">
      <c r="A235" s="3" t="s">
        <v>291</v>
      </c>
      <c r="B235" s="4">
        <v>46217</v>
      </c>
      <c r="C235" s="3" t="s">
        <v>51</v>
      </c>
      <c r="D235" s="3" t="s">
        <v>270</v>
      </c>
      <c r="E235" s="3" t="s">
        <v>31</v>
      </c>
    </row>
    <row r="236" spans="1:5" x14ac:dyDescent="0.3">
      <c r="A236" s="3" t="s">
        <v>292</v>
      </c>
      <c r="B236" s="4">
        <v>46217</v>
      </c>
      <c r="C236" s="3" t="s">
        <v>51</v>
      </c>
      <c r="D236" s="3" t="s">
        <v>22</v>
      </c>
      <c r="E236" s="3" t="s">
        <v>208</v>
      </c>
    </row>
    <row r="237" spans="1:5" x14ac:dyDescent="0.3">
      <c r="A237" s="3" t="s">
        <v>294</v>
      </c>
      <c r="B237" s="4">
        <v>46219</v>
      </c>
      <c r="C237" s="3" t="s">
        <v>51</v>
      </c>
      <c r="D237" s="3" t="s">
        <v>263</v>
      </c>
      <c r="E237" s="3" t="s">
        <v>17</v>
      </c>
    </row>
    <row r="238" spans="1:5" x14ac:dyDescent="0.3">
      <c r="A238" s="3" t="s">
        <v>295</v>
      </c>
      <c r="B238" s="4">
        <v>46231</v>
      </c>
      <c r="C238" s="3" t="s">
        <v>51</v>
      </c>
      <c r="D238" s="3" t="s">
        <v>302</v>
      </c>
      <c r="E238" s="3" t="s">
        <v>208</v>
      </c>
    </row>
    <row r="239" spans="1:5" x14ac:dyDescent="0.3">
      <c r="A239" s="3" t="s">
        <v>296</v>
      </c>
      <c r="B239" s="4">
        <v>46225</v>
      </c>
      <c r="C239" s="3" t="s">
        <v>35</v>
      </c>
      <c r="D239" s="3" t="s">
        <v>26</v>
      </c>
      <c r="E239" s="3" t="s">
        <v>17</v>
      </c>
    </row>
    <row r="240" spans="1:5" x14ac:dyDescent="0.3">
      <c r="A240" s="3" t="s">
        <v>297</v>
      </c>
      <c r="B240" s="4">
        <v>46226</v>
      </c>
      <c r="C240" s="3" t="s">
        <v>51</v>
      </c>
      <c r="D240" s="3" t="s">
        <v>138</v>
      </c>
      <c r="E240" s="3" t="s">
        <v>17</v>
      </c>
    </row>
    <row r="241" spans="1:5" x14ac:dyDescent="0.3">
      <c r="A241" s="3" t="s">
        <v>308</v>
      </c>
      <c r="B241" s="4">
        <v>46234</v>
      </c>
      <c r="C241" s="3" t="s">
        <v>51</v>
      </c>
      <c r="D241" s="3" t="s">
        <v>40</v>
      </c>
      <c r="E241" s="3" t="s">
        <v>17</v>
      </c>
    </row>
    <row r="242" spans="1:5" x14ac:dyDescent="0.3">
      <c r="A242" s="3" t="s">
        <v>309</v>
      </c>
      <c r="B242" s="4">
        <v>46237</v>
      </c>
      <c r="C242" s="3" t="s">
        <v>51</v>
      </c>
      <c r="D242" s="3" t="s">
        <v>71</v>
      </c>
      <c r="E242" s="3" t="s">
        <v>208</v>
      </c>
    </row>
    <row r="243" spans="1:5" x14ac:dyDescent="0.3">
      <c r="A243" s="3" t="s">
        <v>310</v>
      </c>
      <c r="B243" s="4">
        <v>46235</v>
      </c>
      <c r="C243" s="3" t="s">
        <v>51</v>
      </c>
      <c r="D243" s="3" t="s">
        <v>45</v>
      </c>
      <c r="E243" s="3" t="s">
        <v>17</v>
      </c>
    </row>
    <row r="244" spans="1:5" x14ac:dyDescent="0.3">
      <c r="A244" s="3" t="s">
        <v>311</v>
      </c>
      <c r="B244" s="4">
        <v>46235</v>
      </c>
      <c r="C244" s="3" t="s">
        <v>51</v>
      </c>
      <c r="D244" s="3" t="s">
        <v>45</v>
      </c>
      <c r="E244" s="3" t="s">
        <v>17</v>
      </c>
    </row>
    <row r="245" spans="1:5" x14ac:dyDescent="0.3">
      <c r="A245" s="3" t="s">
        <v>312</v>
      </c>
      <c r="B245" s="4">
        <v>46235</v>
      </c>
      <c r="C245" s="3" t="s">
        <v>51</v>
      </c>
      <c r="D245" s="3" t="s">
        <v>45</v>
      </c>
      <c r="E245" s="3" t="s">
        <v>17</v>
      </c>
    </row>
    <row r="246" spans="1:5" x14ac:dyDescent="0.3">
      <c r="A246" s="3" t="s">
        <v>313</v>
      </c>
      <c r="B246" s="4">
        <v>46238</v>
      </c>
      <c r="C246" s="3" t="s">
        <v>51</v>
      </c>
      <c r="D246" s="3" t="s">
        <v>40</v>
      </c>
      <c r="E246" s="3" t="s">
        <v>17</v>
      </c>
    </row>
    <row r="247" spans="1:5" x14ac:dyDescent="0.3">
      <c r="A247" s="3" t="s">
        <v>314</v>
      </c>
      <c r="B247" s="4">
        <v>46240</v>
      </c>
      <c r="C247" s="3" t="s">
        <v>35</v>
      </c>
      <c r="D247" s="3" t="s">
        <v>307</v>
      </c>
      <c r="E247" s="3" t="s">
        <v>17</v>
      </c>
    </row>
    <row r="248" spans="1:5" x14ac:dyDescent="0.3">
      <c r="A248" s="3" t="s">
        <v>315</v>
      </c>
      <c r="B248" s="4">
        <v>46240</v>
      </c>
      <c r="C248" s="3" t="s">
        <v>51</v>
      </c>
      <c r="D248" s="3" t="s">
        <v>316</v>
      </c>
      <c r="E248" s="3" t="s">
        <v>208</v>
      </c>
    </row>
    <row r="249" spans="1:5" x14ac:dyDescent="0.3">
      <c r="A249" s="3" t="s">
        <v>317</v>
      </c>
      <c r="B249" s="4">
        <v>46240</v>
      </c>
      <c r="C249" s="3" t="s">
        <v>51</v>
      </c>
      <c r="D249" s="3" t="s">
        <v>306</v>
      </c>
      <c r="E249" s="3" t="s">
        <v>208</v>
      </c>
    </row>
    <row r="250" spans="1:5" x14ac:dyDescent="0.3">
      <c r="A250" s="3" t="s">
        <v>319</v>
      </c>
      <c r="B250" s="4">
        <v>46241</v>
      </c>
      <c r="C250" s="3" t="s">
        <v>51</v>
      </c>
      <c r="D250" s="3" t="s">
        <v>306</v>
      </c>
      <c r="E250" s="3" t="s">
        <v>208</v>
      </c>
    </row>
    <row r="251" spans="1:5" x14ac:dyDescent="0.3">
      <c r="A251" s="3" t="s">
        <v>322</v>
      </c>
      <c r="B251" s="4">
        <v>46246</v>
      </c>
      <c r="C251" s="3" t="s">
        <v>51</v>
      </c>
      <c r="D251" s="3" t="s">
        <v>22</v>
      </c>
      <c r="E251" s="3" t="s">
        <v>208</v>
      </c>
    </row>
    <row r="252" spans="1:5" x14ac:dyDescent="0.3">
      <c r="A252" s="3" t="s">
        <v>323</v>
      </c>
      <c r="B252" s="4">
        <v>46247</v>
      </c>
      <c r="C252" s="3" t="s">
        <v>51</v>
      </c>
      <c r="D252" s="3" t="s">
        <v>71</v>
      </c>
      <c r="E252" s="3" t="s">
        <v>208</v>
      </c>
    </row>
    <row r="253" spans="1:5" x14ac:dyDescent="0.3">
      <c r="A253" s="3" t="s">
        <v>325</v>
      </c>
      <c r="B253" s="4">
        <v>46247</v>
      </c>
      <c r="C253" s="3" t="s">
        <v>51</v>
      </c>
      <c r="D253" s="3" t="s">
        <v>22</v>
      </c>
      <c r="E253" s="3" t="s">
        <v>208</v>
      </c>
    </row>
    <row r="254" spans="1:5" x14ac:dyDescent="0.3">
      <c r="A254" s="3" t="s">
        <v>326</v>
      </c>
      <c r="B254" s="4">
        <v>46248</v>
      </c>
      <c r="C254" s="3" t="s">
        <v>51</v>
      </c>
      <c r="D254" s="3" t="s">
        <v>71</v>
      </c>
      <c r="E254" s="3" t="s">
        <v>208</v>
      </c>
    </row>
    <row r="255" spans="1:5" x14ac:dyDescent="0.3">
      <c r="A255" s="3" t="s">
        <v>327</v>
      </c>
      <c r="B255" s="4">
        <v>46248</v>
      </c>
      <c r="C255" s="3" t="s">
        <v>51</v>
      </c>
      <c r="D255" s="3" t="s">
        <v>224</v>
      </c>
      <c r="E255" s="3" t="s">
        <v>208</v>
      </c>
    </row>
    <row r="256" spans="1:5" x14ac:dyDescent="0.3">
      <c r="A256" s="3" t="s">
        <v>328</v>
      </c>
      <c r="B256" s="4">
        <v>46252</v>
      </c>
      <c r="C256" s="3" t="s">
        <v>51</v>
      </c>
      <c r="D256" s="3" t="s">
        <v>22</v>
      </c>
      <c r="E256" s="3" t="s">
        <v>208</v>
      </c>
    </row>
    <row r="257" spans="1:5" x14ac:dyDescent="0.3">
      <c r="A257" s="3" t="s">
        <v>329</v>
      </c>
      <c r="B257" s="4">
        <v>46254</v>
      </c>
      <c r="C257" s="3" t="s">
        <v>51</v>
      </c>
      <c r="D257" s="3" t="s">
        <v>224</v>
      </c>
      <c r="E257" s="3" t="s">
        <v>208</v>
      </c>
    </row>
    <row r="258" spans="1:5" x14ac:dyDescent="0.3">
      <c r="A258" s="3" t="s">
        <v>333</v>
      </c>
      <c r="B258" s="4">
        <v>46259</v>
      </c>
      <c r="C258" s="3" t="s">
        <v>51</v>
      </c>
      <c r="D258" s="3" t="s">
        <v>224</v>
      </c>
      <c r="E258" s="3" t="s">
        <v>208</v>
      </c>
    </row>
    <row r="259" spans="1:5" x14ac:dyDescent="0.3">
      <c r="A259" s="3" t="s">
        <v>334</v>
      </c>
      <c r="B259" s="4">
        <v>46260</v>
      </c>
      <c r="C259" s="3" t="s">
        <v>51</v>
      </c>
      <c r="D259" s="3" t="s">
        <v>22</v>
      </c>
      <c r="E259" s="3" t="s">
        <v>208</v>
      </c>
    </row>
    <row r="260" spans="1:5" x14ac:dyDescent="0.3">
      <c r="A260" s="3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91"/>
  <sheetViews>
    <sheetView topLeftCell="C1370" workbookViewId="0"/>
  </sheetViews>
  <sheetFormatPr baseColWidth="10" defaultRowHeight="14.4" x14ac:dyDescent="0.3"/>
  <cols>
    <col min="6" max="6" width="11.5546875" style="6"/>
    <col min="7" max="9" width="11.5546875" style="10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134</v>
      </c>
      <c r="G1" s="10" t="s">
        <v>135</v>
      </c>
      <c r="H1" s="10" t="s">
        <v>136</v>
      </c>
      <c r="I1" s="10" t="s">
        <v>5</v>
      </c>
      <c r="J1" t="s">
        <v>6</v>
      </c>
      <c r="K1" t="s">
        <v>7</v>
      </c>
      <c r="L1" t="s">
        <v>8</v>
      </c>
      <c r="M1" t="s">
        <v>9</v>
      </c>
      <c r="N1" t="s">
        <v>305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19" x14ac:dyDescent="0.3">
      <c r="A2">
        <v>26992</v>
      </c>
      <c r="B2" t="s">
        <v>28</v>
      </c>
      <c r="C2" t="s">
        <v>15</v>
      </c>
      <c r="D2" t="s">
        <v>16</v>
      </c>
      <c r="E2" t="s">
        <v>113</v>
      </c>
      <c r="F2" s="6" t="str">
        <f>MID(E2,1,3)</f>
        <v>2MC</v>
      </c>
      <c r="G2" s="11">
        <v>46024</v>
      </c>
      <c r="H2" s="12">
        <v>0.82638888888888884</v>
      </c>
      <c r="I2" s="11">
        <v>46024</v>
      </c>
      <c r="J2" s="1">
        <v>46024</v>
      </c>
      <c r="K2" s="1">
        <v>46024</v>
      </c>
      <c r="L2" t="s">
        <v>89</v>
      </c>
      <c r="M2" t="s">
        <v>82</v>
      </c>
      <c r="N2" t="s">
        <v>21</v>
      </c>
      <c r="O2" t="s">
        <v>18</v>
      </c>
      <c r="P2">
        <v>23721</v>
      </c>
      <c r="Q2" t="s">
        <v>19</v>
      </c>
      <c r="R2">
        <v>34164</v>
      </c>
      <c r="S2" t="str">
        <f>VLOOKUP(L2&amp;TEXT(I2,"mmmm")&amp;YEAR(I2),'[1]Detalle C-Fecha'!$D$2:$E$15921,2,FALSE)</f>
        <v>CMQ_TTE - QUILMES TTE</v>
      </c>
    </row>
    <row r="3" spans="1:19" x14ac:dyDescent="0.3">
      <c r="A3">
        <v>26992</v>
      </c>
      <c r="B3" t="s">
        <v>28</v>
      </c>
      <c r="C3" t="s">
        <v>15</v>
      </c>
      <c r="D3" t="s">
        <v>16</v>
      </c>
      <c r="E3" t="s">
        <v>113</v>
      </c>
      <c r="F3" s="6" t="str">
        <f t="shared" ref="F3:F66" si="0">MID(E3,1,3)</f>
        <v>2MC</v>
      </c>
      <c r="G3" s="11">
        <v>46024</v>
      </c>
      <c r="H3" s="12">
        <v>0.82638888888888884</v>
      </c>
      <c r="I3" s="11">
        <v>46024</v>
      </c>
      <c r="J3" s="1">
        <v>46024</v>
      </c>
      <c r="K3" s="1">
        <v>46024</v>
      </c>
      <c r="L3" t="s">
        <v>89</v>
      </c>
      <c r="M3" t="s">
        <v>82</v>
      </c>
      <c r="N3" t="s">
        <v>21</v>
      </c>
      <c r="O3" t="s">
        <v>18</v>
      </c>
      <c r="P3">
        <v>23721</v>
      </c>
      <c r="Q3" t="s">
        <v>19</v>
      </c>
      <c r="R3">
        <v>34622</v>
      </c>
      <c r="S3" t="str">
        <f>VLOOKUP(L3&amp;TEXT(I3,"mmmm")&amp;YEAR(I3),'[1]Detalle C-Fecha'!$D$2:$E$15921,2,FALSE)</f>
        <v>CMQ_TTE - QUILMES TTE</v>
      </c>
    </row>
    <row r="4" spans="1:19" x14ac:dyDescent="0.3">
      <c r="A4">
        <v>26993</v>
      </c>
      <c r="B4" t="s">
        <v>28</v>
      </c>
      <c r="C4" t="s">
        <v>15</v>
      </c>
      <c r="D4" t="s">
        <v>16</v>
      </c>
      <c r="E4" t="s">
        <v>122</v>
      </c>
      <c r="F4" s="6" t="str">
        <f t="shared" si="0"/>
        <v>3MC</v>
      </c>
      <c r="G4" s="11">
        <v>46024</v>
      </c>
      <c r="H4" s="12">
        <v>0.82638888888888884</v>
      </c>
      <c r="I4" s="11">
        <v>46024</v>
      </c>
      <c r="J4" s="1">
        <v>46024</v>
      </c>
      <c r="K4" s="1">
        <v>46024</v>
      </c>
      <c r="L4" t="s">
        <v>89</v>
      </c>
      <c r="M4" t="s">
        <v>82</v>
      </c>
      <c r="N4" t="s">
        <v>21</v>
      </c>
      <c r="O4" t="s">
        <v>18</v>
      </c>
      <c r="P4">
        <v>23722</v>
      </c>
      <c r="Q4" t="s">
        <v>19</v>
      </c>
      <c r="R4">
        <v>34165</v>
      </c>
      <c r="S4" t="str">
        <f>VLOOKUP(L4&amp;TEXT(I4,"mmmm")&amp;YEAR(I4),'[1]Detalle C-Fecha'!$D$2:$E$15921,2,FALSE)</f>
        <v>CMQ_TTE - QUILMES TTE</v>
      </c>
    </row>
    <row r="5" spans="1:19" x14ac:dyDescent="0.3">
      <c r="A5">
        <v>26993</v>
      </c>
      <c r="B5" t="s">
        <v>28</v>
      </c>
      <c r="C5" t="s">
        <v>15</v>
      </c>
      <c r="D5" t="s">
        <v>16</v>
      </c>
      <c r="E5" t="s">
        <v>122</v>
      </c>
      <c r="F5" s="6" t="str">
        <f t="shared" si="0"/>
        <v>3MC</v>
      </c>
      <c r="G5" s="11">
        <v>46024</v>
      </c>
      <c r="H5" s="12">
        <v>0.82638888888888884</v>
      </c>
      <c r="I5" s="11">
        <v>46024</v>
      </c>
      <c r="J5" s="1">
        <v>46024</v>
      </c>
      <c r="K5" s="1">
        <v>46024</v>
      </c>
      <c r="L5" t="s">
        <v>89</v>
      </c>
      <c r="M5" t="s">
        <v>82</v>
      </c>
      <c r="N5" t="s">
        <v>21</v>
      </c>
      <c r="O5" t="s">
        <v>18</v>
      </c>
      <c r="P5">
        <v>23722</v>
      </c>
      <c r="Q5" t="s">
        <v>19</v>
      </c>
      <c r="R5">
        <v>34622</v>
      </c>
      <c r="S5" t="str">
        <f>VLOOKUP(L5&amp;TEXT(I5,"mmmm")&amp;YEAR(I5),'[1]Detalle C-Fecha'!$D$2:$E$15921,2,FALSE)</f>
        <v>CMQ_TTE - QUILMES TTE</v>
      </c>
    </row>
    <row r="6" spans="1:19" x14ac:dyDescent="0.3">
      <c r="A6">
        <v>26994</v>
      </c>
      <c r="B6" t="s">
        <v>28</v>
      </c>
      <c r="C6" t="s">
        <v>15</v>
      </c>
      <c r="D6" t="s">
        <v>23</v>
      </c>
      <c r="E6" t="s">
        <v>114</v>
      </c>
      <c r="F6" s="6" t="str">
        <f t="shared" si="0"/>
        <v>6MC</v>
      </c>
      <c r="G6" s="11">
        <v>46024</v>
      </c>
      <c r="H6" s="12">
        <v>0.82638888888888884</v>
      </c>
      <c r="I6" s="11">
        <v>46024</v>
      </c>
      <c r="J6" s="1">
        <v>46024</v>
      </c>
      <c r="K6" s="1">
        <v>46024</v>
      </c>
      <c r="L6" t="s">
        <v>89</v>
      </c>
      <c r="M6" t="s">
        <v>82</v>
      </c>
      <c r="N6" t="s">
        <v>21</v>
      </c>
      <c r="O6" t="s">
        <v>18</v>
      </c>
      <c r="P6">
        <v>23723</v>
      </c>
      <c r="Q6" t="s">
        <v>19</v>
      </c>
      <c r="S6" t="str">
        <f>VLOOKUP(L6&amp;TEXT(I6,"mmmm")&amp;YEAR(I6),'[1]Detalle C-Fecha'!$D$2:$E$15921,2,FALSE)</f>
        <v>CMQ_TTE - QUILMES TTE</v>
      </c>
    </row>
    <row r="7" spans="1:19" x14ac:dyDescent="0.3">
      <c r="A7">
        <v>27007</v>
      </c>
      <c r="B7" t="s">
        <v>28</v>
      </c>
      <c r="C7" t="s">
        <v>15</v>
      </c>
      <c r="D7" t="s">
        <v>16</v>
      </c>
      <c r="E7" t="s">
        <v>121</v>
      </c>
      <c r="F7" s="6" t="str">
        <f t="shared" si="0"/>
        <v>2MC</v>
      </c>
      <c r="G7" s="11">
        <v>46024</v>
      </c>
      <c r="H7" s="12">
        <v>0.87430555555555556</v>
      </c>
      <c r="I7" s="11">
        <v>46024</v>
      </c>
      <c r="J7" s="1">
        <v>46024</v>
      </c>
      <c r="K7" s="1">
        <v>46024</v>
      </c>
      <c r="L7" t="s">
        <v>106</v>
      </c>
      <c r="M7" t="s">
        <v>84</v>
      </c>
      <c r="N7" t="s">
        <v>21</v>
      </c>
      <c r="O7" t="s">
        <v>18</v>
      </c>
      <c r="P7">
        <v>23732</v>
      </c>
      <c r="Q7" t="s">
        <v>19</v>
      </c>
      <c r="R7">
        <v>33963</v>
      </c>
      <c r="S7" t="str">
        <f>VLOOKUP(L7&amp;TEXT(I7,"mmmm")&amp;YEAR(I7),'[1]Detalle C-Fecha'!$D$2:$E$15921,2,FALSE)</f>
        <v>CMQ_TTE - QUILMES TTE</v>
      </c>
    </row>
    <row r="8" spans="1:19" x14ac:dyDescent="0.3">
      <c r="A8">
        <v>27007</v>
      </c>
      <c r="B8" t="s">
        <v>28</v>
      </c>
      <c r="C8" t="s">
        <v>15</v>
      </c>
      <c r="D8" t="s">
        <v>16</v>
      </c>
      <c r="E8" t="s">
        <v>121</v>
      </c>
      <c r="F8" s="6" t="str">
        <f t="shared" si="0"/>
        <v>2MC</v>
      </c>
      <c r="G8" s="11">
        <v>46024</v>
      </c>
      <c r="H8" s="12">
        <v>0.87430555555555556</v>
      </c>
      <c r="I8" s="11">
        <v>46024</v>
      </c>
      <c r="J8" s="1">
        <v>46024</v>
      </c>
      <c r="K8" s="1">
        <v>46024</v>
      </c>
      <c r="L8" t="s">
        <v>106</v>
      </c>
      <c r="M8" t="s">
        <v>84</v>
      </c>
      <c r="N8" t="s">
        <v>21</v>
      </c>
      <c r="O8" t="s">
        <v>18</v>
      </c>
      <c r="P8">
        <v>23732</v>
      </c>
      <c r="Q8" t="s">
        <v>19</v>
      </c>
      <c r="R8">
        <v>34071</v>
      </c>
      <c r="S8" t="str">
        <f>VLOOKUP(L8&amp;TEXT(I8,"mmmm")&amp;YEAR(I8),'[1]Detalle C-Fecha'!$D$2:$E$15921,2,FALSE)</f>
        <v>CMQ_TTE - QUILMES TTE</v>
      </c>
    </row>
    <row r="9" spans="1:19" x14ac:dyDescent="0.3">
      <c r="A9">
        <v>27008</v>
      </c>
      <c r="B9" t="s">
        <v>28</v>
      </c>
      <c r="C9" t="s">
        <v>15</v>
      </c>
      <c r="D9" t="s">
        <v>16</v>
      </c>
      <c r="E9" t="s">
        <v>53</v>
      </c>
      <c r="F9" s="6" t="str">
        <f t="shared" si="0"/>
        <v>3MC</v>
      </c>
      <c r="G9" s="11">
        <v>46024</v>
      </c>
      <c r="H9" s="12">
        <v>0.87430555555555556</v>
      </c>
      <c r="I9" s="11">
        <v>46024</v>
      </c>
      <c r="J9" s="1">
        <v>46024</v>
      </c>
      <c r="K9" s="1">
        <v>46024</v>
      </c>
      <c r="L9" t="s">
        <v>106</v>
      </c>
      <c r="M9" t="s">
        <v>84</v>
      </c>
      <c r="N9" t="s">
        <v>21</v>
      </c>
      <c r="O9" t="s">
        <v>18</v>
      </c>
      <c r="P9">
        <v>23733</v>
      </c>
      <c r="Q9" t="s">
        <v>19</v>
      </c>
      <c r="R9">
        <v>33964</v>
      </c>
      <c r="S9" t="str">
        <f>VLOOKUP(L9&amp;TEXT(I9,"mmmm")&amp;YEAR(I9),'[1]Detalle C-Fecha'!$D$2:$E$15921,2,FALSE)</f>
        <v>CMQ_TTE - QUILMES TTE</v>
      </c>
    </row>
    <row r="10" spans="1:19" x14ac:dyDescent="0.3">
      <c r="A10">
        <v>27008</v>
      </c>
      <c r="B10" t="s">
        <v>28</v>
      </c>
      <c r="C10" t="s">
        <v>15</v>
      </c>
      <c r="D10" t="s">
        <v>16</v>
      </c>
      <c r="E10" t="s">
        <v>53</v>
      </c>
      <c r="F10" s="6" t="str">
        <f t="shared" si="0"/>
        <v>3MC</v>
      </c>
      <c r="G10" s="11">
        <v>46024</v>
      </c>
      <c r="H10" s="12">
        <v>0.87430555555555556</v>
      </c>
      <c r="I10" s="11">
        <v>46024</v>
      </c>
      <c r="J10" s="1">
        <v>46024</v>
      </c>
      <c r="K10" s="1">
        <v>46024</v>
      </c>
      <c r="L10" t="s">
        <v>106</v>
      </c>
      <c r="M10" t="s">
        <v>84</v>
      </c>
      <c r="N10" t="s">
        <v>21</v>
      </c>
      <c r="O10" t="s">
        <v>18</v>
      </c>
      <c r="P10">
        <v>23733</v>
      </c>
      <c r="Q10" t="s">
        <v>19</v>
      </c>
      <c r="R10">
        <v>34071</v>
      </c>
      <c r="S10" t="str">
        <f>VLOOKUP(L10&amp;TEXT(I10,"mmmm")&amp;YEAR(I10),'[1]Detalle C-Fecha'!$D$2:$E$15921,2,FALSE)</f>
        <v>CMQ_TTE - QUILMES TTE</v>
      </c>
    </row>
    <row r="11" spans="1:19" x14ac:dyDescent="0.3">
      <c r="A11">
        <v>27009</v>
      </c>
      <c r="B11" t="s">
        <v>28</v>
      </c>
      <c r="C11" t="s">
        <v>15</v>
      </c>
      <c r="D11" t="s">
        <v>16</v>
      </c>
      <c r="E11" t="s">
        <v>111</v>
      </c>
      <c r="F11" s="6" t="str">
        <f t="shared" si="0"/>
        <v>6MC</v>
      </c>
      <c r="G11" s="11">
        <v>46024</v>
      </c>
      <c r="H11" s="12">
        <v>0.87430555555555556</v>
      </c>
      <c r="I11" s="11">
        <v>46024</v>
      </c>
      <c r="J11" s="1">
        <v>46024</v>
      </c>
      <c r="K11" s="1">
        <v>46041</v>
      </c>
      <c r="L11" t="s">
        <v>106</v>
      </c>
      <c r="M11" t="s">
        <v>84</v>
      </c>
      <c r="N11" t="s">
        <v>21</v>
      </c>
      <c r="O11" t="s">
        <v>18</v>
      </c>
      <c r="P11">
        <v>23734</v>
      </c>
      <c r="Q11" t="s">
        <v>19</v>
      </c>
      <c r="R11">
        <v>34478</v>
      </c>
      <c r="S11" t="str">
        <f>VLOOKUP(L11&amp;TEXT(I11,"mmmm")&amp;YEAR(I11),'[1]Detalle C-Fecha'!$D$2:$E$15921,2,FALSE)</f>
        <v>CMQ_TTE - QUILMES TTE</v>
      </c>
    </row>
    <row r="12" spans="1:19" x14ac:dyDescent="0.3">
      <c r="A12">
        <v>27009</v>
      </c>
      <c r="B12" t="s">
        <v>28</v>
      </c>
      <c r="C12" t="s">
        <v>15</v>
      </c>
      <c r="D12" t="s">
        <v>16</v>
      </c>
      <c r="E12" t="s">
        <v>111</v>
      </c>
      <c r="F12" s="6" t="str">
        <f t="shared" si="0"/>
        <v>6MC</v>
      </c>
      <c r="G12" s="11">
        <v>46024</v>
      </c>
      <c r="H12" s="12">
        <v>0.87430555555555556</v>
      </c>
      <c r="I12" s="11">
        <v>46024</v>
      </c>
      <c r="J12" s="1">
        <v>46024</v>
      </c>
      <c r="K12" s="1">
        <v>46041</v>
      </c>
      <c r="L12" t="s">
        <v>106</v>
      </c>
      <c r="M12" t="s">
        <v>84</v>
      </c>
      <c r="N12" t="s">
        <v>21</v>
      </c>
      <c r="O12" t="s">
        <v>18</v>
      </c>
      <c r="P12">
        <v>23734</v>
      </c>
      <c r="Q12" t="s">
        <v>19</v>
      </c>
      <c r="R12">
        <v>34622</v>
      </c>
      <c r="S12" t="str">
        <f>VLOOKUP(L12&amp;TEXT(I12,"mmmm")&amp;YEAR(I12),'[1]Detalle C-Fecha'!$D$2:$E$15921,2,FALSE)</f>
        <v>CMQ_TTE - QUILMES TTE</v>
      </c>
    </row>
    <row r="13" spans="1:19" x14ac:dyDescent="0.3">
      <c r="A13">
        <v>27102</v>
      </c>
      <c r="B13" t="s">
        <v>28</v>
      </c>
      <c r="C13" t="s">
        <v>15</v>
      </c>
      <c r="D13" t="s">
        <v>16</v>
      </c>
      <c r="E13" t="s">
        <v>115</v>
      </c>
      <c r="F13" s="6" t="str">
        <f t="shared" si="0"/>
        <v>2ML</v>
      </c>
      <c r="G13" s="11">
        <v>46027</v>
      </c>
      <c r="H13" s="12">
        <v>0.32430555555555557</v>
      </c>
      <c r="I13" s="11">
        <v>46027</v>
      </c>
      <c r="J13" s="1">
        <v>46027</v>
      </c>
      <c r="K13" s="1">
        <v>46027</v>
      </c>
      <c r="L13" t="s">
        <v>64</v>
      </c>
      <c r="M13" t="s">
        <v>37</v>
      </c>
      <c r="N13" t="s">
        <v>21</v>
      </c>
      <c r="O13" t="s">
        <v>24</v>
      </c>
      <c r="P13">
        <v>23769</v>
      </c>
      <c r="Q13" t="s">
        <v>19</v>
      </c>
      <c r="R13">
        <v>34170</v>
      </c>
      <c r="S13" t="str">
        <f>VLOOKUP(L13&amp;TEXT(I13,"mmmm")&amp;YEAR(I13),'[1]Detalle C-Fecha'!$D$2:$E$15921,2,FALSE)</f>
        <v>ADA_CH - Danone Arg. S.A. - Chascomus</v>
      </c>
    </row>
    <row r="14" spans="1:19" x14ac:dyDescent="0.3">
      <c r="A14">
        <v>27102</v>
      </c>
      <c r="B14" t="s">
        <v>28</v>
      </c>
      <c r="C14" t="s">
        <v>15</v>
      </c>
      <c r="D14" t="s">
        <v>16</v>
      </c>
      <c r="E14" t="s">
        <v>115</v>
      </c>
      <c r="F14" s="6" t="str">
        <f t="shared" si="0"/>
        <v>2ML</v>
      </c>
      <c r="G14" s="11">
        <v>46027</v>
      </c>
      <c r="H14" s="12">
        <v>0.32430555555555557</v>
      </c>
      <c r="I14" s="11">
        <v>46027</v>
      </c>
      <c r="J14" s="1">
        <v>46027</v>
      </c>
      <c r="K14" s="1">
        <v>46027</v>
      </c>
      <c r="L14" t="s">
        <v>64</v>
      </c>
      <c r="M14" t="s">
        <v>37</v>
      </c>
      <c r="N14" t="s">
        <v>21</v>
      </c>
      <c r="O14" t="s">
        <v>24</v>
      </c>
      <c r="P14">
        <v>23769</v>
      </c>
      <c r="Q14" t="s">
        <v>19</v>
      </c>
      <c r="R14">
        <v>34623</v>
      </c>
      <c r="S14" t="str">
        <f>VLOOKUP(L14&amp;TEXT(I14,"mmmm")&amp;YEAR(I14),'[1]Detalle C-Fecha'!$D$2:$E$15921,2,FALSE)</f>
        <v>ADA_CH - Danone Arg. S.A. - Chascomus</v>
      </c>
    </row>
    <row r="15" spans="1:19" x14ac:dyDescent="0.3">
      <c r="A15">
        <v>27103</v>
      </c>
      <c r="B15" t="s">
        <v>28</v>
      </c>
      <c r="C15" t="s">
        <v>15</v>
      </c>
      <c r="D15" t="s">
        <v>16</v>
      </c>
      <c r="E15" t="s">
        <v>116</v>
      </c>
      <c r="F15" s="6" t="str">
        <f t="shared" si="0"/>
        <v>3ML</v>
      </c>
      <c r="G15" s="11">
        <v>46027</v>
      </c>
      <c r="H15" s="12">
        <v>0.32430555555555557</v>
      </c>
      <c r="I15" s="11">
        <v>46027</v>
      </c>
      <c r="J15" s="1">
        <v>46027</v>
      </c>
      <c r="K15" s="1">
        <v>46027</v>
      </c>
      <c r="L15" t="s">
        <v>64</v>
      </c>
      <c r="M15" t="s">
        <v>37</v>
      </c>
      <c r="N15" t="s">
        <v>21</v>
      </c>
      <c r="O15" t="s">
        <v>24</v>
      </c>
      <c r="P15">
        <v>23770</v>
      </c>
      <c r="Q15" t="s">
        <v>19</v>
      </c>
      <c r="R15">
        <v>34171</v>
      </c>
      <c r="S15" t="str">
        <f>VLOOKUP(L15&amp;TEXT(I15,"mmmm")&amp;YEAR(I15),'[1]Detalle C-Fecha'!$D$2:$E$15921,2,FALSE)</f>
        <v>ADA_CH - Danone Arg. S.A. - Chascomus</v>
      </c>
    </row>
    <row r="16" spans="1:19" x14ac:dyDescent="0.3">
      <c r="A16">
        <v>27103</v>
      </c>
      <c r="B16" t="s">
        <v>28</v>
      </c>
      <c r="C16" t="s">
        <v>15</v>
      </c>
      <c r="D16" t="s">
        <v>16</v>
      </c>
      <c r="E16" t="s">
        <v>116</v>
      </c>
      <c r="F16" s="6" t="str">
        <f t="shared" si="0"/>
        <v>3ML</v>
      </c>
      <c r="G16" s="11">
        <v>46027</v>
      </c>
      <c r="H16" s="12">
        <v>0.32430555555555557</v>
      </c>
      <c r="I16" s="11">
        <v>46027</v>
      </c>
      <c r="J16" s="1">
        <v>46027</v>
      </c>
      <c r="K16" s="1">
        <v>46027</v>
      </c>
      <c r="L16" t="s">
        <v>64</v>
      </c>
      <c r="M16" t="s">
        <v>37</v>
      </c>
      <c r="N16" t="s">
        <v>21</v>
      </c>
      <c r="O16" t="s">
        <v>24</v>
      </c>
      <c r="P16">
        <v>23770</v>
      </c>
      <c r="Q16" t="s">
        <v>19</v>
      </c>
      <c r="R16">
        <v>34623</v>
      </c>
      <c r="S16" t="str">
        <f>VLOOKUP(L16&amp;TEXT(I16,"mmmm")&amp;YEAR(I16),'[1]Detalle C-Fecha'!$D$2:$E$15921,2,FALSE)</f>
        <v>ADA_CH - Danone Arg. S.A. - Chascomus</v>
      </c>
    </row>
    <row r="17" spans="1:19" x14ac:dyDescent="0.3">
      <c r="A17">
        <v>27104</v>
      </c>
      <c r="B17" t="s">
        <v>28</v>
      </c>
      <c r="C17" t="s">
        <v>15</v>
      </c>
      <c r="D17" t="s">
        <v>16</v>
      </c>
      <c r="E17" t="s">
        <v>117</v>
      </c>
      <c r="F17" s="6" t="str">
        <f t="shared" si="0"/>
        <v>6ML</v>
      </c>
      <c r="G17" s="11">
        <v>46027</v>
      </c>
      <c r="H17" s="12">
        <v>0.32430555555555557</v>
      </c>
      <c r="I17" s="11">
        <v>46027</v>
      </c>
      <c r="J17" s="1">
        <v>46027</v>
      </c>
      <c r="K17" s="1">
        <v>46027</v>
      </c>
      <c r="L17" t="s">
        <v>64</v>
      </c>
      <c r="M17" t="s">
        <v>37</v>
      </c>
      <c r="N17" t="s">
        <v>21</v>
      </c>
      <c r="O17" t="s">
        <v>24</v>
      </c>
      <c r="P17">
        <v>23771</v>
      </c>
      <c r="Q17" t="s">
        <v>19</v>
      </c>
      <c r="R17">
        <v>34172</v>
      </c>
      <c r="S17" t="str">
        <f>VLOOKUP(L17&amp;TEXT(I17,"mmmm")&amp;YEAR(I17),'[1]Detalle C-Fecha'!$D$2:$E$15921,2,FALSE)</f>
        <v>ADA_CH - Danone Arg. S.A. - Chascomus</v>
      </c>
    </row>
    <row r="18" spans="1:19" x14ac:dyDescent="0.3">
      <c r="A18">
        <v>27104</v>
      </c>
      <c r="B18" t="s">
        <v>28</v>
      </c>
      <c r="C18" t="s">
        <v>15</v>
      </c>
      <c r="D18" t="s">
        <v>16</v>
      </c>
      <c r="E18" t="s">
        <v>117</v>
      </c>
      <c r="F18" s="6" t="str">
        <f t="shared" si="0"/>
        <v>6ML</v>
      </c>
      <c r="G18" s="11">
        <v>46027</v>
      </c>
      <c r="H18" s="12">
        <v>0.32430555555555557</v>
      </c>
      <c r="I18" s="11">
        <v>46027</v>
      </c>
      <c r="J18" s="1">
        <v>46027</v>
      </c>
      <c r="K18" s="1">
        <v>46027</v>
      </c>
      <c r="L18" t="s">
        <v>64</v>
      </c>
      <c r="M18" t="s">
        <v>37</v>
      </c>
      <c r="N18" t="s">
        <v>21</v>
      </c>
      <c r="O18" t="s">
        <v>24</v>
      </c>
      <c r="P18">
        <v>23771</v>
      </c>
      <c r="Q18" t="s">
        <v>19</v>
      </c>
      <c r="R18">
        <v>34623</v>
      </c>
      <c r="S18" t="str">
        <f>VLOOKUP(L18&amp;TEXT(I18,"mmmm")&amp;YEAR(I18),'[1]Detalle C-Fecha'!$D$2:$E$15921,2,FALSE)</f>
        <v>ADA_CH - Danone Arg. S.A. - Chascomus</v>
      </c>
    </row>
    <row r="19" spans="1:19" x14ac:dyDescent="0.3">
      <c r="A19">
        <v>27158</v>
      </c>
      <c r="B19" t="s">
        <v>28</v>
      </c>
      <c r="C19" t="s">
        <v>15</v>
      </c>
      <c r="D19" t="s">
        <v>16</v>
      </c>
      <c r="E19" t="s">
        <v>115</v>
      </c>
      <c r="F19" s="6" t="str">
        <f t="shared" si="0"/>
        <v>2ML</v>
      </c>
      <c r="G19" s="11">
        <v>46028</v>
      </c>
      <c r="H19" s="12">
        <v>0.30486111111111108</v>
      </c>
      <c r="I19" s="11">
        <v>46028</v>
      </c>
      <c r="J19" s="1">
        <v>46028</v>
      </c>
      <c r="K19" s="1">
        <v>46041</v>
      </c>
      <c r="L19" t="s">
        <v>54</v>
      </c>
      <c r="M19" t="s">
        <v>37</v>
      </c>
      <c r="N19" t="s">
        <v>21</v>
      </c>
      <c r="O19" t="s">
        <v>24</v>
      </c>
      <c r="P19">
        <v>23813</v>
      </c>
      <c r="Q19" t="s">
        <v>19</v>
      </c>
      <c r="R19">
        <v>34492</v>
      </c>
      <c r="S19" t="str">
        <f>VLOOKUP(L19&amp;TEXT(I19,"mmmm")&amp;YEAR(I19),'[1]Detalle C-Fecha'!$D$2:$E$15921,2,FALSE)</f>
        <v>ADA_CH - Danone Arg. S.A. - Chascomus</v>
      </c>
    </row>
    <row r="20" spans="1:19" x14ac:dyDescent="0.3">
      <c r="A20">
        <v>27158</v>
      </c>
      <c r="B20" t="s">
        <v>28</v>
      </c>
      <c r="C20" t="s">
        <v>15</v>
      </c>
      <c r="D20" t="s">
        <v>16</v>
      </c>
      <c r="E20" t="s">
        <v>115</v>
      </c>
      <c r="F20" s="6" t="str">
        <f t="shared" si="0"/>
        <v>2ML</v>
      </c>
      <c r="G20" s="11">
        <v>46028</v>
      </c>
      <c r="H20" s="12">
        <v>0.30486111111111108</v>
      </c>
      <c r="I20" s="11">
        <v>46028</v>
      </c>
      <c r="J20" s="1">
        <v>46028</v>
      </c>
      <c r="K20" s="1">
        <v>46041</v>
      </c>
      <c r="L20" t="s">
        <v>54</v>
      </c>
      <c r="M20" t="s">
        <v>37</v>
      </c>
      <c r="N20" t="s">
        <v>21</v>
      </c>
      <c r="O20" t="s">
        <v>24</v>
      </c>
      <c r="P20">
        <v>23813</v>
      </c>
      <c r="Q20" t="s">
        <v>19</v>
      </c>
      <c r="R20">
        <v>34623</v>
      </c>
      <c r="S20" t="str">
        <f>VLOOKUP(L20&amp;TEXT(I20,"mmmm")&amp;YEAR(I20),'[1]Detalle C-Fecha'!$D$2:$E$15921,2,FALSE)</f>
        <v>ADA_CH - Danone Arg. S.A. - Chascomus</v>
      </c>
    </row>
    <row r="21" spans="1:19" x14ac:dyDescent="0.3">
      <c r="A21">
        <v>27159</v>
      </c>
      <c r="B21" t="s">
        <v>28</v>
      </c>
      <c r="C21" t="s">
        <v>15</v>
      </c>
      <c r="D21" t="s">
        <v>16</v>
      </c>
      <c r="E21" t="s">
        <v>116</v>
      </c>
      <c r="F21" s="6" t="str">
        <f t="shared" si="0"/>
        <v>3ML</v>
      </c>
      <c r="G21" s="11">
        <v>46028</v>
      </c>
      <c r="H21" s="12">
        <v>0.30486111111111108</v>
      </c>
      <c r="I21" s="11">
        <v>46028</v>
      </c>
      <c r="J21" s="1">
        <v>46028</v>
      </c>
      <c r="K21" s="1">
        <v>46041</v>
      </c>
      <c r="L21" t="s">
        <v>54</v>
      </c>
      <c r="M21" t="s">
        <v>37</v>
      </c>
      <c r="N21" t="s">
        <v>21</v>
      </c>
      <c r="O21" t="s">
        <v>24</v>
      </c>
      <c r="P21">
        <v>23814</v>
      </c>
      <c r="Q21" t="s">
        <v>19</v>
      </c>
      <c r="R21">
        <v>34493</v>
      </c>
      <c r="S21" t="str">
        <f>VLOOKUP(L21&amp;TEXT(I21,"mmmm")&amp;YEAR(I21),'[1]Detalle C-Fecha'!$D$2:$E$15921,2,FALSE)</f>
        <v>ADA_CH - Danone Arg. S.A. - Chascomus</v>
      </c>
    </row>
    <row r="22" spans="1:19" x14ac:dyDescent="0.3">
      <c r="A22">
        <v>27159</v>
      </c>
      <c r="B22" t="s">
        <v>28</v>
      </c>
      <c r="C22" t="s">
        <v>15</v>
      </c>
      <c r="D22" t="s">
        <v>16</v>
      </c>
      <c r="E22" t="s">
        <v>116</v>
      </c>
      <c r="F22" s="6" t="str">
        <f t="shared" si="0"/>
        <v>3ML</v>
      </c>
      <c r="G22" s="11">
        <v>46028</v>
      </c>
      <c r="H22" s="12">
        <v>0.30486111111111108</v>
      </c>
      <c r="I22" s="11">
        <v>46028</v>
      </c>
      <c r="J22" s="1">
        <v>46028</v>
      </c>
      <c r="K22" s="1">
        <v>46041</v>
      </c>
      <c r="L22" t="s">
        <v>54</v>
      </c>
      <c r="M22" t="s">
        <v>37</v>
      </c>
      <c r="N22" t="s">
        <v>21</v>
      </c>
      <c r="O22" t="s">
        <v>24</v>
      </c>
      <c r="P22">
        <v>23814</v>
      </c>
      <c r="Q22" t="s">
        <v>19</v>
      </c>
      <c r="R22">
        <v>34623</v>
      </c>
      <c r="S22" t="str">
        <f>VLOOKUP(L22&amp;TEXT(I22,"mmmm")&amp;YEAR(I22),'[1]Detalle C-Fecha'!$D$2:$E$15921,2,FALSE)</f>
        <v>ADA_CH - Danone Arg. S.A. - Chascomus</v>
      </c>
    </row>
    <row r="23" spans="1:19" x14ac:dyDescent="0.3">
      <c r="A23">
        <v>27160</v>
      </c>
      <c r="B23" t="s">
        <v>28</v>
      </c>
      <c r="C23" t="s">
        <v>15</v>
      </c>
      <c r="D23" t="s">
        <v>16</v>
      </c>
      <c r="E23" t="s">
        <v>116</v>
      </c>
      <c r="F23" s="6" t="str">
        <f t="shared" si="0"/>
        <v>3ML</v>
      </c>
      <c r="G23" s="11">
        <v>46028</v>
      </c>
      <c r="H23" s="12">
        <v>0.30486111111111108</v>
      </c>
      <c r="I23" s="11">
        <v>46028</v>
      </c>
      <c r="J23" s="1">
        <v>46028</v>
      </c>
      <c r="K23" s="1">
        <v>46041</v>
      </c>
      <c r="L23" t="s">
        <v>54</v>
      </c>
      <c r="M23" t="s">
        <v>37</v>
      </c>
      <c r="N23" t="s">
        <v>21</v>
      </c>
      <c r="O23" t="s">
        <v>24</v>
      </c>
      <c r="P23">
        <v>23815</v>
      </c>
      <c r="Q23" t="s">
        <v>19</v>
      </c>
      <c r="R23">
        <v>34494</v>
      </c>
      <c r="S23" t="str">
        <f>VLOOKUP(L23&amp;TEXT(I23,"mmmm")&amp;YEAR(I23),'[1]Detalle C-Fecha'!$D$2:$E$15921,2,FALSE)</f>
        <v>ADA_CH - Danone Arg. S.A. - Chascomus</v>
      </c>
    </row>
    <row r="24" spans="1:19" x14ac:dyDescent="0.3">
      <c r="A24">
        <v>27160</v>
      </c>
      <c r="B24" t="s">
        <v>28</v>
      </c>
      <c r="C24" t="s">
        <v>15</v>
      </c>
      <c r="D24" t="s">
        <v>16</v>
      </c>
      <c r="E24" t="s">
        <v>116</v>
      </c>
      <c r="F24" s="6" t="str">
        <f t="shared" si="0"/>
        <v>3ML</v>
      </c>
      <c r="G24" s="11">
        <v>46028</v>
      </c>
      <c r="H24" s="12">
        <v>0.30486111111111108</v>
      </c>
      <c r="I24" s="11">
        <v>46028</v>
      </c>
      <c r="J24" s="1">
        <v>46028</v>
      </c>
      <c r="K24" s="1">
        <v>46041</v>
      </c>
      <c r="L24" t="s">
        <v>54</v>
      </c>
      <c r="M24" t="s">
        <v>37</v>
      </c>
      <c r="N24" t="s">
        <v>21</v>
      </c>
      <c r="O24" t="s">
        <v>24</v>
      </c>
      <c r="P24">
        <v>23815</v>
      </c>
      <c r="Q24" t="s">
        <v>19</v>
      </c>
      <c r="R24">
        <v>34623</v>
      </c>
      <c r="S24" t="str">
        <f>VLOOKUP(L24&amp;TEXT(I24,"mmmm")&amp;YEAR(I24),'[1]Detalle C-Fecha'!$D$2:$E$15921,2,FALSE)</f>
        <v>ADA_CH - Danone Arg. S.A. - Chascomus</v>
      </c>
    </row>
    <row r="25" spans="1:19" x14ac:dyDescent="0.3">
      <c r="A25">
        <v>27228</v>
      </c>
      <c r="B25" t="s">
        <v>28</v>
      </c>
      <c r="C25" t="s">
        <v>15</v>
      </c>
      <c r="D25" t="s">
        <v>16</v>
      </c>
      <c r="E25" t="s">
        <v>35</v>
      </c>
      <c r="F25" s="6" t="str">
        <f t="shared" si="0"/>
        <v>2ML</v>
      </c>
      <c r="G25" s="11">
        <v>46028</v>
      </c>
      <c r="H25" s="12">
        <v>0.46736111111111112</v>
      </c>
      <c r="I25" s="11">
        <v>46028</v>
      </c>
      <c r="J25" s="1">
        <v>46028</v>
      </c>
      <c r="K25" s="1">
        <v>46028</v>
      </c>
      <c r="L25" t="s">
        <v>29</v>
      </c>
      <c r="M25" t="s">
        <v>30</v>
      </c>
      <c r="N25" t="s">
        <v>31</v>
      </c>
      <c r="O25" t="s">
        <v>25</v>
      </c>
      <c r="P25">
        <v>23853</v>
      </c>
      <c r="Q25" t="s">
        <v>19</v>
      </c>
      <c r="R25">
        <v>35202</v>
      </c>
      <c r="S25" t="str">
        <f>VLOOKUP(L25&amp;TEXT(I25,"mmmm")&amp;YEAR(I25),'[1]Detalle C-Fecha'!$D$2:$E$15921,2,FALSE)</f>
        <v>Expreso - Servicios Troncales</v>
      </c>
    </row>
    <row r="26" spans="1:19" x14ac:dyDescent="0.3">
      <c r="A26">
        <v>27228</v>
      </c>
      <c r="B26" t="s">
        <v>28</v>
      </c>
      <c r="C26" t="s">
        <v>15</v>
      </c>
      <c r="D26" t="s">
        <v>16</v>
      </c>
      <c r="E26" t="s">
        <v>35</v>
      </c>
      <c r="F26" s="6" t="str">
        <f t="shared" si="0"/>
        <v>2ML</v>
      </c>
      <c r="G26" s="11">
        <v>46028</v>
      </c>
      <c r="H26" s="12">
        <v>0.46736111111111112</v>
      </c>
      <c r="I26" s="11">
        <v>46028</v>
      </c>
      <c r="J26" s="1">
        <v>46028</v>
      </c>
      <c r="K26" s="1">
        <v>46028</v>
      </c>
      <c r="L26" t="s">
        <v>29</v>
      </c>
      <c r="M26" t="s">
        <v>30</v>
      </c>
      <c r="N26" t="s">
        <v>31</v>
      </c>
      <c r="O26" t="s">
        <v>25</v>
      </c>
      <c r="P26">
        <v>23853</v>
      </c>
      <c r="Q26" t="s">
        <v>19</v>
      </c>
      <c r="R26">
        <v>35208</v>
      </c>
      <c r="S26" t="str">
        <f>VLOOKUP(L26&amp;TEXT(I26,"mmmm")&amp;YEAR(I26),'[1]Detalle C-Fecha'!$D$2:$E$15921,2,FALSE)</f>
        <v>Expreso - Servicios Troncales</v>
      </c>
    </row>
    <row r="27" spans="1:19" x14ac:dyDescent="0.3">
      <c r="A27">
        <v>27229</v>
      </c>
      <c r="B27" t="s">
        <v>28</v>
      </c>
      <c r="C27" t="s">
        <v>15</v>
      </c>
      <c r="D27" t="s">
        <v>16</v>
      </c>
      <c r="E27" t="s">
        <v>47</v>
      </c>
      <c r="F27" s="6" t="str">
        <f t="shared" si="0"/>
        <v>3ML</v>
      </c>
      <c r="G27" s="11">
        <v>46028</v>
      </c>
      <c r="H27" s="12">
        <v>0.46736111111111112</v>
      </c>
      <c r="I27" s="11">
        <v>46028</v>
      </c>
      <c r="J27" s="1">
        <v>46028</v>
      </c>
      <c r="K27" s="1">
        <v>46028</v>
      </c>
      <c r="L27" t="s">
        <v>29</v>
      </c>
      <c r="M27" t="s">
        <v>30</v>
      </c>
      <c r="N27" t="s">
        <v>31</v>
      </c>
      <c r="O27" t="s">
        <v>25</v>
      </c>
      <c r="P27">
        <v>23854</v>
      </c>
      <c r="Q27" t="s">
        <v>19</v>
      </c>
      <c r="R27">
        <v>35225</v>
      </c>
      <c r="S27" t="str">
        <f>VLOOKUP(L27&amp;TEXT(I27,"mmmm")&amp;YEAR(I27),'[1]Detalle C-Fecha'!$D$2:$E$15921,2,FALSE)</f>
        <v>Expreso - Servicios Troncales</v>
      </c>
    </row>
    <row r="28" spans="1:19" x14ac:dyDescent="0.3">
      <c r="A28">
        <v>27229</v>
      </c>
      <c r="B28" t="s">
        <v>28</v>
      </c>
      <c r="C28" t="s">
        <v>15</v>
      </c>
      <c r="D28" t="s">
        <v>16</v>
      </c>
      <c r="E28" t="s">
        <v>47</v>
      </c>
      <c r="F28" s="6" t="str">
        <f t="shared" si="0"/>
        <v>3ML</v>
      </c>
      <c r="G28" s="11">
        <v>46028</v>
      </c>
      <c r="H28" s="12">
        <v>0.46736111111111112</v>
      </c>
      <c r="I28" s="11">
        <v>46028</v>
      </c>
      <c r="J28" s="1">
        <v>46028</v>
      </c>
      <c r="K28" s="1">
        <v>46028</v>
      </c>
      <c r="L28" t="s">
        <v>29</v>
      </c>
      <c r="M28" t="s">
        <v>30</v>
      </c>
      <c r="N28" t="s">
        <v>31</v>
      </c>
      <c r="O28" t="s">
        <v>25</v>
      </c>
      <c r="P28">
        <v>23854</v>
      </c>
      <c r="Q28" t="s">
        <v>19</v>
      </c>
      <c r="R28">
        <v>35226</v>
      </c>
      <c r="S28" t="str">
        <f>VLOOKUP(L28&amp;TEXT(I28,"mmmm")&amp;YEAR(I28),'[1]Detalle C-Fecha'!$D$2:$E$15921,2,FALSE)</f>
        <v>Expreso - Servicios Troncales</v>
      </c>
    </row>
    <row r="29" spans="1:19" x14ac:dyDescent="0.3">
      <c r="A29">
        <v>27230</v>
      </c>
      <c r="B29" t="s">
        <v>28</v>
      </c>
      <c r="C29" t="s">
        <v>15</v>
      </c>
      <c r="D29" t="s">
        <v>16</v>
      </c>
      <c r="E29" t="s">
        <v>137</v>
      </c>
      <c r="F29" s="6" t="str">
        <f t="shared" si="0"/>
        <v>7ML</v>
      </c>
      <c r="G29" s="11">
        <v>46028</v>
      </c>
      <c r="H29" s="12">
        <v>0.46736111111111112</v>
      </c>
      <c r="I29" s="11">
        <v>46028</v>
      </c>
      <c r="J29" s="1">
        <v>46028</v>
      </c>
      <c r="K29" s="1">
        <v>46028</v>
      </c>
      <c r="L29" t="s">
        <v>29</v>
      </c>
      <c r="M29" t="s">
        <v>30</v>
      </c>
      <c r="N29" t="s">
        <v>31</v>
      </c>
      <c r="O29" t="s">
        <v>25</v>
      </c>
      <c r="P29">
        <v>23855</v>
      </c>
      <c r="Q29" t="s">
        <v>19</v>
      </c>
      <c r="R29">
        <v>35391</v>
      </c>
      <c r="S29" t="str">
        <f>VLOOKUP(L29&amp;TEXT(I29,"mmmm")&amp;YEAR(I29),'[1]Detalle C-Fecha'!$D$2:$E$15921,2,FALSE)</f>
        <v>Expreso - Servicios Troncales</v>
      </c>
    </row>
    <row r="30" spans="1:19" x14ac:dyDescent="0.3">
      <c r="A30">
        <v>27230</v>
      </c>
      <c r="B30" t="s">
        <v>28</v>
      </c>
      <c r="C30" t="s">
        <v>15</v>
      </c>
      <c r="D30" t="s">
        <v>16</v>
      </c>
      <c r="E30" t="s">
        <v>137</v>
      </c>
      <c r="F30" s="6" t="str">
        <f t="shared" si="0"/>
        <v>7ML</v>
      </c>
      <c r="G30" s="11">
        <v>46028</v>
      </c>
      <c r="H30" s="12">
        <v>0.46736111111111112</v>
      </c>
      <c r="I30" s="11">
        <v>46028</v>
      </c>
      <c r="J30" s="1">
        <v>46028</v>
      </c>
      <c r="K30" s="1">
        <v>46028</v>
      </c>
      <c r="L30" t="s">
        <v>29</v>
      </c>
      <c r="M30" t="s">
        <v>30</v>
      </c>
      <c r="N30" t="s">
        <v>31</v>
      </c>
      <c r="O30" t="s">
        <v>25</v>
      </c>
      <c r="P30">
        <v>23855</v>
      </c>
      <c r="Q30" t="s">
        <v>19</v>
      </c>
      <c r="R30">
        <v>35393</v>
      </c>
      <c r="S30" t="str">
        <f>VLOOKUP(L30&amp;TEXT(I30,"mmmm")&amp;YEAR(I30),'[1]Detalle C-Fecha'!$D$2:$E$15921,2,FALSE)</f>
        <v>Expreso - Servicios Troncales</v>
      </c>
    </row>
    <row r="31" spans="1:19" x14ac:dyDescent="0.3">
      <c r="A31">
        <v>27231</v>
      </c>
      <c r="B31" t="s">
        <v>28</v>
      </c>
      <c r="C31" t="s">
        <v>15</v>
      </c>
      <c r="D31" t="s">
        <v>16</v>
      </c>
      <c r="E31" t="s">
        <v>46</v>
      </c>
      <c r="F31" s="6" t="str">
        <f t="shared" si="0"/>
        <v>6ML</v>
      </c>
      <c r="G31" s="11">
        <v>46028</v>
      </c>
      <c r="H31" s="12">
        <v>0.46736111111111112</v>
      </c>
      <c r="I31" s="11">
        <v>46028</v>
      </c>
      <c r="J31" s="1">
        <v>46028</v>
      </c>
      <c r="K31" s="1">
        <v>46028</v>
      </c>
      <c r="L31" t="s">
        <v>29</v>
      </c>
      <c r="M31" t="s">
        <v>30</v>
      </c>
      <c r="N31" t="s">
        <v>31</v>
      </c>
      <c r="O31" t="s">
        <v>25</v>
      </c>
      <c r="P31">
        <v>23856</v>
      </c>
      <c r="Q31" t="s">
        <v>19</v>
      </c>
      <c r="R31">
        <v>35392</v>
      </c>
      <c r="S31" t="str">
        <f>VLOOKUP(L31&amp;TEXT(I31,"mmmm")&amp;YEAR(I31),'[1]Detalle C-Fecha'!$D$2:$E$15921,2,FALSE)</f>
        <v>Expreso - Servicios Troncales</v>
      </c>
    </row>
    <row r="32" spans="1:19" x14ac:dyDescent="0.3">
      <c r="A32">
        <v>27231</v>
      </c>
      <c r="B32" t="s">
        <v>28</v>
      </c>
      <c r="C32" t="s">
        <v>15</v>
      </c>
      <c r="D32" t="s">
        <v>16</v>
      </c>
      <c r="E32" t="s">
        <v>46</v>
      </c>
      <c r="F32" s="6" t="str">
        <f t="shared" si="0"/>
        <v>6ML</v>
      </c>
      <c r="G32" s="11">
        <v>46028</v>
      </c>
      <c r="H32" s="12">
        <v>0.46736111111111112</v>
      </c>
      <c r="I32" s="11">
        <v>46028</v>
      </c>
      <c r="J32" s="1">
        <v>46028</v>
      </c>
      <c r="K32" s="1">
        <v>46028</v>
      </c>
      <c r="L32" t="s">
        <v>29</v>
      </c>
      <c r="M32" t="s">
        <v>30</v>
      </c>
      <c r="N32" t="s">
        <v>31</v>
      </c>
      <c r="O32" t="s">
        <v>25</v>
      </c>
      <c r="P32">
        <v>23856</v>
      </c>
      <c r="Q32" t="s">
        <v>19</v>
      </c>
      <c r="R32">
        <v>35394</v>
      </c>
      <c r="S32" t="str">
        <f>VLOOKUP(L32&amp;TEXT(I32,"mmmm")&amp;YEAR(I32),'[1]Detalle C-Fecha'!$D$2:$E$15921,2,FALSE)</f>
        <v>Expreso - Servicios Troncales</v>
      </c>
    </row>
    <row r="33" spans="1:19" x14ac:dyDescent="0.3">
      <c r="A33">
        <v>27255</v>
      </c>
      <c r="B33" t="s">
        <v>28</v>
      </c>
      <c r="C33" t="s">
        <v>15</v>
      </c>
      <c r="D33" t="s">
        <v>16</v>
      </c>
      <c r="E33" t="s">
        <v>51</v>
      </c>
      <c r="F33" s="6" t="str">
        <f t="shared" si="0"/>
        <v>2MC</v>
      </c>
      <c r="G33" s="11">
        <v>46028</v>
      </c>
      <c r="H33" s="12">
        <v>0.68402777777777779</v>
      </c>
      <c r="I33" s="11">
        <v>46028</v>
      </c>
      <c r="J33" s="1">
        <v>46028</v>
      </c>
      <c r="K33" s="1">
        <v>46041</v>
      </c>
      <c r="L33" t="s">
        <v>83</v>
      </c>
      <c r="M33" t="s">
        <v>50</v>
      </c>
      <c r="N33" t="s">
        <v>21</v>
      </c>
      <c r="O33" t="s">
        <v>24</v>
      </c>
      <c r="P33">
        <v>23872</v>
      </c>
      <c r="Q33" t="s">
        <v>19</v>
      </c>
      <c r="R33">
        <v>34501</v>
      </c>
      <c r="S33" t="str">
        <f>VLOOKUP(L33&amp;TEXT(I33,"mmmm")&amp;YEAR(I33),'[1]Detalle C-Fecha'!$D$2:$E$15921,2,FALSE)</f>
        <v>CCUDyAZA</v>
      </c>
    </row>
    <row r="34" spans="1:19" x14ac:dyDescent="0.3">
      <c r="A34">
        <v>27255</v>
      </c>
      <c r="B34" t="s">
        <v>28</v>
      </c>
      <c r="C34" t="s">
        <v>15</v>
      </c>
      <c r="D34" t="s">
        <v>16</v>
      </c>
      <c r="E34" t="s">
        <v>51</v>
      </c>
      <c r="F34" s="6" t="str">
        <f t="shared" si="0"/>
        <v>2MC</v>
      </c>
      <c r="G34" s="11">
        <v>46028</v>
      </c>
      <c r="H34" s="12">
        <v>0.68402777777777779</v>
      </c>
      <c r="I34" s="11">
        <v>46028</v>
      </c>
      <c r="J34" s="1">
        <v>46028</v>
      </c>
      <c r="K34" s="1">
        <v>46041</v>
      </c>
      <c r="L34" t="s">
        <v>83</v>
      </c>
      <c r="M34" t="s">
        <v>50</v>
      </c>
      <c r="N34" t="s">
        <v>21</v>
      </c>
      <c r="O34" t="s">
        <v>24</v>
      </c>
      <c r="P34">
        <v>23872</v>
      </c>
      <c r="Q34" t="s">
        <v>19</v>
      </c>
      <c r="R34">
        <v>34623</v>
      </c>
      <c r="S34" t="str">
        <f>VLOOKUP(L34&amp;TEXT(I34,"mmmm")&amp;YEAR(I34),'[1]Detalle C-Fecha'!$D$2:$E$15921,2,FALSE)</f>
        <v>CCUDyAZA</v>
      </c>
    </row>
    <row r="35" spans="1:19" x14ac:dyDescent="0.3">
      <c r="A35">
        <v>27256</v>
      </c>
      <c r="B35" t="s">
        <v>28</v>
      </c>
      <c r="C35" t="s">
        <v>15</v>
      </c>
      <c r="D35" t="s">
        <v>16</v>
      </c>
      <c r="E35" t="s">
        <v>53</v>
      </c>
      <c r="F35" s="6" t="str">
        <f t="shared" si="0"/>
        <v>3MC</v>
      </c>
      <c r="G35" s="11">
        <v>46028</v>
      </c>
      <c r="H35" s="12">
        <v>0.68402777777777779</v>
      </c>
      <c r="I35" s="11">
        <v>46028</v>
      </c>
      <c r="J35" s="1">
        <v>46028</v>
      </c>
      <c r="K35" s="1">
        <v>46041</v>
      </c>
      <c r="L35" t="s">
        <v>83</v>
      </c>
      <c r="M35" t="s">
        <v>50</v>
      </c>
      <c r="N35" t="s">
        <v>21</v>
      </c>
      <c r="O35" t="s">
        <v>24</v>
      </c>
      <c r="P35">
        <v>23873</v>
      </c>
      <c r="Q35" t="s">
        <v>19</v>
      </c>
      <c r="R35">
        <v>34502</v>
      </c>
      <c r="S35" t="str">
        <f>VLOOKUP(L35&amp;TEXT(I35,"mmmm")&amp;YEAR(I35),'[1]Detalle C-Fecha'!$D$2:$E$15921,2,FALSE)</f>
        <v>CCUDyAZA</v>
      </c>
    </row>
    <row r="36" spans="1:19" x14ac:dyDescent="0.3">
      <c r="A36">
        <v>27256</v>
      </c>
      <c r="B36" t="s">
        <v>28</v>
      </c>
      <c r="C36" t="s">
        <v>15</v>
      </c>
      <c r="D36" t="s">
        <v>16</v>
      </c>
      <c r="E36" t="s">
        <v>53</v>
      </c>
      <c r="F36" s="6" t="str">
        <f t="shared" si="0"/>
        <v>3MC</v>
      </c>
      <c r="G36" s="11">
        <v>46028</v>
      </c>
      <c r="H36" s="12">
        <v>0.68402777777777779</v>
      </c>
      <c r="I36" s="11">
        <v>46028</v>
      </c>
      <c r="J36" s="1">
        <v>46028</v>
      </c>
      <c r="K36" s="1">
        <v>46041</v>
      </c>
      <c r="L36" t="s">
        <v>83</v>
      </c>
      <c r="M36" t="s">
        <v>50</v>
      </c>
      <c r="N36" t="s">
        <v>21</v>
      </c>
      <c r="O36" t="s">
        <v>24</v>
      </c>
      <c r="P36">
        <v>23873</v>
      </c>
      <c r="Q36" t="s">
        <v>19</v>
      </c>
      <c r="R36">
        <v>34623</v>
      </c>
      <c r="S36" t="str">
        <f>VLOOKUP(L36&amp;TEXT(I36,"mmmm")&amp;YEAR(I36),'[1]Detalle C-Fecha'!$D$2:$E$15921,2,FALSE)</f>
        <v>CCUDyAZA</v>
      </c>
    </row>
    <row r="37" spans="1:19" x14ac:dyDescent="0.3">
      <c r="A37">
        <v>27257</v>
      </c>
      <c r="B37" t="s">
        <v>28</v>
      </c>
      <c r="C37" t="s">
        <v>15</v>
      </c>
      <c r="D37" t="s">
        <v>16</v>
      </c>
      <c r="E37" t="s">
        <v>112</v>
      </c>
      <c r="F37" s="6" t="str">
        <f t="shared" si="0"/>
        <v>6MC</v>
      </c>
      <c r="G37" s="11">
        <v>46028</v>
      </c>
      <c r="H37" s="12">
        <v>0.68402777777777779</v>
      </c>
      <c r="I37" s="11">
        <v>46028</v>
      </c>
      <c r="J37" s="1">
        <v>46028</v>
      </c>
      <c r="K37" s="1">
        <v>46041</v>
      </c>
      <c r="L37" t="s">
        <v>83</v>
      </c>
      <c r="M37" t="s">
        <v>50</v>
      </c>
      <c r="N37" t="s">
        <v>21</v>
      </c>
      <c r="O37" t="s">
        <v>24</v>
      </c>
      <c r="P37">
        <v>23874</v>
      </c>
      <c r="Q37" t="s">
        <v>19</v>
      </c>
      <c r="R37">
        <v>34503</v>
      </c>
      <c r="S37" t="str">
        <f>VLOOKUP(L37&amp;TEXT(I37,"mmmm")&amp;YEAR(I37),'[1]Detalle C-Fecha'!$D$2:$E$15921,2,FALSE)</f>
        <v>CCUDyAZA</v>
      </c>
    </row>
    <row r="38" spans="1:19" x14ac:dyDescent="0.3">
      <c r="A38">
        <v>27257</v>
      </c>
      <c r="B38" t="s">
        <v>28</v>
      </c>
      <c r="C38" t="s">
        <v>15</v>
      </c>
      <c r="D38" t="s">
        <v>16</v>
      </c>
      <c r="E38" t="s">
        <v>112</v>
      </c>
      <c r="F38" s="6" t="str">
        <f t="shared" si="0"/>
        <v>6MC</v>
      </c>
      <c r="G38" s="11">
        <v>46028</v>
      </c>
      <c r="H38" s="12">
        <v>0.68402777777777779</v>
      </c>
      <c r="I38" s="11">
        <v>46028</v>
      </c>
      <c r="J38" s="1">
        <v>46028</v>
      </c>
      <c r="K38" s="1">
        <v>46041</v>
      </c>
      <c r="L38" t="s">
        <v>83</v>
      </c>
      <c r="M38" t="s">
        <v>50</v>
      </c>
      <c r="N38" t="s">
        <v>21</v>
      </c>
      <c r="O38" t="s">
        <v>24</v>
      </c>
      <c r="P38">
        <v>23874</v>
      </c>
      <c r="Q38" t="s">
        <v>19</v>
      </c>
      <c r="R38">
        <v>34623</v>
      </c>
      <c r="S38" t="str">
        <f>VLOOKUP(L38&amp;TEXT(I38,"mmmm")&amp;YEAR(I38),'[1]Detalle C-Fecha'!$D$2:$E$15921,2,FALSE)</f>
        <v>CCUDyAZA</v>
      </c>
    </row>
    <row r="39" spans="1:19" x14ac:dyDescent="0.3">
      <c r="A39">
        <v>27264</v>
      </c>
      <c r="B39" t="s">
        <v>28</v>
      </c>
      <c r="C39" t="s">
        <v>15</v>
      </c>
      <c r="D39" t="s">
        <v>16</v>
      </c>
      <c r="E39" t="s">
        <v>115</v>
      </c>
      <c r="F39" s="6" t="str">
        <f t="shared" si="0"/>
        <v>2ML</v>
      </c>
      <c r="G39" s="11">
        <v>46029</v>
      </c>
      <c r="H39" s="12">
        <v>0.29375000000000001</v>
      </c>
      <c r="I39" s="11">
        <v>46029</v>
      </c>
      <c r="J39" s="1">
        <v>46029</v>
      </c>
      <c r="K39" s="1">
        <v>46041</v>
      </c>
      <c r="L39" t="s">
        <v>70</v>
      </c>
      <c r="M39" t="s">
        <v>37</v>
      </c>
      <c r="N39" t="s">
        <v>21</v>
      </c>
      <c r="O39" t="s">
        <v>24</v>
      </c>
      <c r="P39">
        <v>23881</v>
      </c>
      <c r="Q39" t="s">
        <v>19</v>
      </c>
      <c r="R39">
        <v>34508</v>
      </c>
      <c r="S39" t="str">
        <f>VLOOKUP(L39&amp;TEXT(I39,"mmmm")&amp;YEAR(I39),'[1]Detalle C-Fecha'!$D$2:$E$15921,2,FALSE)</f>
        <v>ADA_CH - Danone Arg. S.A. - Chascomus</v>
      </c>
    </row>
    <row r="40" spans="1:19" x14ac:dyDescent="0.3">
      <c r="A40">
        <v>27264</v>
      </c>
      <c r="B40" t="s">
        <v>28</v>
      </c>
      <c r="C40" t="s">
        <v>15</v>
      </c>
      <c r="D40" t="s">
        <v>16</v>
      </c>
      <c r="E40" t="s">
        <v>115</v>
      </c>
      <c r="F40" s="6" t="str">
        <f t="shared" si="0"/>
        <v>2ML</v>
      </c>
      <c r="G40" s="11">
        <v>46029</v>
      </c>
      <c r="H40" s="12">
        <v>0.29375000000000001</v>
      </c>
      <c r="I40" s="11">
        <v>46029</v>
      </c>
      <c r="J40" s="1">
        <v>46029</v>
      </c>
      <c r="K40" s="1">
        <v>46041</v>
      </c>
      <c r="L40" t="s">
        <v>70</v>
      </c>
      <c r="M40" t="s">
        <v>37</v>
      </c>
      <c r="N40" t="s">
        <v>21</v>
      </c>
      <c r="O40" t="s">
        <v>24</v>
      </c>
      <c r="P40">
        <v>23881</v>
      </c>
      <c r="Q40" t="s">
        <v>19</v>
      </c>
      <c r="R40">
        <v>34623</v>
      </c>
      <c r="S40" t="str">
        <f>VLOOKUP(L40&amp;TEXT(I40,"mmmm")&amp;YEAR(I40),'[1]Detalle C-Fecha'!$D$2:$E$15921,2,FALSE)</f>
        <v>ADA_CH - Danone Arg. S.A. - Chascomus</v>
      </c>
    </row>
    <row r="41" spans="1:19" x14ac:dyDescent="0.3">
      <c r="A41">
        <v>27265</v>
      </c>
      <c r="B41" t="s">
        <v>28</v>
      </c>
      <c r="C41" t="s">
        <v>15</v>
      </c>
      <c r="D41" t="s">
        <v>16</v>
      </c>
      <c r="E41" t="s">
        <v>116</v>
      </c>
      <c r="F41" s="6" t="str">
        <f t="shared" si="0"/>
        <v>3ML</v>
      </c>
      <c r="G41" s="11">
        <v>46029</v>
      </c>
      <c r="H41" s="12">
        <v>0.29375000000000001</v>
      </c>
      <c r="I41" s="11">
        <v>46029</v>
      </c>
      <c r="J41" s="1">
        <v>46029</v>
      </c>
      <c r="K41" s="1">
        <v>46041</v>
      </c>
      <c r="L41" t="s">
        <v>70</v>
      </c>
      <c r="M41" t="s">
        <v>37</v>
      </c>
      <c r="N41" t="s">
        <v>21</v>
      </c>
      <c r="O41" t="s">
        <v>24</v>
      </c>
      <c r="P41">
        <v>23882</v>
      </c>
      <c r="Q41" t="s">
        <v>19</v>
      </c>
      <c r="R41">
        <v>34509</v>
      </c>
      <c r="S41" t="str">
        <f>VLOOKUP(L41&amp;TEXT(I41,"mmmm")&amp;YEAR(I41),'[1]Detalle C-Fecha'!$D$2:$E$15921,2,FALSE)</f>
        <v>ADA_CH - Danone Arg. S.A. - Chascomus</v>
      </c>
    </row>
    <row r="42" spans="1:19" x14ac:dyDescent="0.3">
      <c r="A42">
        <v>27265</v>
      </c>
      <c r="B42" t="s">
        <v>28</v>
      </c>
      <c r="C42" t="s">
        <v>15</v>
      </c>
      <c r="D42" t="s">
        <v>16</v>
      </c>
      <c r="E42" t="s">
        <v>116</v>
      </c>
      <c r="F42" s="6" t="str">
        <f t="shared" si="0"/>
        <v>3ML</v>
      </c>
      <c r="G42" s="11">
        <v>46029</v>
      </c>
      <c r="H42" s="12">
        <v>0.29375000000000001</v>
      </c>
      <c r="I42" s="11">
        <v>46029</v>
      </c>
      <c r="J42" s="1">
        <v>46029</v>
      </c>
      <c r="K42" s="1">
        <v>46041</v>
      </c>
      <c r="L42" t="s">
        <v>70</v>
      </c>
      <c r="M42" t="s">
        <v>37</v>
      </c>
      <c r="N42" t="s">
        <v>21</v>
      </c>
      <c r="O42" t="s">
        <v>24</v>
      </c>
      <c r="P42">
        <v>23882</v>
      </c>
      <c r="Q42" t="s">
        <v>19</v>
      </c>
      <c r="R42">
        <v>34623</v>
      </c>
      <c r="S42" t="str">
        <f>VLOOKUP(L42&amp;TEXT(I42,"mmmm")&amp;YEAR(I42),'[1]Detalle C-Fecha'!$D$2:$E$15921,2,FALSE)</f>
        <v>ADA_CH - Danone Arg. S.A. - Chascomus</v>
      </c>
    </row>
    <row r="43" spans="1:19" x14ac:dyDescent="0.3">
      <c r="A43">
        <v>27266</v>
      </c>
      <c r="B43" t="s">
        <v>28</v>
      </c>
      <c r="C43" t="s">
        <v>15</v>
      </c>
      <c r="D43" t="s">
        <v>16</v>
      </c>
      <c r="E43" t="s">
        <v>117</v>
      </c>
      <c r="F43" s="6" t="str">
        <f t="shared" si="0"/>
        <v>6ML</v>
      </c>
      <c r="G43" s="11">
        <v>46029</v>
      </c>
      <c r="H43" s="12">
        <v>0.29375000000000001</v>
      </c>
      <c r="I43" s="11">
        <v>46029</v>
      </c>
      <c r="J43" s="1">
        <v>46029</v>
      </c>
      <c r="K43" s="1">
        <v>46041</v>
      </c>
      <c r="L43" t="s">
        <v>70</v>
      </c>
      <c r="M43" t="s">
        <v>37</v>
      </c>
      <c r="N43" t="s">
        <v>21</v>
      </c>
      <c r="O43" t="s">
        <v>24</v>
      </c>
      <c r="P43">
        <v>23883</v>
      </c>
      <c r="Q43" t="s">
        <v>19</v>
      </c>
      <c r="R43">
        <v>34510</v>
      </c>
      <c r="S43" t="str">
        <f>VLOOKUP(L43&amp;TEXT(I43,"mmmm")&amp;YEAR(I43),'[1]Detalle C-Fecha'!$D$2:$E$15921,2,FALSE)</f>
        <v>ADA_CH - Danone Arg. S.A. - Chascomus</v>
      </c>
    </row>
    <row r="44" spans="1:19" x14ac:dyDescent="0.3">
      <c r="A44">
        <v>27266</v>
      </c>
      <c r="B44" t="s">
        <v>28</v>
      </c>
      <c r="C44" t="s">
        <v>15</v>
      </c>
      <c r="D44" t="s">
        <v>16</v>
      </c>
      <c r="E44" t="s">
        <v>117</v>
      </c>
      <c r="F44" s="6" t="str">
        <f t="shared" si="0"/>
        <v>6ML</v>
      </c>
      <c r="G44" s="11">
        <v>46029</v>
      </c>
      <c r="H44" s="12">
        <v>0.29375000000000001</v>
      </c>
      <c r="I44" s="11">
        <v>46029</v>
      </c>
      <c r="J44" s="1">
        <v>46029</v>
      </c>
      <c r="K44" s="1">
        <v>46041</v>
      </c>
      <c r="L44" t="s">
        <v>70</v>
      </c>
      <c r="M44" t="s">
        <v>37</v>
      </c>
      <c r="N44" t="s">
        <v>21</v>
      </c>
      <c r="O44" t="s">
        <v>24</v>
      </c>
      <c r="P44">
        <v>23883</v>
      </c>
      <c r="Q44" t="s">
        <v>19</v>
      </c>
      <c r="R44">
        <v>34623</v>
      </c>
      <c r="S44" t="str">
        <f>VLOOKUP(L44&amp;TEXT(I44,"mmmm")&amp;YEAR(I44),'[1]Detalle C-Fecha'!$D$2:$E$15921,2,FALSE)</f>
        <v>ADA_CH - Danone Arg. S.A. - Chascomus</v>
      </c>
    </row>
    <row r="45" spans="1:19" x14ac:dyDescent="0.3">
      <c r="A45">
        <v>27279</v>
      </c>
      <c r="B45" t="s">
        <v>28</v>
      </c>
      <c r="C45" t="s">
        <v>15</v>
      </c>
      <c r="D45" t="s">
        <v>16</v>
      </c>
      <c r="E45" t="s">
        <v>35</v>
      </c>
      <c r="F45" s="6" t="str">
        <f t="shared" si="0"/>
        <v>2ML</v>
      </c>
      <c r="G45" s="11">
        <v>46029</v>
      </c>
      <c r="H45" s="12">
        <v>0.49861111111111112</v>
      </c>
      <c r="I45" s="11">
        <v>46029</v>
      </c>
      <c r="J45" s="1">
        <v>46035</v>
      </c>
      <c r="K45" s="1">
        <v>46035</v>
      </c>
      <c r="L45" t="s">
        <v>79</v>
      </c>
      <c r="M45" t="s">
        <v>68</v>
      </c>
      <c r="N45" t="s">
        <v>17</v>
      </c>
      <c r="O45" t="s">
        <v>24</v>
      </c>
      <c r="P45">
        <v>23894</v>
      </c>
      <c r="Q45" t="s">
        <v>19</v>
      </c>
      <c r="R45">
        <v>34131</v>
      </c>
      <c r="S45" t="str">
        <f>VLOOKUP(L45&amp;TEXT(I45,"mmmm")&amp;YEAR(I45),'[1]Detalle C-Fecha'!$D$2:$E$15921,2,FALSE)</f>
        <v>CENCOMLD - Cencosud SA - Mendoza</v>
      </c>
    </row>
    <row r="46" spans="1:19" x14ac:dyDescent="0.3">
      <c r="A46">
        <v>27279</v>
      </c>
      <c r="B46" t="s">
        <v>28</v>
      </c>
      <c r="C46" t="s">
        <v>15</v>
      </c>
      <c r="D46" t="s">
        <v>16</v>
      </c>
      <c r="E46" t="s">
        <v>35</v>
      </c>
      <c r="F46" s="6" t="str">
        <f t="shared" si="0"/>
        <v>2ML</v>
      </c>
      <c r="G46" s="11">
        <v>46029</v>
      </c>
      <c r="H46" s="12">
        <v>0.49861111111111112</v>
      </c>
      <c r="I46" s="11">
        <v>46029</v>
      </c>
      <c r="J46" s="1">
        <v>46035</v>
      </c>
      <c r="K46" s="1">
        <v>46035</v>
      </c>
      <c r="L46" t="s">
        <v>79</v>
      </c>
      <c r="M46" t="s">
        <v>68</v>
      </c>
      <c r="N46" t="s">
        <v>17</v>
      </c>
      <c r="O46" t="s">
        <v>24</v>
      </c>
      <c r="P46">
        <v>23894</v>
      </c>
      <c r="Q46" t="s">
        <v>19</v>
      </c>
      <c r="R46">
        <v>34132</v>
      </c>
      <c r="S46" t="str">
        <f>VLOOKUP(L46&amp;TEXT(I46,"mmmm")&amp;YEAR(I46),'[1]Detalle C-Fecha'!$D$2:$E$15921,2,FALSE)</f>
        <v>CENCOMLD - Cencosud SA - Mendoza</v>
      </c>
    </row>
    <row r="47" spans="1:19" x14ac:dyDescent="0.3">
      <c r="A47">
        <v>27280</v>
      </c>
      <c r="B47" t="s">
        <v>28</v>
      </c>
      <c r="C47" t="s">
        <v>15</v>
      </c>
      <c r="D47" t="s">
        <v>16</v>
      </c>
      <c r="E47" t="s">
        <v>47</v>
      </c>
      <c r="F47" s="6" t="str">
        <f t="shared" si="0"/>
        <v>3ML</v>
      </c>
      <c r="G47" s="11">
        <v>46029</v>
      </c>
      <c r="H47" s="12">
        <v>0.49861111111111112</v>
      </c>
      <c r="I47" s="11">
        <v>46029</v>
      </c>
      <c r="J47" s="1">
        <v>46035</v>
      </c>
      <c r="K47" s="1">
        <v>46035</v>
      </c>
      <c r="L47" t="s">
        <v>79</v>
      </c>
      <c r="M47" t="s">
        <v>68</v>
      </c>
      <c r="N47" t="s">
        <v>17</v>
      </c>
      <c r="O47" t="s">
        <v>24</v>
      </c>
      <c r="P47">
        <v>23895</v>
      </c>
      <c r="Q47" t="s">
        <v>19</v>
      </c>
      <c r="R47">
        <v>34133</v>
      </c>
      <c r="S47" t="str">
        <f>VLOOKUP(L47&amp;TEXT(I47,"mmmm")&amp;YEAR(I47),'[1]Detalle C-Fecha'!$D$2:$E$15921,2,FALSE)</f>
        <v>CENCOMLD - Cencosud SA - Mendoza</v>
      </c>
    </row>
    <row r="48" spans="1:19" x14ac:dyDescent="0.3">
      <c r="A48">
        <v>27280</v>
      </c>
      <c r="B48" t="s">
        <v>28</v>
      </c>
      <c r="C48" t="s">
        <v>15</v>
      </c>
      <c r="D48" t="s">
        <v>16</v>
      </c>
      <c r="E48" t="s">
        <v>47</v>
      </c>
      <c r="F48" s="6" t="str">
        <f t="shared" si="0"/>
        <v>3ML</v>
      </c>
      <c r="G48" s="11">
        <v>46029</v>
      </c>
      <c r="H48" s="12">
        <v>0.49861111111111112</v>
      </c>
      <c r="I48" s="11">
        <v>46029</v>
      </c>
      <c r="J48" s="1">
        <v>46035</v>
      </c>
      <c r="K48" s="1">
        <v>46035</v>
      </c>
      <c r="L48" t="s">
        <v>79</v>
      </c>
      <c r="M48" t="s">
        <v>68</v>
      </c>
      <c r="N48" t="s">
        <v>17</v>
      </c>
      <c r="O48" t="s">
        <v>24</v>
      </c>
      <c r="P48">
        <v>23895</v>
      </c>
      <c r="Q48" t="s">
        <v>19</v>
      </c>
      <c r="R48">
        <v>34134</v>
      </c>
      <c r="S48" t="str">
        <f>VLOOKUP(L48&amp;TEXT(I48,"mmmm")&amp;YEAR(I48),'[1]Detalle C-Fecha'!$D$2:$E$15921,2,FALSE)</f>
        <v>CENCOMLD - Cencosud SA - Mendoza</v>
      </c>
    </row>
    <row r="49" spans="1:19" x14ac:dyDescent="0.3">
      <c r="A49">
        <v>27281</v>
      </c>
      <c r="B49" t="s">
        <v>28</v>
      </c>
      <c r="C49" t="s">
        <v>15</v>
      </c>
      <c r="D49" t="s">
        <v>16</v>
      </c>
      <c r="E49" t="s">
        <v>46</v>
      </c>
      <c r="F49" s="6" t="str">
        <f t="shared" si="0"/>
        <v>6ML</v>
      </c>
      <c r="G49" s="11">
        <v>46029</v>
      </c>
      <c r="H49" s="12">
        <v>0.49861111111111112</v>
      </c>
      <c r="I49" s="11">
        <v>46029</v>
      </c>
      <c r="J49" s="1">
        <v>46035</v>
      </c>
      <c r="K49" s="1">
        <v>46035</v>
      </c>
      <c r="L49" t="s">
        <v>79</v>
      </c>
      <c r="M49" t="s">
        <v>68</v>
      </c>
      <c r="N49" t="s">
        <v>17</v>
      </c>
      <c r="O49" t="s">
        <v>24</v>
      </c>
      <c r="P49">
        <v>23896</v>
      </c>
      <c r="Q49" t="s">
        <v>19</v>
      </c>
      <c r="R49">
        <v>34135</v>
      </c>
      <c r="S49" t="str">
        <f>VLOOKUP(L49&amp;TEXT(I49,"mmmm")&amp;YEAR(I49),'[1]Detalle C-Fecha'!$D$2:$E$15921,2,FALSE)</f>
        <v>CENCOMLD - Cencosud SA - Mendoza</v>
      </c>
    </row>
    <row r="50" spans="1:19" x14ac:dyDescent="0.3">
      <c r="A50">
        <v>27281</v>
      </c>
      <c r="B50" t="s">
        <v>28</v>
      </c>
      <c r="C50" t="s">
        <v>15</v>
      </c>
      <c r="D50" t="s">
        <v>16</v>
      </c>
      <c r="E50" t="s">
        <v>46</v>
      </c>
      <c r="F50" s="6" t="str">
        <f t="shared" si="0"/>
        <v>6ML</v>
      </c>
      <c r="G50" s="11">
        <v>46029</v>
      </c>
      <c r="H50" s="12">
        <v>0.49861111111111112</v>
      </c>
      <c r="I50" s="11">
        <v>46029</v>
      </c>
      <c r="J50" s="1">
        <v>46035</v>
      </c>
      <c r="K50" s="1">
        <v>46035</v>
      </c>
      <c r="L50" t="s">
        <v>79</v>
      </c>
      <c r="M50" t="s">
        <v>68</v>
      </c>
      <c r="N50" t="s">
        <v>17</v>
      </c>
      <c r="O50" t="s">
        <v>24</v>
      </c>
      <c r="P50">
        <v>23896</v>
      </c>
      <c r="Q50" t="s">
        <v>19</v>
      </c>
      <c r="R50">
        <v>34136</v>
      </c>
      <c r="S50" t="str">
        <f>VLOOKUP(L50&amp;TEXT(I50,"mmmm")&amp;YEAR(I50),'[1]Detalle C-Fecha'!$D$2:$E$15921,2,FALSE)</f>
        <v>CENCOMLD - Cencosud SA - Mendoza</v>
      </c>
    </row>
    <row r="51" spans="1:19" x14ac:dyDescent="0.3">
      <c r="A51">
        <v>27291</v>
      </c>
      <c r="B51" t="s">
        <v>28</v>
      </c>
      <c r="C51" t="s">
        <v>15</v>
      </c>
      <c r="D51" t="s">
        <v>16</v>
      </c>
      <c r="E51" t="s">
        <v>35</v>
      </c>
      <c r="F51" s="6" t="str">
        <f t="shared" si="0"/>
        <v>2ML</v>
      </c>
      <c r="G51" s="11">
        <v>46029</v>
      </c>
      <c r="H51" s="12">
        <v>0.57916666666666672</v>
      </c>
      <c r="I51" s="11">
        <v>46029</v>
      </c>
      <c r="J51" s="1">
        <v>46029</v>
      </c>
      <c r="K51" s="1">
        <v>46029</v>
      </c>
      <c r="L51" t="s">
        <v>61</v>
      </c>
      <c r="M51" t="s">
        <v>62</v>
      </c>
      <c r="N51" t="s">
        <v>31</v>
      </c>
      <c r="O51" t="s">
        <v>25</v>
      </c>
      <c r="P51">
        <v>23905</v>
      </c>
      <c r="Q51" t="s">
        <v>19</v>
      </c>
      <c r="R51">
        <v>35407</v>
      </c>
      <c r="S51" t="str">
        <f>VLOOKUP(L51&amp;TEXT(I51,"mmmm")&amp;YEAR(I51),'[1]Detalle C-Fecha'!$D$2:$E$15921,2,FALSE)</f>
        <v>Expreso - Servicios Troncales</v>
      </c>
    </row>
    <row r="52" spans="1:19" x14ac:dyDescent="0.3">
      <c r="A52">
        <v>27291</v>
      </c>
      <c r="B52" t="s">
        <v>28</v>
      </c>
      <c r="C52" t="s">
        <v>15</v>
      </c>
      <c r="D52" t="s">
        <v>16</v>
      </c>
      <c r="E52" t="s">
        <v>35</v>
      </c>
      <c r="F52" s="6" t="str">
        <f t="shared" si="0"/>
        <v>2ML</v>
      </c>
      <c r="G52" s="11">
        <v>46029</v>
      </c>
      <c r="H52" s="12">
        <v>0.57916666666666672</v>
      </c>
      <c r="I52" s="11">
        <v>46029</v>
      </c>
      <c r="J52" s="1">
        <v>46029</v>
      </c>
      <c r="K52" s="1">
        <v>46029</v>
      </c>
      <c r="L52" t="s">
        <v>61</v>
      </c>
      <c r="M52" t="s">
        <v>62</v>
      </c>
      <c r="N52" t="s">
        <v>31</v>
      </c>
      <c r="O52" t="s">
        <v>25</v>
      </c>
      <c r="P52">
        <v>23905</v>
      </c>
      <c r="Q52" t="s">
        <v>19</v>
      </c>
      <c r="R52">
        <v>35408</v>
      </c>
      <c r="S52" t="str">
        <f>VLOOKUP(L52&amp;TEXT(I52,"mmmm")&amp;YEAR(I52),'[1]Detalle C-Fecha'!$D$2:$E$15921,2,FALSE)</f>
        <v>Expreso - Servicios Troncales</v>
      </c>
    </row>
    <row r="53" spans="1:19" x14ac:dyDescent="0.3">
      <c r="A53">
        <v>27292</v>
      </c>
      <c r="B53" t="s">
        <v>28</v>
      </c>
      <c r="C53" t="s">
        <v>15</v>
      </c>
      <c r="D53" t="s">
        <v>16</v>
      </c>
      <c r="E53" t="s">
        <v>47</v>
      </c>
      <c r="F53" s="6" t="str">
        <f t="shared" si="0"/>
        <v>3ML</v>
      </c>
      <c r="G53" s="11">
        <v>46029</v>
      </c>
      <c r="H53" s="12">
        <v>0.57916666666666672</v>
      </c>
      <c r="I53" s="11">
        <v>46029</v>
      </c>
      <c r="J53" s="1">
        <v>46029</v>
      </c>
      <c r="K53" s="1">
        <v>46029</v>
      </c>
      <c r="L53" t="s">
        <v>61</v>
      </c>
      <c r="M53" t="s">
        <v>62</v>
      </c>
      <c r="N53" t="s">
        <v>31</v>
      </c>
      <c r="O53" t="s">
        <v>25</v>
      </c>
      <c r="P53">
        <v>23906</v>
      </c>
      <c r="Q53" t="s">
        <v>19</v>
      </c>
      <c r="R53">
        <v>35409</v>
      </c>
      <c r="S53" t="str">
        <f>VLOOKUP(L53&amp;TEXT(I53,"mmmm")&amp;YEAR(I53),'[1]Detalle C-Fecha'!$D$2:$E$15921,2,FALSE)</f>
        <v>Expreso - Servicios Troncales</v>
      </c>
    </row>
    <row r="54" spans="1:19" x14ac:dyDescent="0.3">
      <c r="A54">
        <v>27292</v>
      </c>
      <c r="B54" t="s">
        <v>28</v>
      </c>
      <c r="C54" t="s">
        <v>15</v>
      </c>
      <c r="D54" t="s">
        <v>16</v>
      </c>
      <c r="E54" t="s">
        <v>47</v>
      </c>
      <c r="F54" s="6" t="str">
        <f t="shared" si="0"/>
        <v>3ML</v>
      </c>
      <c r="G54" s="11">
        <v>46029</v>
      </c>
      <c r="H54" s="12">
        <v>0.57916666666666672</v>
      </c>
      <c r="I54" s="11">
        <v>46029</v>
      </c>
      <c r="J54" s="1">
        <v>46029</v>
      </c>
      <c r="K54" s="1">
        <v>46029</v>
      </c>
      <c r="L54" t="s">
        <v>61</v>
      </c>
      <c r="M54" t="s">
        <v>62</v>
      </c>
      <c r="N54" t="s">
        <v>31</v>
      </c>
      <c r="O54" t="s">
        <v>25</v>
      </c>
      <c r="P54">
        <v>23906</v>
      </c>
      <c r="Q54" t="s">
        <v>19</v>
      </c>
      <c r="R54">
        <v>35412</v>
      </c>
      <c r="S54" t="str">
        <f>VLOOKUP(L54&amp;TEXT(I54,"mmmm")&amp;YEAR(I54),'[1]Detalle C-Fecha'!$D$2:$E$15921,2,FALSE)</f>
        <v>Expreso - Servicios Troncales</v>
      </c>
    </row>
    <row r="55" spans="1:19" x14ac:dyDescent="0.3">
      <c r="A55">
        <v>27293</v>
      </c>
      <c r="B55" t="s">
        <v>28</v>
      </c>
      <c r="C55" t="s">
        <v>15</v>
      </c>
      <c r="D55" t="s">
        <v>16</v>
      </c>
      <c r="E55" t="s">
        <v>137</v>
      </c>
      <c r="F55" s="6" t="str">
        <f t="shared" si="0"/>
        <v>7ML</v>
      </c>
      <c r="G55" s="11">
        <v>46029</v>
      </c>
      <c r="H55" s="12">
        <v>0.57916666666666672</v>
      </c>
      <c r="I55" s="11">
        <v>46029</v>
      </c>
      <c r="J55" s="1">
        <v>46029</v>
      </c>
      <c r="K55" s="1">
        <v>46029</v>
      </c>
      <c r="L55" t="s">
        <v>61</v>
      </c>
      <c r="M55" t="s">
        <v>62</v>
      </c>
      <c r="N55" t="s">
        <v>31</v>
      </c>
      <c r="O55" t="s">
        <v>25</v>
      </c>
      <c r="P55">
        <v>23907</v>
      </c>
      <c r="Q55" t="s">
        <v>19</v>
      </c>
      <c r="R55">
        <v>35410</v>
      </c>
      <c r="S55" t="str">
        <f>VLOOKUP(L55&amp;TEXT(I55,"mmmm")&amp;YEAR(I55),'[1]Detalle C-Fecha'!$D$2:$E$15921,2,FALSE)</f>
        <v>Expreso - Servicios Troncales</v>
      </c>
    </row>
    <row r="56" spans="1:19" x14ac:dyDescent="0.3">
      <c r="A56">
        <v>27293</v>
      </c>
      <c r="B56" t="s">
        <v>28</v>
      </c>
      <c r="C56" t="s">
        <v>15</v>
      </c>
      <c r="D56" t="s">
        <v>16</v>
      </c>
      <c r="E56" t="s">
        <v>137</v>
      </c>
      <c r="F56" s="6" t="str">
        <f t="shared" si="0"/>
        <v>7ML</v>
      </c>
      <c r="G56" s="11">
        <v>46029</v>
      </c>
      <c r="H56" s="12">
        <v>0.57916666666666672</v>
      </c>
      <c r="I56" s="11">
        <v>46029</v>
      </c>
      <c r="J56" s="1">
        <v>46029</v>
      </c>
      <c r="K56" s="1">
        <v>46029</v>
      </c>
      <c r="L56" t="s">
        <v>61</v>
      </c>
      <c r="M56" t="s">
        <v>62</v>
      </c>
      <c r="N56" t="s">
        <v>31</v>
      </c>
      <c r="O56" t="s">
        <v>25</v>
      </c>
      <c r="P56">
        <v>23907</v>
      </c>
      <c r="Q56" t="s">
        <v>19</v>
      </c>
      <c r="R56">
        <v>35411</v>
      </c>
      <c r="S56" t="str">
        <f>VLOOKUP(L56&amp;TEXT(I56,"mmmm")&amp;YEAR(I56),'[1]Detalle C-Fecha'!$D$2:$E$15921,2,FALSE)</f>
        <v>Expreso - Servicios Troncales</v>
      </c>
    </row>
    <row r="57" spans="1:19" x14ac:dyDescent="0.3">
      <c r="A57">
        <v>27294</v>
      </c>
      <c r="B57" t="s">
        <v>28</v>
      </c>
      <c r="C57" t="s">
        <v>15</v>
      </c>
      <c r="D57" t="s">
        <v>16</v>
      </c>
      <c r="E57" t="s">
        <v>46</v>
      </c>
      <c r="F57" s="6" t="str">
        <f t="shared" si="0"/>
        <v>6ML</v>
      </c>
      <c r="G57" s="11">
        <v>46029</v>
      </c>
      <c r="H57" s="12">
        <v>0.57916666666666672</v>
      </c>
      <c r="I57" s="11">
        <v>46029</v>
      </c>
      <c r="J57" s="1">
        <v>46029</v>
      </c>
      <c r="K57" s="1">
        <v>46029</v>
      </c>
      <c r="L57" t="s">
        <v>61</v>
      </c>
      <c r="M57" t="s">
        <v>62</v>
      </c>
      <c r="N57" t="s">
        <v>31</v>
      </c>
      <c r="O57" t="s">
        <v>25</v>
      </c>
      <c r="P57">
        <v>23908</v>
      </c>
      <c r="Q57" t="s">
        <v>19</v>
      </c>
      <c r="R57">
        <v>35413</v>
      </c>
      <c r="S57" t="str">
        <f>VLOOKUP(L57&amp;TEXT(I57,"mmmm")&amp;YEAR(I57),'[1]Detalle C-Fecha'!$D$2:$E$15921,2,FALSE)</f>
        <v>Expreso - Servicios Troncales</v>
      </c>
    </row>
    <row r="58" spans="1:19" x14ac:dyDescent="0.3">
      <c r="A58">
        <v>27294</v>
      </c>
      <c r="B58" t="s">
        <v>28</v>
      </c>
      <c r="C58" t="s">
        <v>15</v>
      </c>
      <c r="D58" t="s">
        <v>16</v>
      </c>
      <c r="E58" t="s">
        <v>46</v>
      </c>
      <c r="F58" s="6" t="str">
        <f t="shared" si="0"/>
        <v>6ML</v>
      </c>
      <c r="G58" s="11">
        <v>46029</v>
      </c>
      <c r="H58" s="12">
        <v>0.57916666666666672</v>
      </c>
      <c r="I58" s="11">
        <v>46029</v>
      </c>
      <c r="J58" s="1">
        <v>46029</v>
      </c>
      <c r="K58" s="1">
        <v>46029</v>
      </c>
      <c r="L58" t="s">
        <v>61</v>
      </c>
      <c r="M58" t="s">
        <v>62</v>
      </c>
      <c r="N58" t="s">
        <v>31</v>
      </c>
      <c r="O58" t="s">
        <v>25</v>
      </c>
      <c r="P58">
        <v>23908</v>
      </c>
      <c r="Q58" t="s">
        <v>19</v>
      </c>
      <c r="R58">
        <v>35414</v>
      </c>
      <c r="S58" t="str">
        <f>VLOOKUP(L58&amp;TEXT(I58,"mmmm")&amp;YEAR(I58),'[1]Detalle C-Fecha'!$D$2:$E$15921,2,FALSE)</f>
        <v>Expreso - Servicios Troncales</v>
      </c>
    </row>
    <row r="59" spans="1:19" x14ac:dyDescent="0.3">
      <c r="A59">
        <v>27303</v>
      </c>
      <c r="B59" t="s">
        <v>28</v>
      </c>
      <c r="C59" t="s">
        <v>15</v>
      </c>
      <c r="D59" t="s">
        <v>16</v>
      </c>
      <c r="E59" t="s">
        <v>113</v>
      </c>
      <c r="F59" s="6" t="str">
        <f t="shared" si="0"/>
        <v>2MC</v>
      </c>
      <c r="G59" s="11">
        <v>46029</v>
      </c>
      <c r="H59" s="12">
        <v>0.63888888888888895</v>
      </c>
      <c r="I59" s="11">
        <v>46029</v>
      </c>
      <c r="J59" s="1">
        <v>46029</v>
      </c>
      <c r="K59" s="1">
        <v>46041</v>
      </c>
      <c r="L59" t="s">
        <v>90</v>
      </c>
      <c r="M59" t="s">
        <v>49</v>
      </c>
      <c r="N59" t="s">
        <v>21</v>
      </c>
      <c r="O59" t="s">
        <v>18</v>
      </c>
      <c r="P59">
        <v>23915</v>
      </c>
      <c r="Q59" t="s">
        <v>19</v>
      </c>
      <c r="R59">
        <v>34513</v>
      </c>
      <c r="S59" t="str">
        <f>VLOOKUP(L59&amp;TEXT(I59,"mmmm")&amp;YEAR(I59),'[1]Detalle C-Fecha'!$D$2:$E$15921,2,FALSE)</f>
        <v>CMQ_TTE - QUILMES TTE</v>
      </c>
    </row>
    <row r="60" spans="1:19" x14ac:dyDescent="0.3">
      <c r="A60">
        <v>27303</v>
      </c>
      <c r="B60" t="s">
        <v>28</v>
      </c>
      <c r="C60" t="s">
        <v>15</v>
      </c>
      <c r="D60" t="s">
        <v>16</v>
      </c>
      <c r="E60" t="s">
        <v>113</v>
      </c>
      <c r="F60" s="6" t="str">
        <f t="shared" si="0"/>
        <v>2MC</v>
      </c>
      <c r="G60" s="11">
        <v>46029</v>
      </c>
      <c r="H60" s="12">
        <v>0.63888888888888895</v>
      </c>
      <c r="I60" s="11">
        <v>46029</v>
      </c>
      <c r="J60" s="1">
        <v>46029</v>
      </c>
      <c r="K60" s="1">
        <v>46041</v>
      </c>
      <c r="L60" t="s">
        <v>90</v>
      </c>
      <c r="M60" t="s">
        <v>49</v>
      </c>
      <c r="N60" t="s">
        <v>21</v>
      </c>
      <c r="O60" t="s">
        <v>18</v>
      </c>
      <c r="P60">
        <v>23915</v>
      </c>
      <c r="Q60" t="s">
        <v>19</v>
      </c>
      <c r="R60">
        <v>34622</v>
      </c>
      <c r="S60" t="str">
        <f>VLOOKUP(L60&amp;TEXT(I60,"mmmm")&amp;YEAR(I60),'[1]Detalle C-Fecha'!$D$2:$E$15921,2,FALSE)</f>
        <v>CMQ_TTE - QUILMES TTE</v>
      </c>
    </row>
    <row r="61" spans="1:19" x14ac:dyDescent="0.3">
      <c r="A61">
        <v>27304</v>
      </c>
      <c r="B61" t="s">
        <v>28</v>
      </c>
      <c r="C61" t="s">
        <v>15</v>
      </c>
      <c r="D61" t="s">
        <v>16</v>
      </c>
      <c r="E61" t="s">
        <v>122</v>
      </c>
      <c r="F61" s="6" t="str">
        <f t="shared" si="0"/>
        <v>3MC</v>
      </c>
      <c r="G61" s="11">
        <v>46029</v>
      </c>
      <c r="H61" s="12">
        <v>0.63888888888888895</v>
      </c>
      <c r="I61" s="11">
        <v>46029</v>
      </c>
      <c r="J61" s="1">
        <v>46029</v>
      </c>
      <c r="K61" s="1">
        <v>46029</v>
      </c>
      <c r="L61" t="s">
        <v>90</v>
      </c>
      <c r="M61" t="s">
        <v>49</v>
      </c>
      <c r="N61" t="s">
        <v>21</v>
      </c>
      <c r="O61" t="s">
        <v>18</v>
      </c>
      <c r="P61">
        <v>23916</v>
      </c>
      <c r="Q61" t="s">
        <v>19</v>
      </c>
      <c r="R61">
        <v>35093</v>
      </c>
      <c r="S61" t="str">
        <f>VLOOKUP(L61&amp;TEXT(I61,"mmmm")&amp;YEAR(I61),'[1]Detalle C-Fecha'!$D$2:$E$15921,2,FALSE)</f>
        <v>CMQ_TTE - QUILMES TTE</v>
      </c>
    </row>
    <row r="62" spans="1:19" x14ac:dyDescent="0.3">
      <c r="A62">
        <v>27304</v>
      </c>
      <c r="B62" t="s">
        <v>28</v>
      </c>
      <c r="C62" t="s">
        <v>15</v>
      </c>
      <c r="D62" t="s">
        <v>16</v>
      </c>
      <c r="E62" t="s">
        <v>122</v>
      </c>
      <c r="F62" s="6" t="str">
        <f t="shared" si="0"/>
        <v>3MC</v>
      </c>
      <c r="G62" s="11">
        <v>46029</v>
      </c>
      <c r="H62" s="12">
        <v>0.63888888888888895</v>
      </c>
      <c r="I62" s="11">
        <v>46029</v>
      </c>
      <c r="J62" s="1">
        <v>46029</v>
      </c>
      <c r="K62" s="1">
        <v>46029</v>
      </c>
      <c r="L62" t="s">
        <v>90</v>
      </c>
      <c r="M62" t="s">
        <v>49</v>
      </c>
      <c r="N62" t="s">
        <v>21</v>
      </c>
      <c r="O62" t="s">
        <v>18</v>
      </c>
      <c r="P62">
        <v>23916</v>
      </c>
      <c r="Q62" t="s">
        <v>19</v>
      </c>
      <c r="R62">
        <v>35796</v>
      </c>
      <c r="S62" t="str">
        <f>VLOOKUP(L62&amp;TEXT(I62,"mmmm")&amp;YEAR(I62),'[1]Detalle C-Fecha'!$D$2:$E$15921,2,FALSE)</f>
        <v>CMQ_TTE - QUILMES TTE</v>
      </c>
    </row>
    <row r="63" spans="1:19" x14ac:dyDescent="0.3">
      <c r="A63">
        <v>27305</v>
      </c>
      <c r="B63" t="s">
        <v>28</v>
      </c>
      <c r="C63" t="s">
        <v>15</v>
      </c>
      <c r="D63" t="s">
        <v>16</v>
      </c>
      <c r="E63" t="s">
        <v>114</v>
      </c>
      <c r="F63" s="6" t="str">
        <f t="shared" si="0"/>
        <v>6MC</v>
      </c>
      <c r="G63" s="11">
        <v>46029</v>
      </c>
      <c r="H63" s="12">
        <v>0.63888888888888895</v>
      </c>
      <c r="I63" s="11">
        <v>46029</v>
      </c>
      <c r="J63" s="1">
        <v>46029</v>
      </c>
      <c r="K63" s="1">
        <v>46041</v>
      </c>
      <c r="L63" t="s">
        <v>90</v>
      </c>
      <c r="M63" t="s">
        <v>49</v>
      </c>
      <c r="N63" t="s">
        <v>21</v>
      </c>
      <c r="O63" t="s">
        <v>18</v>
      </c>
      <c r="P63">
        <v>23917</v>
      </c>
      <c r="Q63" t="s">
        <v>19</v>
      </c>
      <c r="R63">
        <v>34514</v>
      </c>
      <c r="S63" t="str">
        <f>VLOOKUP(L63&amp;TEXT(I63,"mmmm")&amp;YEAR(I63),'[1]Detalle C-Fecha'!$D$2:$E$15921,2,FALSE)</f>
        <v>CMQ_TTE - QUILMES TTE</v>
      </c>
    </row>
    <row r="64" spans="1:19" x14ac:dyDescent="0.3">
      <c r="A64">
        <v>27305</v>
      </c>
      <c r="B64" t="s">
        <v>28</v>
      </c>
      <c r="C64" t="s">
        <v>15</v>
      </c>
      <c r="D64" t="s">
        <v>16</v>
      </c>
      <c r="E64" t="s">
        <v>114</v>
      </c>
      <c r="F64" s="6" t="str">
        <f t="shared" si="0"/>
        <v>6MC</v>
      </c>
      <c r="G64" s="11">
        <v>46029</v>
      </c>
      <c r="H64" s="12">
        <v>0.63888888888888895</v>
      </c>
      <c r="I64" s="11">
        <v>46029</v>
      </c>
      <c r="J64" s="1">
        <v>46029</v>
      </c>
      <c r="K64" s="1">
        <v>46041</v>
      </c>
      <c r="L64" t="s">
        <v>90</v>
      </c>
      <c r="M64" t="s">
        <v>49</v>
      </c>
      <c r="N64" t="s">
        <v>21</v>
      </c>
      <c r="O64" t="s">
        <v>18</v>
      </c>
      <c r="P64">
        <v>23917</v>
      </c>
      <c r="Q64" t="s">
        <v>19</v>
      </c>
      <c r="R64">
        <v>34622</v>
      </c>
      <c r="S64" t="str">
        <f>VLOOKUP(L64&amp;TEXT(I64,"mmmm")&amp;YEAR(I64),'[1]Detalle C-Fecha'!$D$2:$E$15921,2,FALSE)</f>
        <v>CMQ_TTE - QUILMES TTE</v>
      </c>
    </row>
    <row r="65" spans="1:19" x14ac:dyDescent="0.3">
      <c r="A65">
        <v>27311</v>
      </c>
      <c r="B65" t="s">
        <v>28</v>
      </c>
      <c r="C65" t="s">
        <v>15</v>
      </c>
      <c r="D65" t="s">
        <v>16</v>
      </c>
      <c r="F65" s="6" t="str">
        <f t="shared" si="0"/>
        <v/>
      </c>
      <c r="G65" s="11">
        <v>46029</v>
      </c>
      <c r="H65" s="12">
        <v>0.76736111111111116</v>
      </c>
      <c r="I65" s="11">
        <v>46024</v>
      </c>
      <c r="J65" s="1">
        <v>46024</v>
      </c>
      <c r="K65" s="1">
        <v>46041</v>
      </c>
      <c r="L65" t="s">
        <v>139</v>
      </c>
      <c r="M65" t="s">
        <v>86</v>
      </c>
      <c r="N65" t="s">
        <v>21</v>
      </c>
      <c r="O65" t="s">
        <v>18</v>
      </c>
      <c r="P65">
        <v>23923</v>
      </c>
      <c r="Q65" t="s">
        <v>19</v>
      </c>
      <c r="R65">
        <v>34479</v>
      </c>
      <c r="S65" t="str">
        <f>VLOOKUP(L65&amp;TEXT(I65,"mmmm")&amp;YEAR(I65),'[1]Detalle C-Fecha'!$D$2:$E$15921,2,FALSE)</f>
        <v>CMQ_TTE - QUILMES TTE</v>
      </c>
    </row>
    <row r="66" spans="1:19" x14ac:dyDescent="0.3">
      <c r="A66">
        <v>27311</v>
      </c>
      <c r="B66" t="s">
        <v>28</v>
      </c>
      <c r="C66" t="s">
        <v>15</v>
      </c>
      <c r="D66" t="s">
        <v>16</v>
      </c>
      <c r="F66" s="6" t="str">
        <f t="shared" si="0"/>
        <v/>
      </c>
      <c r="G66" s="11">
        <v>46029</v>
      </c>
      <c r="H66" s="12">
        <v>0.76736111111111116</v>
      </c>
      <c r="I66" s="11">
        <v>46024</v>
      </c>
      <c r="J66" s="1">
        <v>46024</v>
      </c>
      <c r="K66" s="1">
        <v>46041</v>
      </c>
      <c r="L66" t="s">
        <v>139</v>
      </c>
      <c r="M66" t="s">
        <v>86</v>
      </c>
      <c r="N66" t="s">
        <v>21</v>
      </c>
      <c r="O66" t="s">
        <v>18</v>
      </c>
      <c r="P66">
        <v>23923</v>
      </c>
      <c r="Q66" t="s">
        <v>19</v>
      </c>
      <c r="R66">
        <v>34622</v>
      </c>
      <c r="S66" t="str">
        <f>VLOOKUP(L66&amp;TEXT(I66,"mmmm")&amp;YEAR(I66),'[1]Detalle C-Fecha'!$D$2:$E$15921,2,FALSE)</f>
        <v>CMQ_TTE - QUILMES TTE</v>
      </c>
    </row>
    <row r="67" spans="1:19" x14ac:dyDescent="0.3">
      <c r="A67">
        <v>27314</v>
      </c>
      <c r="B67" t="s">
        <v>28</v>
      </c>
      <c r="C67" t="s">
        <v>15</v>
      </c>
      <c r="D67" t="s">
        <v>16</v>
      </c>
      <c r="E67" t="s">
        <v>121</v>
      </c>
      <c r="F67" s="6" t="str">
        <f t="shared" ref="F67:F130" si="1">MID(E67,1,3)</f>
        <v>2MC</v>
      </c>
      <c r="G67" s="11">
        <v>46029</v>
      </c>
      <c r="H67" s="12">
        <v>0.83750000000000002</v>
      </c>
      <c r="I67" s="11">
        <v>46029</v>
      </c>
      <c r="J67" s="1">
        <v>46029</v>
      </c>
      <c r="K67" s="1">
        <v>46041</v>
      </c>
      <c r="L67" t="s">
        <v>99</v>
      </c>
      <c r="M67" t="s">
        <v>88</v>
      </c>
      <c r="N67" t="s">
        <v>21</v>
      </c>
      <c r="O67" t="s">
        <v>18</v>
      </c>
      <c r="P67">
        <v>23926</v>
      </c>
      <c r="Q67" t="s">
        <v>19</v>
      </c>
      <c r="R67">
        <v>34517</v>
      </c>
      <c r="S67" t="str">
        <f>VLOOKUP(L67&amp;TEXT(I67,"mmmm")&amp;YEAR(I67),'[1]Detalle C-Fecha'!$D$2:$E$15921,2,FALSE)</f>
        <v>CMQ_TTE - QUILMES TTE</v>
      </c>
    </row>
    <row r="68" spans="1:19" x14ac:dyDescent="0.3">
      <c r="A68">
        <v>27314</v>
      </c>
      <c r="B68" t="s">
        <v>28</v>
      </c>
      <c r="C68" t="s">
        <v>15</v>
      </c>
      <c r="D68" t="s">
        <v>16</v>
      </c>
      <c r="E68" t="s">
        <v>121</v>
      </c>
      <c r="F68" s="6" t="str">
        <f t="shared" si="1"/>
        <v>2MC</v>
      </c>
      <c r="G68" s="11">
        <v>46029</v>
      </c>
      <c r="H68" s="12">
        <v>0.83750000000000002</v>
      </c>
      <c r="I68" s="11">
        <v>46029</v>
      </c>
      <c r="J68" s="1">
        <v>46029</v>
      </c>
      <c r="K68" s="1">
        <v>46041</v>
      </c>
      <c r="L68" t="s">
        <v>99</v>
      </c>
      <c r="M68" t="s">
        <v>88</v>
      </c>
      <c r="N68" t="s">
        <v>21</v>
      </c>
      <c r="O68" t="s">
        <v>18</v>
      </c>
      <c r="P68">
        <v>23926</v>
      </c>
      <c r="Q68" t="s">
        <v>19</v>
      </c>
      <c r="R68">
        <v>34622</v>
      </c>
      <c r="S68" t="str">
        <f>VLOOKUP(L68&amp;TEXT(I68,"mmmm")&amp;YEAR(I68),'[1]Detalle C-Fecha'!$D$2:$E$15921,2,FALSE)</f>
        <v>CMQ_TTE - QUILMES TTE</v>
      </c>
    </row>
    <row r="69" spans="1:19" x14ac:dyDescent="0.3">
      <c r="A69">
        <v>27315</v>
      </c>
      <c r="B69" t="s">
        <v>28</v>
      </c>
      <c r="C69" t="s">
        <v>15</v>
      </c>
      <c r="D69" t="s">
        <v>16</v>
      </c>
      <c r="E69" t="s">
        <v>53</v>
      </c>
      <c r="F69" s="6" t="str">
        <f t="shared" si="1"/>
        <v>3MC</v>
      </c>
      <c r="G69" s="11">
        <v>46029</v>
      </c>
      <c r="H69" s="12">
        <v>0.83750000000000002</v>
      </c>
      <c r="I69" s="11">
        <v>46029</v>
      </c>
      <c r="J69" s="1">
        <v>46029</v>
      </c>
      <c r="K69" s="1">
        <v>46041</v>
      </c>
      <c r="L69" t="s">
        <v>99</v>
      </c>
      <c r="M69" t="s">
        <v>88</v>
      </c>
      <c r="N69" t="s">
        <v>21</v>
      </c>
      <c r="O69" t="s">
        <v>18</v>
      </c>
      <c r="P69">
        <v>23927</v>
      </c>
      <c r="Q69" t="s">
        <v>19</v>
      </c>
      <c r="R69">
        <v>34518</v>
      </c>
      <c r="S69" t="str">
        <f>VLOOKUP(L69&amp;TEXT(I69,"mmmm")&amp;YEAR(I69),'[1]Detalle C-Fecha'!$D$2:$E$15921,2,FALSE)</f>
        <v>CMQ_TTE - QUILMES TTE</v>
      </c>
    </row>
    <row r="70" spans="1:19" x14ac:dyDescent="0.3">
      <c r="A70">
        <v>27315</v>
      </c>
      <c r="B70" t="s">
        <v>28</v>
      </c>
      <c r="C70" t="s">
        <v>15</v>
      </c>
      <c r="D70" t="s">
        <v>16</v>
      </c>
      <c r="E70" t="s">
        <v>53</v>
      </c>
      <c r="F70" s="6" t="str">
        <f t="shared" si="1"/>
        <v>3MC</v>
      </c>
      <c r="G70" s="11">
        <v>46029</v>
      </c>
      <c r="H70" s="12">
        <v>0.83750000000000002</v>
      </c>
      <c r="I70" s="11">
        <v>46029</v>
      </c>
      <c r="J70" s="1">
        <v>46029</v>
      </c>
      <c r="K70" s="1">
        <v>46041</v>
      </c>
      <c r="L70" t="s">
        <v>99</v>
      </c>
      <c r="M70" t="s">
        <v>88</v>
      </c>
      <c r="N70" t="s">
        <v>21</v>
      </c>
      <c r="O70" t="s">
        <v>18</v>
      </c>
      <c r="P70">
        <v>23927</v>
      </c>
      <c r="Q70" t="s">
        <v>19</v>
      </c>
      <c r="R70">
        <v>34622</v>
      </c>
      <c r="S70" t="str">
        <f>VLOOKUP(L70&amp;TEXT(I70,"mmmm")&amp;YEAR(I70),'[1]Detalle C-Fecha'!$D$2:$E$15921,2,FALSE)</f>
        <v>CMQ_TTE - QUILMES TTE</v>
      </c>
    </row>
    <row r="71" spans="1:19" x14ac:dyDescent="0.3">
      <c r="A71">
        <v>27316</v>
      </c>
      <c r="B71" t="s">
        <v>28</v>
      </c>
      <c r="C71" t="s">
        <v>15</v>
      </c>
      <c r="D71" t="s">
        <v>16</v>
      </c>
      <c r="E71" t="s">
        <v>111</v>
      </c>
      <c r="F71" s="6" t="str">
        <f t="shared" si="1"/>
        <v>6MC</v>
      </c>
      <c r="G71" s="11">
        <v>46029</v>
      </c>
      <c r="H71" s="12">
        <v>0.83750000000000002</v>
      </c>
      <c r="I71" s="11">
        <v>46029</v>
      </c>
      <c r="J71" s="1">
        <v>46029</v>
      </c>
      <c r="K71" s="1">
        <v>46041</v>
      </c>
      <c r="L71" t="s">
        <v>99</v>
      </c>
      <c r="M71" t="s">
        <v>88</v>
      </c>
      <c r="N71" t="s">
        <v>21</v>
      </c>
      <c r="O71" t="s">
        <v>18</v>
      </c>
      <c r="P71">
        <v>23928</v>
      </c>
      <c r="Q71" t="s">
        <v>19</v>
      </c>
      <c r="R71">
        <v>34519</v>
      </c>
      <c r="S71" t="str">
        <f>VLOOKUP(L71&amp;TEXT(I71,"mmmm")&amp;YEAR(I71),'[1]Detalle C-Fecha'!$D$2:$E$15921,2,FALSE)</f>
        <v>CMQ_TTE - QUILMES TTE</v>
      </c>
    </row>
    <row r="72" spans="1:19" x14ac:dyDescent="0.3">
      <c r="A72">
        <v>27316</v>
      </c>
      <c r="B72" t="s">
        <v>28</v>
      </c>
      <c r="C72" t="s">
        <v>15</v>
      </c>
      <c r="D72" t="s">
        <v>16</v>
      </c>
      <c r="E72" t="s">
        <v>111</v>
      </c>
      <c r="F72" s="6" t="str">
        <f t="shared" si="1"/>
        <v>6MC</v>
      </c>
      <c r="G72" s="11">
        <v>46029</v>
      </c>
      <c r="H72" s="12">
        <v>0.83750000000000002</v>
      </c>
      <c r="I72" s="11">
        <v>46029</v>
      </c>
      <c r="J72" s="1">
        <v>46029</v>
      </c>
      <c r="K72" s="1">
        <v>46041</v>
      </c>
      <c r="L72" t="s">
        <v>99</v>
      </c>
      <c r="M72" t="s">
        <v>88</v>
      </c>
      <c r="N72" t="s">
        <v>21</v>
      </c>
      <c r="O72" t="s">
        <v>18</v>
      </c>
      <c r="P72">
        <v>23928</v>
      </c>
      <c r="Q72" t="s">
        <v>19</v>
      </c>
      <c r="R72">
        <v>34622</v>
      </c>
      <c r="S72" t="str">
        <f>VLOOKUP(L72&amp;TEXT(I72,"mmmm")&amp;YEAR(I72),'[1]Detalle C-Fecha'!$D$2:$E$15921,2,FALSE)</f>
        <v>CMQ_TTE - QUILMES TTE</v>
      </c>
    </row>
    <row r="73" spans="1:19" x14ac:dyDescent="0.3">
      <c r="A73">
        <v>27321</v>
      </c>
      <c r="B73" t="s">
        <v>28</v>
      </c>
      <c r="C73" t="s">
        <v>15</v>
      </c>
      <c r="D73" t="s">
        <v>16</v>
      </c>
      <c r="E73" t="s">
        <v>115</v>
      </c>
      <c r="F73" s="6" t="str">
        <f t="shared" si="1"/>
        <v>2ML</v>
      </c>
      <c r="G73" s="11">
        <v>46030</v>
      </c>
      <c r="H73" s="12">
        <v>0.31666666666666665</v>
      </c>
      <c r="I73" s="11">
        <v>46030</v>
      </c>
      <c r="J73" s="1">
        <v>46030</v>
      </c>
      <c r="K73" s="1">
        <v>46041</v>
      </c>
      <c r="L73" t="s">
        <v>104</v>
      </c>
      <c r="M73" t="s">
        <v>37</v>
      </c>
      <c r="N73" t="s">
        <v>21</v>
      </c>
      <c r="O73" t="s">
        <v>24</v>
      </c>
      <c r="P73">
        <v>23933</v>
      </c>
      <c r="Q73" t="s">
        <v>19</v>
      </c>
      <c r="R73">
        <v>34522</v>
      </c>
      <c r="S73" t="str">
        <f>VLOOKUP(L73&amp;TEXT(I73,"mmmm")&amp;YEAR(I73),'[1]Detalle C-Fecha'!$D$2:$E$15921,2,FALSE)</f>
        <v>ADA_CH - Danone Arg. S.A. - Chascomus</v>
      </c>
    </row>
    <row r="74" spans="1:19" x14ac:dyDescent="0.3">
      <c r="A74">
        <v>27321</v>
      </c>
      <c r="B74" t="s">
        <v>28</v>
      </c>
      <c r="C74" t="s">
        <v>15</v>
      </c>
      <c r="D74" t="s">
        <v>16</v>
      </c>
      <c r="E74" t="s">
        <v>115</v>
      </c>
      <c r="F74" s="6" t="str">
        <f t="shared" si="1"/>
        <v>2ML</v>
      </c>
      <c r="G74" s="11">
        <v>46030</v>
      </c>
      <c r="H74" s="12">
        <v>0.31666666666666665</v>
      </c>
      <c r="I74" s="11">
        <v>46030</v>
      </c>
      <c r="J74" s="1">
        <v>46030</v>
      </c>
      <c r="K74" s="1">
        <v>46041</v>
      </c>
      <c r="L74" t="s">
        <v>104</v>
      </c>
      <c r="M74" t="s">
        <v>37</v>
      </c>
      <c r="N74" t="s">
        <v>21</v>
      </c>
      <c r="O74" t="s">
        <v>24</v>
      </c>
      <c r="P74">
        <v>23933</v>
      </c>
      <c r="Q74" t="s">
        <v>19</v>
      </c>
      <c r="R74">
        <v>34623</v>
      </c>
      <c r="S74" t="str">
        <f>VLOOKUP(L74&amp;TEXT(I74,"mmmm")&amp;YEAR(I74),'[1]Detalle C-Fecha'!$D$2:$E$15921,2,FALSE)</f>
        <v>ADA_CH - Danone Arg. S.A. - Chascomus</v>
      </c>
    </row>
    <row r="75" spans="1:19" x14ac:dyDescent="0.3">
      <c r="A75">
        <v>27322</v>
      </c>
      <c r="B75" t="s">
        <v>28</v>
      </c>
      <c r="C75" t="s">
        <v>15</v>
      </c>
      <c r="D75" t="s">
        <v>16</v>
      </c>
      <c r="E75" t="s">
        <v>116</v>
      </c>
      <c r="F75" s="6" t="str">
        <f t="shared" si="1"/>
        <v>3ML</v>
      </c>
      <c r="G75" s="11">
        <v>46030</v>
      </c>
      <c r="H75" s="12">
        <v>0.31666666666666665</v>
      </c>
      <c r="I75" s="11">
        <v>46030</v>
      </c>
      <c r="J75" s="1">
        <v>46030</v>
      </c>
      <c r="K75" s="1">
        <v>46041</v>
      </c>
      <c r="L75" t="s">
        <v>104</v>
      </c>
      <c r="M75" t="s">
        <v>37</v>
      </c>
      <c r="N75" t="s">
        <v>21</v>
      </c>
      <c r="O75" t="s">
        <v>24</v>
      </c>
      <c r="P75">
        <v>23934</v>
      </c>
      <c r="Q75" t="s">
        <v>19</v>
      </c>
      <c r="R75">
        <v>34523</v>
      </c>
      <c r="S75" t="str">
        <f>VLOOKUP(L75&amp;TEXT(I75,"mmmm")&amp;YEAR(I75),'[1]Detalle C-Fecha'!$D$2:$E$15921,2,FALSE)</f>
        <v>ADA_CH - Danone Arg. S.A. - Chascomus</v>
      </c>
    </row>
    <row r="76" spans="1:19" x14ac:dyDescent="0.3">
      <c r="A76">
        <v>27322</v>
      </c>
      <c r="B76" t="s">
        <v>28</v>
      </c>
      <c r="C76" t="s">
        <v>15</v>
      </c>
      <c r="D76" t="s">
        <v>16</v>
      </c>
      <c r="E76" t="s">
        <v>116</v>
      </c>
      <c r="F76" s="6" t="str">
        <f t="shared" si="1"/>
        <v>3ML</v>
      </c>
      <c r="G76" s="11">
        <v>46030</v>
      </c>
      <c r="H76" s="12">
        <v>0.31666666666666665</v>
      </c>
      <c r="I76" s="11">
        <v>46030</v>
      </c>
      <c r="J76" s="1">
        <v>46030</v>
      </c>
      <c r="K76" s="1">
        <v>46041</v>
      </c>
      <c r="L76" t="s">
        <v>104</v>
      </c>
      <c r="M76" t="s">
        <v>37</v>
      </c>
      <c r="N76" t="s">
        <v>21</v>
      </c>
      <c r="O76" t="s">
        <v>24</v>
      </c>
      <c r="P76">
        <v>23934</v>
      </c>
      <c r="Q76" t="s">
        <v>19</v>
      </c>
      <c r="R76">
        <v>34623</v>
      </c>
      <c r="S76" t="str">
        <f>VLOOKUP(L76&amp;TEXT(I76,"mmmm")&amp;YEAR(I76),'[1]Detalle C-Fecha'!$D$2:$E$15921,2,FALSE)</f>
        <v>ADA_CH - Danone Arg. S.A. - Chascomus</v>
      </c>
    </row>
    <row r="77" spans="1:19" x14ac:dyDescent="0.3">
      <c r="A77">
        <v>27323</v>
      </c>
      <c r="B77" t="s">
        <v>28</v>
      </c>
      <c r="C77" t="s">
        <v>15</v>
      </c>
      <c r="D77" t="s">
        <v>16</v>
      </c>
      <c r="E77" t="s">
        <v>117</v>
      </c>
      <c r="F77" s="6" t="str">
        <f t="shared" si="1"/>
        <v>6ML</v>
      </c>
      <c r="G77" s="11">
        <v>46030</v>
      </c>
      <c r="H77" s="12">
        <v>0.31666666666666665</v>
      </c>
      <c r="I77" s="11">
        <v>46030</v>
      </c>
      <c r="J77" s="1">
        <v>46030</v>
      </c>
      <c r="K77" s="1">
        <v>46041</v>
      </c>
      <c r="L77" t="s">
        <v>104</v>
      </c>
      <c r="M77" t="s">
        <v>37</v>
      </c>
      <c r="N77" t="s">
        <v>21</v>
      </c>
      <c r="O77" t="s">
        <v>24</v>
      </c>
      <c r="P77">
        <v>23935</v>
      </c>
      <c r="Q77" t="s">
        <v>19</v>
      </c>
      <c r="R77">
        <v>34524</v>
      </c>
      <c r="S77" t="str">
        <f>VLOOKUP(L77&amp;TEXT(I77,"mmmm")&amp;YEAR(I77),'[1]Detalle C-Fecha'!$D$2:$E$15921,2,FALSE)</f>
        <v>ADA_CH - Danone Arg. S.A. - Chascomus</v>
      </c>
    </row>
    <row r="78" spans="1:19" x14ac:dyDescent="0.3">
      <c r="A78">
        <v>27323</v>
      </c>
      <c r="B78" t="s">
        <v>28</v>
      </c>
      <c r="C78" t="s">
        <v>15</v>
      </c>
      <c r="D78" t="s">
        <v>16</v>
      </c>
      <c r="E78" t="s">
        <v>117</v>
      </c>
      <c r="F78" s="6" t="str">
        <f t="shared" si="1"/>
        <v>6ML</v>
      </c>
      <c r="G78" s="11">
        <v>46030</v>
      </c>
      <c r="H78" s="12">
        <v>0.31666666666666665</v>
      </c>
      <c r="I78" s="11">
        <v>46030</v>
      </c>
      <c r="J78" s="1">
        <v>46030</v>
      </c>
      <c r="K78" s="1">
        <v>46041</v>
      </c>
      <c r="L78" t="s">
        <v>104</v>
      </c>
      <c r="M78" t="s">
        <v>37</v>
      </c>
      <c r="N78" t="s">
        <v>21</v>
      </c>
      <c r="O78" t="s">
        <v>24</v>
      </c>
      <c r="P78">
        <v>23935</v>
      </c>
      <c r="Q78" t="s">
        <v>19</v>
      </c>
      <c r="R78">
        <v>34623</v>
      </c>
      <c r="S78" t="str">
        <f>VLOOKUP(L78&amp;TEXT(I78,"mmmm")&amp;YEAR(I78),'[1]Detalle C-Fecha'!$D$2:$E$15921,2,FALSE)</f>
        <v>ADA_CH - Danone Arg. S.A. - Chascomus</v>
      </c>
    </row>
    <row r="79" spans="1:19" x14ac:dyDescent="0.3">
      <c r="A79">
        <v>27499</v>
      </c>
      <c r="B79" t="s">
        <v>28</v>
      </c>
      <c r="C79" t="s">
        <v>15</v>
      </c>
      <c r="D79" t="s">
        <v>16</v>
      </c>
      <c r="E79" t="s">
        <v>115</v>
      </c>
      <c r="F79" s="6" t="str">
        <f t="shared" si="1"/>
        <v>2ML</v>
      </c>
      <c r="G79" s="11">
        <v>46031</v>
      </c>
      <c r="H79" s="12">
        <v>0.51180555555555551</v>
      </c>
      <c r="I79" s="11">
        <v>46031</v>
      </c>
      <c r="J79" s="1">
        <v>46031</v>
      </c>
      <c r="K79" s="1">
        <v>46041</v>
      </c>
      <c r="L79" t="s">
        <v>96</v>
      </c>
      <c r="M79" t="s">
        <v>37</v>
      </c>
      <c r="N79" t="s">
        <v>21</v>
      </c>
      <c r="O79" t="s">
        <v>24</v>
      </c>
      <c r="P79">
        <v>24043</v>
      </c>
      <c r="Q79" t="s">
        <v>19</v>
      </c>
      <c r="R79">
        <v>34533</v>
      </c>
      <c r="S79" t="str">
        <f>VLOOKUP(L79&amp;TEXT(I79,"mmmm")&amp;YEAR(I79),'[1]Detalle C-Fecha'!$D$2:$E$15921,2,FALSE)</f>
        <v>ADA_CH - Danone Arg. S.A. - Chascomus</v>
      </c>
    </row>
    <row r="80" spans="1:19" x14ac:dyDescent="0.3">
      <c r="A80">
        <v>27499</v>
      </c>
      <c r="B80" t="s">
        <v>28</v>
      </c>
      <c r="C80" t="s">
        <v>15</v>
      </c>
      <c r="D80" t="s">
        <v>16</v>
      </c>
      <c r="E80" t="s">
        <v>115</v>
      </c>
      <c r="F80" s="6" t="str">
        <f t="shared" si="1"/>
        <v>2ML</v>
      </c>
      <c r="G80" s="11">
        <v>46031</v>
      </c>
      <c r="H80" s="12">
        <v>0.51180555555555551</v>
      </c>
      <c r="I80" s="11">
        <v>46031</v>
      </c>
      <c r="J80" s="1">
        <v>46031</v>
      </c>
      <c r="K80" s="1">
        <v>46041</v>
      </c>
      <c r="L80" t="s">
        <v>96</v>
      </c>
      <c r="M80" t="s">
        <v>37</v>
      </c>
      <c r="N80" t="s">
        <v>21</v>
      </c>
      <c r="O80" t="s">
        <v>24</v>
      </c>
      <c r="P80">
        <v>24043</v>
      </c>
      <c r="Q80" t="s">
        <v>19</v>
      </c>
      <c r="R80">
        <v>34623</v>
      </c>
      <c r="S80" t="str">
        <f>VLOOKUP(L80&amp;TEXT(I80,"mmmm")&amp;YEAR(I80),'[1]Detalle C-Fecha'!$D$2:$E$15921,2,FALSE)</f>
        <v>ADA_CH - Danone Arg. S.A. - Chascomus</v>
      </c>
    </row>
    <row r="81" spans="1:19" x14ac:dyDescent="0.3">
      <c r="A81">
        <v>27500</v>
      </c>
      <c r="B81" t="s">
        <v>28</v>
      </c>
      <c r="C81" t="s">
        <v>15</v>
      </c>
      <c r="D81" t="s">
        <v>16</v>
      </c>
      <c r="E81" t="s">
        <v>116</v>
      </c>
      <c r="F81" s="6" t="str">
        <f t="shared" si="1"/>
        <v>3ML</v>
      </c>
      <c r="G81" s="11">
        <v>46031</v>
      </c>
      <c r="H81" s="12">
        <v>0.51180555555555551</v>
      </c>
      <c r="I81" s="11">
        <v>46031</v>
      </c>
      <c r="J81" s="1">
        <v>46031</v>
      </c>
      <c r="K81" s="1">
        <v>46041</v>
      </c>
      <c r="L81" t="s">
        <v>96</v>
      </c>
      <c r="M81" t="s">
        <v>37</v>
      </c>
      <c r="N81" t="s">
        <v>21</v>
      </c>
      <c r="O81" t="s">
        <v>24</v>
      </c>
      <c r="P81">
        <v>24044</v>
      </c>
      <c r="Q81" t="s">
        <v>19</v>
      </c>
      <c r="R81">
        <v>34534</v>
      </c>
      <c r="S81" t="str">
        <f>VLOOKUP(L81&amp;TEXT(I81,"mmmm")&amp;YEAR(I81),'[1]Detalle C-Fecha'!$D$2:$E$15921,2,FALSE)</f>
        <v>ADA_CH - Danone Arg. S.A. - Chascomus</v>
      </c>
    </row>
    <row r="82" spans="1:19" x14ac:dyDescent="0.3">
      <c r="A82">
        <v>27500</v>
      </c>
      <c r="B82" t="s">
        <v>28</v>
      </c>
      <c r="C82" t="s">
        <v>15</v>
      </c>
      <c r="D82" t="s">
        <v>16</v>
      </c>
      <c r="E82" t="s">
        <v>116</v>
      </c>
      <c r="F82" s="6" t="str">
        <f t="shared" si="1"/>
        <v>3ML</v>
      </c>
      <c r="G82" s="11">
        <v>46031</v>
      </c>
      <c r="H82" s="12">
        <v>0.51180555555555551</v>
      </c>
      <c r="I82" s="11">
        <v>46031</v>
      </c>
      <c r="J82" s="1">
        <v>46031</v>
      </c>
      <c r="K82" s="1">
        <v>46041</v>
      </c>
      <c r="L82" t="s">
        <v>96</v>
      </c>
      <c r="M82" t="s">
        <v>37</v>
      </c>
      <c r="N82" t="s">
        <v>21</v>
      </c>
      <c r="O82" t="s">
        <v>24</v>
      </c>
      <c r="P82">
        <v>24044</v>
      </c>
      <c r="Q82" t="s">
        <v>19</v>
      </c>
      <c r="R82">
        <v>34623</v>
      </c>
      <c r="S82" t="str">
        <f>VLOOKUP(L82&amp;TEXT(I82,"mmmm")&amp;YEAR(I82),'[1]Detalle C-Fecha'!$D$2:$E$15921,2,FALSE)</f>
        <v>ADA_CH - Danone Arg. S.A. - Chascomus</v>
      </c>
    </row>
    <row r="83" spans="1:19" x14ac:dyDescent="0.3">
      <c r="A83">
        <v>27501</v>
      </c>
      <c r="B83" t="s">
        <v>28</v>
      </c>
      <c r="C83" t="s">
        <v>15</v>
      </c>
      <c r="D83" t="s">
        <v>16</v>
      </c>
      <c r="E83" t="s">
        <v>117</v>
      </c>
      <c r="F83" s="6" t="str">
        <f t="shared" si="1"/>
        <v>6ML</v>
      </c>
      <c r="G83" s="11">
        <v>46031</v>
      </c>
      <c r="H83" s="12">
        <v>0.51180555555555551</v>
      </c>
      <c r="I83" s="11">
        <v>46031</v>
      </c>
      <c r="J83" s="1">
        <v>46031</v>
      </c>
      <c r="K83" s="1">
        <v>46041</v>
      </c>
      <c r="L83" t="s">
        <v>96</v>
      </c>
      <c r="M83" t="s">
        <v>37</v>
      </c>
      <c r="N83" t="s">
        <v>21</v>
      </c>
      <c r="O83" t="s">
        <v>24</v>
      </c>
      <c r="P83">
        <v>24045</v>
      </c>
      <c r="Q83" t="s">
        <v>19</v>
      </c>
      <c r="R83">
        <v>34535</v>
      </c>
      <c r="S83" t="str">
        <f>VLOOKUP(L83&amp;TEXT(I83,"mmmm")&amp;YEAR(I83),'[1]Detalle C-Fecha'!$D$2:$E$15921,2,FALSE)</f>
        <v>ADA_CH - Danone Arg. S.A. - Chascomus</v>
      </c>
    </row>
    <row r="84" spans="1:19" x14ac:dyDescent="0.3">
      <c r="A84">
        <v>27501</v>
      </c>
      <c r="B84" t="s">
        <v>28</v>
      </c>
      <c r="C84" t="s">
        <v>15</v>
      </c>
      <c r="D84" t="s">
        <v>16</v>
      </c>
      <c r="E84" t="s">
        <v>117</v>
      </c>
      <c r="F84" s="6" t="str">
        <f t="shared" si="1"/>
        <v>6ML</v>
      </c>
      <c r="G84" s="11">
        <v>46031</v>
      </c>
      <c r="H84" s="12">
        <v>0.51180555555555551</v>
      </c>
      <c r="I84" s="11">
        <v>46031</v>
      </c>
      <c r="J84" s="1">
        <v>46031</v>
      </c>
      <c r="K84" s="1">
        <v>46041</v>
      </c>
      <c r="L84" t="s">
        <v>96</v>
      </c>
      <c r="M84" t="s">
        <v>37</v>
      </c>
      <c r="N84" t="s">
        <v>21</v>
      </c>
      <c r="O84" t="s">
        <v>24</v>
      </c>
      <c r="P84">
        <v>24045</v>
      </c>
      <c r="Q84" t="s">
        <v>19</v>
      </c>
      <c r="R84">
        <v>34623</v>
      </c>
      <c r="S84" t="str">
        <f>VLOOKUP(L84&amp;TEXT(I84,"mmmm")&amp;YEAR(I84),'[1]Detalle C-Fecha'!$D$2:$E$15921,2,FALSE)</f>
        <v>ADA_CH - Danone Arg. S.A. - Chascomus</v>
      </c>
    </row>
    <row r="85" spans="1:19" x14ac:dyDescent="0.3">
      <c r="A85">
        <v>27510</v>
      </c>
      <c r="B85" t="s">
        <v>28</v>
      </c>
      <c r="C85" t="s">
        <v>15</v>
      </c>
      <c r="D85" t="s">
        <v>16</v>
      </c>
      <c r="E85" t="s">
        <v>108</v>
      </c>
      <c r="F85" s="6" t="str">
        <f t="shared" si="1"/>
        <v>2MU</v>
      </c>
      <c r="G85" s="11">
        <v>46031</v>
      </c>
      <c r="H85" s="12">
        <v>0.63750000000000007</v>
      </c>
      <c r="I85" s="11">
        <v>46031</v>
      </c>
      <c r="J85" s="1">
        <v>46031</v>
      </c>
      <c r="K85" s="1">
        <v>46031</v>
      </c>
      <c r="L85" t="s">
        <v>32</v>
      </c>
      <c r="M85" t="s">
        <v>33</v>
      </c>
      <c r="N85" t="s">
        <v>17</v>
      </c>
      <c r="S85" t="str">
        <f>VLOOKUP(L85&amp;TEXT(I85,"mmmm")&amp;YEAR(I85),'[1]Detalle C-Fecha'!$D$2:$E$15921,2,FALSE)</f>
        <v>CIMSA_MZA</v>
      </c>
    </row>
    <row r="86" spans="1:19" x14ac:dyDescent="0.3">
      <c r="A86">
        <v>27512</v>
      </c>
      <c r="B86" t="s">
        <v>28</v>
      </c>
      <c r="C86" t="s">
        <v>15</v>
      </c>
      <c r="D86" t="s">
        <v>16</v>
      </c>
      <c r="E86" t="s">
        <v>109</v>
      </c>
      <c r="F86" s="6" t="str">
        <f t="shared" si="1"/>
        <v>3MU</v>
      </c>
      <c r="G86" s="11">
        <v>46031</v>
      </c>
      <c r="H86" s="12">
        <v>0.64027777777777783</v>
      </c>
      <c r="I86" s="11">
        <v>46031</v>
      </c>
      <c r="J86" s="1">
        <v>46031</v>
      </c>
      <c r="K86" s="1">
        <v>46031</v>
      </c>
      <c r="L86" t="s">
        <v>32</v>
      </c>
      <c r="M86" t="s">
        <v>33</v>
      </c>
      <c r="N86" t="s">
        <v>17</v>
      </c>
      <c r="S86" t="str">
        <f>VLOOKUP(L86&amp;TEXT(I86,"mmmm")&amp;YEAR(I86),'[1]Detalle C-Fecha'!$D$2:$E$15921,2,FALSE)</f>
        <v>CIMSA_MZA</v>
      </c>
    </row>
    <row r="87" spans="1:19" x14ac:dyDescent="0.3">
      <c r="A87">
        <v>27513</v>
      </c>
      <c r="B87" t="s">
        <v>28</v>
      </c>
      <c r="C87" t="s">
        <v>15</v>
      </c>
      <c r="D87" t="s">
        <v>16</v>
      </c>
      <c r="E87" t="s">
        <v>107</v>
      </c>
      <c r="F87" s="6" t="str">
        <f t="shared" si="1"/>
        <v>4MU</v>
      </c>
      <c r="G87" s="11">
        <v>46031</v>
      </c>
      <c r="H87" s="12">
        <v>0.6430555555555556</v>
      </c>
      <c r="I87" s="11">
        <v>46031</v>
      </c>
      <c r="J87" s="1">
        <v>46031</v>
      </c>
      <c r="K87" s="1">
        <v>46031</v>
      </c>
      <c r="L87" t="s">
        <v>32</v>
      </c>
      <c r="M87" t="s">
        <v>33</v>
      </c>
      <c r="N87" t="s">
        <v>17</v>
      </c>
      <c r="S87" t="str">
        <f>VLOOKUP(L87&amp;TEXT(I87,"mmmm")&amp;YEAR(I87),'[1]Detalle C-Fecha'!$D$2:$E$15921,2,FALSE)</f>
        <v>CIMSA_MZA</v>
      </c>
    </row>
    <row r="88" spans="1:19" x14ac:dyDescent="0.3">
      <c r="A88">
        <v>27514</v>
      </c>
      <c r="B88" t="s">
        <v>28</v>
      </c>
      <c r="C88" t="s">
        <v>15</v>
      </c>
      <c r="D88" t="s">
        <v>16</v>
      </c>
      <c r="E88" t="s">
        <v>110</v>
      </c>
      <c r="F88" s="6" t="str">
        <f t="shared" si="1"/>
        <v>5MU</v>
      </c>
      <c r="G88" s="11">
        <v>46031</v>
      </c>
      <c r="H88" s="12">
        <v>0.64513888888888882</v>
      </c>
      <c r="I88" s="11">
        <v>46031</v>
      </c>
      <c r="J88" s="1">
        <v>46031</v>
      </c>
      <c r="K88" s="1">
        <v>46031</v>
      </c>
      <c r="L88" t="s">
        <v>32</v>
      </c>
      <c r="M88" t="s">
        <v>33</v>
      </c>
      <c r="N88" t="s">
        <v>17</v>
      </c>
      <c r="S88" t="str">
        <f>VLOOKUP(L88&amp;TEXT(I88,"mmmm")&amp;YEAR(I88),'[1]Detalle C-Fecha'!$D$2:$E$15921,2,FALSE)</f>
        <v>CIMSA_MZA</v>
      </c>
    </row>
    <row r="89" spans="1:19" x14ac:dyDescent="0.3">
      <c r="A89">
        <v>27519</v>
      </c>
      <c r="B89" t="s">
        <v>28</v>
      </c>
      <c r="C89" t="s">
        <v>15</v>
      </c>
      <c r="D89" t="s">
        <v>16</v>
      </c>
      <c r="E89" t="s">
        <v>51</v>
      </c>
      <c r="F89" s="6" t="str">
        <f t="shared" si="1"/>
        <v>2MC</v>
      </c>
      <c r="G89" s="11">
        <v>46031</v>
      </c>
      <c r="H89" s="12">
        <v>0.68263888888888891</v>
      </c>
      <c r="I89" s="11">
        <v>46031</v>
      </c>
      <c r="J89" s="1">
        <v>46031</v>
      </c>
      <c r="K89" s="1">
        <v>46041</v>
      </c>
      <c r="L89" t="s">
        <v>77</v>
      </c>
      <c r="M89" t="s">
        <v>78</v>
      </c>
      <c r="N89" t="s">
        <v>21</v>
      </c>
      <c r="O89" t="s">
        <v>18</v>
      </c>
      <c r="P89">
        <v>24057</v>
      </c>
      <c r="Q89" t="s">
        <v>19</v>
      </c>
      <c r="R89">
        <v>34539</v>
      </c>
      <c r="S89" t="str">
        <f>VLOOKUP(L89&amp;TEXT(I89,"mmmm")&amp;YEAR(I89),'[1]Detalle C-Fecha'!$D$2:$E$15921,2,FALSE)</f>
        <v>CMQ_TTE - QUILMES TTE</v>
      </c>
    </row>
    <row r="90" spans="1:19" x14ac:dyDescent="0.3">
      <c r="A90">
        <v>27519</v>
      </c>
      <c r="B90" t="s">
        <v>28</v>
      </c>
      <c r="C90" t="s">
        <v>15</v>
      </c>
      <c r="D90" t="s">
        <v>16</v>
      </c>
      <c r="E90" t="s">
        <v>51</v>
      </c>
      <c r="F90" s="6" t="str">
        <f t="shared" si="1"/>
        <v>2MC</v>
      </c>
      <c r="G90" s="11">
        <v>46031</v>
      </c>
      <c r="H90" s="12">
        <v>0.68263888888888891</v>
      </c>
      <c r="I90" s="11">
        <v>46031</v>
      </c>
      <c r="J90" s="1">
        <v>46031</v>
      </c>
      <c r="K90" s="1">
        <v>46041</v>
      </c>
      <c r="L90" t="s">
        <v>77</v>
      </c>
      <c r="M90" t="s">
        <v>78</v>
      </c>
      <c r="N90" t="s">
        <v>21</v>
      </c>
      <c r="O90" t="s">
        <v>18</v>
      </c>
      <c r="P90">
        <v>24057</v>
      </c>
      <c r="Q90" t="s">
        <v>19</v>
      </c>
      <c r="R90">
        <v>34622</v>
      </c>
      <c r="S90" t="str">
        <f>VLOOKUP(L90&amp;TEXT(I90,"mmmm")&amp;YEAR(I90),'[1]Detalle C-Fecha'!$D$2:$E$15921,2,FALSE)</f>
        <v>CMQ_TTE - QUILMES TTE</v>
      </c>
    </row>
    <row r="91" spans="1:19" x14ac:dyDescent="0.3">
      <c r="A91">
        <v>27520</v>
      </c>
      <c r="B91" t="s">
        <v>28</v>
      </c>
      <c r="C91" t="s">
        <v>15</v>
      </c>
      <c r="D91" t="s">
        <v>16</v>
      </c>
      <c r="E91" t="s">
        <v>53</v>
      </c>
      <c r="F91" s="6" t="str">
        <f t="shared" si="1"/>
        <v>3MC</v>
      </c>
      <c r="G91" s="11">
        <v>46031</v>
      </c>
      <c r="H91" s="12">
        <v>0.68263888888888891</v>
      </c>
      <c r="I91" s="11">
        <v>46031</v>
      </c>
      <c r="J91" s="1">
        <v>46031</v>
      </c>
      <c r="K91" s="1">
        <v>46041</v>
      </c>
      <c r="L91" t="s">
        <v>77</v>
      </c>
      <c r="M91" t="s">
        <v>78</v>
      </c>
      <c r="N91" t="s">
        <v>21</v>
      </c>
      <c r="O91" t="s">
        <v>18</v>
      </c>
      <c r="P91">
        <v>24058</v>
      </c>
      <c r="Q91" t="s">
        <v>19</v>
      </c>
      <c r="R91">
        <v>34540</v>
      </c>
      <c r="S91" t="str">
        <f>VLOOKUP(L91&amp;TEXT(I91,"mmmm")&amp;YEAR(I91),'[1]Detalle C-Fecha'!$D$2:$E$15921,2,FALSE)</f>
        <v>CMQ_TTE - QUILMES TTE</v>
      </c>
    </row>
    <row r="92" spans="1:19" x14ac:dyDescent="0.3">
      <c r="A92">
        <v>27520</v>
      </c>
      <c r="B92" t="s">
        <v>28</v>
      </c>
      <c r="C92" t="s">
        <v>15</v>
      </c>
      <c r="D92" t="s">
        <v>16</v>
      </c>
      <c r="E92" t="s">
        <v>53</v>
      </c>
      <c r="F92" s="6" t="str">
        <f t="shared" si="1"/>
        <v>3MC</v>
      </c>
      <c r="G92" s="11">
        <v>46031</v>
      </c>
      <c r="H92" s="12">
        <v>0.68263888888888891</v>
      </c>
      <c r="I92" s="11">
        <v>46031</v>
      </c>
      <c r="J92" s="1">
        <v>46031</v>
      </c>
      <c r="K92" s="1">
        <v>46041</v>
      </c>
      <c r="L92" t="s">
        <v>77</v>
      </c>
      <c r="M92" t="s">
        <v>78</v>
      </c>
      <c r="N92" t="s">
        <v>21</v>
      </c>
      <c r="O92" t="s">
        <v>18</v>
      </c>
      <c r="P92">
        <v>24058</v>
      </c>
      <c r="Q92" t="s">
        <v>19</v>
      </c>
      <c r="R92">
        <v>34622</v>
      </c>
      <c r="S92" t="str">
        <f>VLOOKUP(L92&amp;TEXT(I92,"mmmm")&amp;YEAR(I92),'[1]Detalle C-Fecha'!$D$2:$E$15921,2,FALSE)</f>
        <v>CMQ_TTE - QUILMES TTE</v>
      </c>
    </row>
    <row r="93" spans="1:19" x14ac:dyDescent="0.3">
      <c r="A93">
        <v>27521</v>
      </c>
      <c r="B93" t="s">
        <v>28</v>
      </c>
      <c r="C93" t="s">
        <v>15</v>
      </c>
      <c r="D93" t="s">
        <v>16</v>
      </c>
      <c r="E93" t="s">
        <v>112</v>
      </c>
      <c r="F93" s="6" t="str">
        <f t="shared" si="1"/>
        <v>6MC</v>
      </c>
      <c r="G93" s="11">
        <v>46031</v>
      </c>
      <c r="H93" s="12">
        <v>0.68263888888888891</v>
      </c>
      <c r="I93" s="11">
        <v>46031</v>
      </c>
      <c r="J93" s="1">
        <v>46031</v>
      </c>
      <c r="K93" s="1">
        <v>46041</v>
      </c>
      <c r="L93" t="s">
        <v>77</v>
      </c>
      <c r="M93" t="s">
        <v>78</v>
      </c>
      <c r="N93" t="s">
        <v>21</v>
      </c>
      <c r="O93" t="s">
        <v>18</v>
      </c>
      <c r="P93">
        <v>24059</v>
      </c>
      <c r="Q93" t="s">
        <v>19</v>
      </c>
      <c r="R93">
        <v>34541</v>
      </c>
      <c r="S93" t="str">
        <f>VLOOKUP(L93&amp;TEXT(I93,"mmmm")&amp;YEAR(I93),'[1]Detalle C-Fecha'!$D$2:$E$15921,2,FALSE)</f>
        <v>CMQ_TTE - QUILMES TTE</v>
      </c>
    </row>
    <row r="94" spans="1:19" x14ac:dyDescent="0.3">
      <c r="A94">
        <v>27521</v>
      </c>
      <c r="B94" t="s">
        <v>28</v>
      </c>
      <c r="C94" t="s">
        <v>15</v>
      </c>
      <c r="D94" t="s">
        <v>16</v>
      </c>
      <c r="E94" t="s">
        <v>112</v>
      </c>
      <c r="F94" s="6" t="str">
        <f t="shared" si="1"/>
        <v>6MC</v>
      </c>
      <c r="G94" s="11">
        <v>46031</v>
      </c>
      <c r="H94" s="12">
        <v>0.68263888888888891</v>
      </c>
      <c r="I94" s="11">
        <v>46031</v>
      </c>
      <c r="J94" s="1">
        <v>46031</v>
      </c>
      <c r="K94" s="1">
        <v>46041</v>
      </c>
      <c r="L94" t="s">
        <v>77</v>
      </c>
      <c r="M94" t="s">
        <v>78</v>
      </c>
      <c r="N94" t="s">
        <v>21</v>
      </c>
      <c r="O94" t="s">
        <v>18</v>
      </c>
      <c r="P94">
        <v>24059</v>
      </c>
      <c r="Q94" t="s">
        <v>19</v>
      </c>
      <c r="R94">
        <v>34622</v>
      </c>
      <c r="S94" t="str">
        <f>VLOOKUP(L94&amp;TEXT(I94,"mmmm")&amp;YEAR(I94),'[1]Detalle C-Fecha'!$D$2:$E$15921,2,FALSE)</f>
        <v>CMQ_TTE - QUILMES TTE</v>
      </c>
    </row>
    <row r="95" spans="1:19" x14ac:dyDescent="0.3">
      <c r="A95">
        <v>27527</v>
      </c>
      <c r="B95" t="s">
        <v>28</v>
      </c>
      <c r="C95" t="s">
        <v>15</v>
      </c>
      <c r="D95" t="s">
        <v>16</v>
      </c>
      <c r="E95" t="s">
        <v>115</v>
      </c>
      <c r="F95" s="6" t="str">
        <f t="shared" si="1"/>
        <v>2ML</v>
      </c>
      <c r="G95" s="11">
        <v>46032</v>
      </c>
      <c r="H95" s="12">
        <v>0.32430555555555557</v>
      </c>
      <c r="I95" s="11">
        <v>46032</v>
      </c>
      <c r="J95" s="1">
        <v>46032</v>
      </c>
      <c r="K95" s="1">
        <v>46041</v>
      </c>
      <c r="L95" t="s">
        <v>75</v>
      </c>
      <c r="M95" t="s">
        <v>37</v>
      </c>
      <c r="N95" t="s">
        <v>21</v>
      </c>
      <c r="O95" t="s">
        <v>24</v>
      </c>
      <c r="P95">
        <v>24063</v>
      </c>
      <c r="Q95" t="s">
        <v>19</v>
      </c>
      <c r="R95">
        <v>34544</v>
      </c>
      <c r="S95" t="str">
        <f>VLOOKUP(L95&amp;TEXT(I95,"mmmm")&amp;YEAR(I95),'[1]Detalle C-Fecha'!$D$2:$E$15921,2,FALSE)</f>
        <v>ADA_CH - Danone Arg. S.A. - Chascomus</v>
      </c>
    </row>
    <row r="96" spans="1:19" x14ac:dyDescent="0.3">
      <c r="A96">
        <v>27527</v>
      </c>
      <c r="B96" t="s">
        <v>28</v>
      </c>
      <c r="C96" t="s">
        <v>15</v>
      </c>
      <c r="D96" t="s">
        <v>16</v>
      </c>
      <c r="E96" t="s">
        <v>115</v>
      </c>
      <c r="F96" s="6" t="str">
        <f t="shared" si="1"/>
        <v>2ML</v>
      </c>
      <c r="G96" s="11">
        <v>46032</v>
      </c>
      <c r="H96" s="12">
        <v>0.32430555555555557</v>
      </c>
      <c r="I96" s="11">
        <v>46032</v>
      </c>
      <c r="J96" s="1">
        <v>46032</v>
      </c>
      <c r="K96" s="1">
        <v>46041</v>
      </c>
      <c r="L96" t="s">
        <v>75</v>
      </c>
      <c r="M96" t="s">
        <v>37</v>
      </c>
      <c r="N96" t="s">
        <v>21</v>
      </c>
      <c r="O96" t="s">
        <v>24</v>
      </c>
      <c r="P96">
        <v>24063</v>
      </c>
      <c r="Q96" t="s">
        <v>19</v>
      </c>
      <c r="R96">
        <v>34623</v>
      </c>
      <c r="S96" t="str">
        <f>VLOOKUP(L96&amp;TEXT(I96,"mmmm")&amp;YEAR(I96),'[1]Detalle C-Fecha'!$D$2:$E$15921,2,FALSE)</f>
        <v>ADA_CH - Danone Arg. S.A. - Chascomus</v>
      </c>
    </row>
    <row r="97" spans="1:19" x14ac:dyDescent="0.3">
      <c r="A97">
        <v>27528</v>
      </c>
      <c r="B97" t="s">
        <v>28</v>
      </c>
      <c r="C97" t="s">
        <v>15</v>
      </c>
      <c r="D97" t="s">
        <v>16</v>
      </c>
      <c r="E97" t="s">
        <v>116</v>
      </c>
      <c r="F97" s="6" t="str">
        <f t="shared" si="1"/>
        <v>3ML</v>
      </c>
      <c r="G97" s="11">
        <v>46032</v>
      </c>
      <c r="H97" s="12">
        <v>0.32430555555555557</v>
      </c>
      <c r="I97" s="11">
        <v>46032</v>
      </c>
      <c r="J97" s="1">
        <v>46032</v>
      </c>
      <c r="K97" s="1">
        <v>46041</v>
      </c>
      <c r="L97" t="s">
        <v>75</v>
      </c>
      <c r="M97" t="s">
        <v>37</v>
      </c>
      <c r="N97" t="s">
        <v>21</v>
      </c>
      <c r="O97" t="s">
        <v>24</v>
      </c>
      <c r="P97">
        <v>24064</v>
      </c>
      <c r="Q97" t="s">
        <v>19</v>
      </c>
      <c r="R97">
        <v>34545</v>
      </c>
      <c r="S97" t="str">
        <f>VLOOKUP(L97&amp;TEXT(I97,"mmmm")&amp;YEAR(I97),'[1]Detalle C-Fecha'!$D$2:$E$15921,2,FALSE)</f>
        <v>ADA_CH - Danone Arg. S.A. - Chascomus</v>
      </c>
    </row>
    <row r="98" spans="1:19" x14ac:dyDescent="0.3">
      <c r="A98">
        <v>27528</v>
      </c>
      <c r="B98" t="s">
        <v>28</v>
      </c>
      <c r="C98" t="s">
        <v>15</v>
      </c>
      <c r="D98" t="s">
        <v>16</v>
      </c>
      <c r="E98" t="s">
        <v>116</v>
      </c>
      <c r="F98" s="6" t="str">
        <f t="shared" si="1"/>
        <v>3ML</v>
      </c>
      <c r="G98" s="11">
        <v>46032</v>
      </c>
      <c r="H98" s="12">
        <v>0.32430555555555557</v>
      </c>
      <c r="I98" s="11">
        <v>46032</v>
      </c>
      <c r="J98" s="1">
        <v>46032</v>
      </c>
      <c r="K98" s="1">
        <v>46041</v>
      </c>
      <c r="L98" t="s">
        <v>75</v>
      </c>
      <c r="M98" t="s">
        <v>37</v>
      </c>
      <c r="N98" t="s">
        <v>21</v>
      </c>
      <c r="O98" t="s">
        <v>24</v>
      </c>
      <c r="P98">
        <v>24064</v>
      </c>
      <c r="Q98" t="s">
        <v>19</v>
      </c>
      <c r="R98">
        <v>34623</v>
      </c>
      <c r="S98" t="str">
        <f>VLOOKUP(L98&amp;TEXT(I98,"mmmm")&amp;YEAR(I98),'[1]Detalle C-Fecha'!$D$2:$E$15921,2,FALSE)</f>
        <v>ADA_CH - Danone Arg. S.A. - Chascomus</v>
      </c>
    </row>
    <row r="99" spans="1:19" x14ac:dyDescent="0.3">
      <c r="A99">
        <v>27529</v>
      </c>
      <c r="B99" t="s">
        <v>28</v>
      </c>
      <c r="C99" t="s">
        <v>15</v>
      </c>
      <c r="D99" t="s">
        <v>16</v>
      </c>
      <c r="E99" t="s">
        <v>117</v>
      </c>
      <c r="F99" s="6" t="str">
        <f t="shared" si="1"/>
        <v>6ML</v>
      </c>
      <c r="G99" s="11">
        <v>46032</v>
      </c>
      <c r="H99" s="12">
        <v>0.32430555555555557</v>
      </c>
      <c r="I99" s="11">
        <v>46032</v>
      </c>
      <c r="J99" s="1">
        <v>46032</v>
      </c>
      <c r="K99" s="1">
        <v>46041</v>
      </c>
      <c r="L99" t="s">
        <v>75</v>
      </c>
      <c r="M99" t="s">
        <v>37</v>
      </c>
      <c r="N99" t="s">
        <v>21</v>
      </c>
      <c r="O99" t="s">
        <v>24</v>
      </c>
      <c r="P99">
        <v>24065</v>
      </c>
      <c r="Q99" t="s">
        <v>19</v>
      </c>
      <c r="R99">
        <v>34546</v>
      </c>
      <c r="S99" t="str">
        <f>VLOOKUP(L99&amp;TEXT(I99,"mmmm")&amp;YEAR(I99),'[1]Detalle C-Fecha'!$D$2:$E$15921,2,FALSE)</f>
        <v>ADA_CH - Danone Arg. S.A. - Chascomus</v>
      </c>
    </row>
    <row r="100" spans="1:19" x14ac:dyDescent="0.3">
      <c r="A100">
        <v>27529</v>
      </c>
      <c r="B100" t="s">
        <v>28</v>
      </c>
      <c r="C100" t="s">
        <v>15</v>
      </c>
      <c r="D100" t="s">
        <v>16</v>
      </c>
      <c r="E100" t="s">
        <v>117</v>
      </c>
      <c r="F100" s="6" t="str">
        <f t="shared" si="1"/>
        <v>6ML</v>
      </c>
      <c r="G100" s="11">
        <v>46032</v>
      </c>
      <c r="H100" s="12">
        <v>0.32430555555555557</v>
      </c>
      <c r="I100" s="11">
        <v>46032</v>
      </c>
      <c r="J100" s="1">
        <v>46032</v>
      </c>
      <c r="K100" s="1">
        <v>46041</v>
      </c>
      <c r="L100" t="s">
        <v>75</v>
      </c>
      <c r="M100" t="s">
        <v>37</v>
      </c>
      <c r="N100" t="s">
        <v>21</v>
      </c>
      <c r="O100" t="s">
        <v>24</v>
      </c>
      <c r="P100">
        <v>24065</v>
      </c>
      <c r="Q100" t="s">
        <v>19</v>
      </c>
      <c r="R100">
        <v>34623</v>
      </c>
      <c r="S100" t="str">
        <f>VLOOKUP(L100&amp;TEXT(I100,"mmmm")&amp;YEAR(I100),'[1]Detalle C-Fecha'!$D$2:$E$15921,2,FALSE)</f>
        <v>ADA_CH - Danone Arg. S.A. - Chascomus</v>
      </c>
    </row>
    <row r="101" spans="1:19" x14ac:dyDescent="0.3">
      <c r="A101">
        <v>27560</v>
      </c>
      <c r="B101" t="s">
        <v>28</v>
      </c>
      <c r="C101" t="s">
        <v>15</v>
      </c>
      <c r="D101" t="s">
        <v>16</v>
      </c>
      <c r="E101" t="s">
        <v>113</v>
      </c>
      <c r="F101" s="6" t="str">
        <f t="shared" si="1"/>
        <v>2MC</v>
      </c>
      <c r="G101" s="11">
        <v>46034</v>
      </c>
      <c r="H101" s="12">
        <v>0.63402777777777775</v>
      </c>
      <c r="I101" s="11">
        <v>46034</v>
      </c>
      <c r="J101" s="1">
        <v>46034</v>
      </c>
      <c r="K101" s="1">
        <v>46034</v>
      </c>
      <c r="L101" t="s">
        <v>98</v>
      </c>
      <c r="M101" t="s">
        <v>86</v>
      </c>
      <c r="N101" t="s">
        <v>17</v>
      </c>
      <c r="O101" t="s">
        <v>24</v>
      </c>
      <c r="P101">
        <v>24089</v>
      </c>
      <c r="Q101" t="s">
        <v>19</v>
      </c>
      <c r="R101">
        <v>34432</v>
      </c>
      <c r="S101" t="str">
        <f>VLOOKUP(L101&amp;TEXT(I101,"mmmm")&amp;YEAR(I101),'[1]Detalle C-Fecha'!$D$2:$E$15921,2,FALSE)</f>
        <v>CENCO_MZ - Cencosud SA - Mendoza</v>
      </c>
    </row>
    <row r="102" spans="1:19" x14ac:dyDescent="0.3">
      <c r="A102">
        <v>27560</v>
      </c>
      <c r="B102" t="s">
        <v>28</v>
      </c>
      <c r="C102" t="s">
        <v>15</v>
      </c>
      <c r="D102" t="s">
        <v>16</v>
      </c>
      <c r="E102" t="s">
        <v>113</v>
      </c>
      <c r="F102" s="6" t="str">
        <f t="shared" si="1"/>
        <v>2MC</v>
      </c>
      <c r="G102" s="11">
        <v>46034</v>
      </c>
      <c r="H102" s="12">
        <v>0.63402777777777775</v>
      </c>
      <c r="I102" s="11">
        <v>46034</v>
      </c>
      <c r="J102" s="1">
        <v>46034</v>
      </c>
      <c r="K102" s="1">
        <v>46034</v>
      </c>
      <c r="L102" t="s">
        <v>98</v>
      </c>
      <c r="M102" t="s">
        <v>86</v>
      </c>
      <c r="N102" t="s">
        <v>17</v>
      </c>
      <c r="O102" t="s">
        <v>24</v>
      </c>
      <c r="P102">
        <v>24089</v>
      </c>
      <c r="Q102" t="s">
        <v>19</v>
      </c>
      <c r="R102">
        <v>34433</v>
      </c>
      <c r="S102" t="str">
        <f>VLOOKUP(L102&amp;TEXT(I102,"mmmm")&amp;YEAR(I102),'[1]Detalle C-Fecha'!$D$2:$E$15921,2,FALSE)</f>
        <v>CENCO_MZ - Cencosud SA - Mendoza</v>
      </c>
    </row>
    <row r="103" spans="1:19" x14ac:dyDescent="0.3">
      <c r="A103">
        <v>27561</v>
      </c>
      <c r="B103" t="s">
        <v>28</v>
      </c>
      <c r="C103" t="s">
        <v>15</v>
      </c>
      <c r="D103" t="s">
        <v>16</v>
      </c>
      <c r="E103" t="s">
        <v>122</v>
      </c>
      <c r="F103" s="6" t="str">
        <f t="shared" si="1"/>
        <v>3MC</v>
      </c>
      <c r="G103" s="11">
        <v>46034</v>
      </c>
      <c r="H103" s="12">
        <v>0.63402777777777775</v>
      </c>
      <c r="I103" s="11">
        <v>46034</v>
      </c>
      <c r="J103" s="1">
        <v>46034</v>
      </c>
      <c r="K103" s="1">
        <v>46034</v>
      </c>
      <c r="L103" t="s">
        <v>98</v>
      </c>
      <c r="M103" t="s">
        <v>86</v>
      </c>
      <c r="N103" t="s">
        <v>17</v>
      </c>
      <c r="O103" t="s">
        <v>24</v>
      </c>
      <c r="P103">
        <v>24090</v>
      </c>
      <c r="Q103" t="s">
        <v>19</v>
      </c>
      <c r="R103">
        <v>34434</v>
      </c>
      <c r="S103" t="str">
        <f>VLOOKUP(L103&amp;TEXT(I103,"mmmm")&amp;YEAR(I103),'[1]Detalle C-Fecha'!$D$2:$E$15921,2,FALSE)</f>
        <v>CENCO_MZ - Cencosud SA - Mendoza</v>
      </c>
    </row>
    <row r="104" spans="1:19" x14ac:dyDescent="0.3">
      <c r="A104">
        <v>27561</v>
      </c>
      <c r="B104" t="s">
        <v>28</v>
      </c>
      <c r="C104" t="s">
        <v>15</v>
      </c>
      <c r="D104" t="s">
        <v>16</v>
      </c>
      <c r="E104" t="s">
        <v>122</v>
      </c>
      <c r="F104" s="6" t="str">
        <f t="shared" si="1"/>
        <v>3MC</v>
      </c>
      <c r="G104" s="11">
        <v>46034</v>
      </c>
      <c r="H104" s="12">
        <v>0.63402777777777775</v>
      </c>
      <c r="I104" s="11">
        <v>46034</v>
      </c>
      <c r="J104" s="1">
        <v>46034</v>
      </c>
      <c r="K104" s="1">
        <v>46034</v>
      </c>
      <c r="L104" t="s">
        <v>98</v>
      </c>
      <c r="M104" t="s">
        <v>86</v>
      </c>
      <c r="N104" t="s">
        <v>17</v>
      </c>
      <c r="O104" t="s">
        <v>24</v>
      </c>
      <c r="P104">
        <v>24090</v>
      </c>
      <c r="Q104" t="s">
        <v>19</v>
      </c>
      <c r="R104">
        <v>34435</v>
      </c>
      <c r="S104" t="str">
        <f>VLOOKUP(L104&amp;TEXT(I104,"mmmm")&amp;YEAR(I104),'[1]Detalle C-Fecha'!$D$2:$E$15921,2,FALSE)</f>
        <v>CENCO_MZ - Cencosud SA - Mendoza</v>
      </c>
    </row>
    <row r="105" spans="1:19" x14ac:dyDescent="0.3">
      <c r="A105">
        <v>27562</v>
      </c>
      <c r="B105" t="s">
        <v>28</v>
      </c>
      <c r="C105" t="s">
        <v>15</v>
      </c>
      <c r="D105" t="s">
        <v>16</v>
      </c>
      <c r="E105" t="s">
        <v>114</v>
      </c>
      <c r="F105" s="6" t="str">
        <f t="shared" si="1"/>
        <v>6MC</v>
      </c>
      <c r="G105" s="11">
        <v>46034</v>
      </c>
      <c r="H105" s="12">
        <v>0.63402777777777775</v>
      </c>
      <c r="I105" s="11">
        <v>46034</v>
      </c>
      <c r="J105" s="1">
        <v>46034</v>
      </c>
      <c r="K105" s="1">
        <v>46034</v>
      </c>
      <c r="L105" t="s">
        <v>98</v>
      </c>
      <c r="M105" t="s">
        <v>86</v>
      </c>
      <c r="N105" t="s">
        <v>17</v>
      </c>
      <c r="O105" t="s">
        <v>24</v>
      </c>
      <c r="P105">
        <v>24091</v>
      </c>
      <c r="Q105" t="s">
        <v>19</v>
      </c>
      <c r="R105">
        <v>34436</v>
      </c>
      <c r="S105" t="str">
        <f>VLOOKUP(L105&amp;TEXT(I105,"mmmm")&amp;YEAR(I105),'[1]Detalle C-Fecha'!$D$2:$E$15921,2,FALSE)</f>
        <v>CENCO_MZ - Cencosud SA - Mendoza</v>
      </c>
    </row>
    <row r="106" spans="1:19" x14ac:dyDescent="0.3">
      <c r="A106">
        <v>27566</v>
      </c>
      <c r="B106" t="s">
        <v>28</v>
      </c>
      <c r="C106" t="s">
        <v>15</v>
      </c>
      <c r="D106" t="s">
        <v>16</v>
      </c>
      <c r="E106" t="s">
        <v>121</v>
      </c>
      <c r="F106" s="6" t="str">
        <f t="shared" si="1"/>
        <v>2MC</v>
      </c>
      <c r="G106" s="11">
        <v>46034</v>
      </c>
      <c r="H106" s="12">
        <v>0.65486111111111112</v>
      </c>
      <c r="I106" s="11">
        <v>46034</v>
      </c>
      <c r="J106" s="1">
        <v>46034</v>
      </c>
      <c r="K106" s="1">
        <v>46041</v>
      </c>
      <c r="L106" t="s">
        <v>87</v>
      </c>
      <c r="M106" t="s">
        <v>88</v>
      </c>
      <c r="N106" t="s">
        <v>21</v>
      </c>
      <c r="O106" t="s">
        <v>18</v>
      </c>
      <c r="P106">
        <v>24095</v>
      </c>
      <c r="Q106" t="s">
        <v>19</v>
      </c>
      <c r="R106">
        <v>34550</v>
      </c>
      <c r="S106" t="str">
        <f>VLOOKUP(L106&amp;TEXT(I106,"mmmm")&amp;YEAR(I106),'[1]Detalle C-Fecha'!$D$2:$E$15921,2,FALSE)</f>
        <v>CMQ_TTE - QUILMES TTE</v>
      </c>
    </row>
    <row r="107" spans="1:19" x14ac:dyDescent="0.3">
      <c r="A107">
        <v>27566</v>
      </c>
      <c r="B107" t="s">
        <v>28</v>
      </c>
      <c r="C107" t="s">
        <v>15</v>
      </c>
      <c r="D107" t="s">
        <v>16</v>
      </c>
      <c r="E107" t="s">
        <v>121</v>
      </c>
      <c r="F107" s="6" t="str">
        <f t="shared" si="1"/>
        <v>2MC</v>
      </c>
      <c r="G107" s="11">
        <v>46034</v>
      </c>
      <c r="H107" s="12">
        <v>0.65486111111111112</v>
      </c>
      <c r="I107" s="11">
        <v>46034</v>
      </c>
      <c r="J107" s="1">
        <v>46034</v>
      </c>
      <c r="K107" s="1">
        <v>46041</v>
      </c>
      <c r="L107" t="s">
        <v>87</v>
      </c>
      <c r="M107" t="s">
        <v>88</v>
      </c>
      <c r="N107" t="s">
        <v>21</v>
      </c>
      <c r="O107" t="s">
        <v>18</v>
      </c>
      <c r="P107">
        <v>24095</v>
      </c>
      <c r="Q107" t="s">
        <v>19</v>
      </c>
      <c r="R107">
        <v>34622</v>
      </c>
      <c r="S107" t="str">
        <f>VLOOKUP(L107&amp;TEXT(I107,"mmmm")&amp;YEAR(I107),'[1]Detalle C-Fecha'!$D$2:$E$15921,2,FALSE)</f>
        <v>CMQ_TTE - QUILMES TTE</v>
      </c>
    </row>
    <row r="108" spans="1:19" x14ac:dyDescent="0.3">
      <c r="A108">
        <v>27567</v>
      </c>
      <c r="B108" t="s">
        <v>28</v>
      </c>
      <c r="C108" t="s">
        <v>15</v>
      </c>
      <c r="D108" t="s">
        <v>16</v>
      </c>
      <c r="E108" t="s">
        <v>53</v>
      </c>
      <c r="F108" s="6" t="str">
        <f t="shared" si="1"/>
        <v>3MC</v>
      </c>
      <c r="G108" s="11">
        <v>46034</v>
      </c>
      <c r="H108" s="12">
        <v>0.65486111111111112</v>
      </c>
      <c r="I108" s="11">
        <v>46034</v>
      </c>
      <c r="J108" s="1">
        <v>46034</v>
      </c>
      <c r="K108" s="1">
        <v>46041</v>
      </c>
      <c r="L108" t="s">
        <v>87</v>
      </c>
      <c r="M108" t="s">
        <v>88</v>
      </c>
      <c r="N108" t="s">
        <v>21</v>
      </c>
      <c r="O108" t="s">
        <v>18</v>
      </c>
      <c r="P108">
        <v>24096</v>
      </c>
      <c r="Q108" t="s">
        <v>19</v>
      </c>
      <c r="R108">
        <v>34551</v>
      </c>
      <c r="S108" t="str">
        <f>VLOOKUP(L108&amp;TEXT(I108,"mmmm")&amp;YEAR(I108),'[1]Detalle C-Fecha'!$D$2:$E$15921,2,FALSE)</f>
        <v>CMQ_TTE - QUILMES TTE</v>
      </c>
    </row>
    <row r="109" spans="1:19" x14ac:dyDescent="0.3">
      <c r="A109">
        <v>27567</v>
      </c>
      <c r="B109" t="s">
        <v>28</v>
      </c>
      <c r="C109" t="s">
        <v>15</v>
      </c>
      <c r="D109" t="s">
        <v>16</v>
      </c>
      <c r="E109" t="s">
        <v>53</v>
      </c>
      <c r="F109" s="6" t="str">
        <f t="shared" si="1"/>
        <v>3MC</v>
      </c>
      <c r="G109" s="11">
        <v>46034</v>
      </c>
      <c r="H109" s="12">
        <v>0.65486111111111112</v>
      </c>
      <c r="I109" s="11">
        <v>46034</v>
      </c>
      <c r="J109" s="1">
        <v>46034</v>
      </c>
      <c r="K109" s="1">
        <v>46041</v>
      </c>
      <c r="L109" t="s">
        <v>87</v>
      </c>
      <c r="M109" t="s">
        <v>88</v>
      </c>
      <c r="N109" t="s">
        <v>21</v>
      </c>
      <c r="O109" t="s">
        <v>18</v>
      </c>
      <c r="P109">
        <v>24096</v>
      </c>
      <c r="Q109" t="s">
        <v>19</v>
      </c>
      <c r="R109">
        <v>34622</v>
      </c>
      <c r="S109" t="str">
        <f>VLOOKUP(L109&amp;TEXT(I109,"mmmm")&amp;YEAR(I109),'[1]Detalle C-Fecha'!$D$2:$E$15921,2,FALSE)</f>
        <v>CMQ_TTE - QUILMES TTE</v>
      </c>
    </row>
    <row r="110" spans="1:19" x14ac:dyDescent="0.3">
      <c r="A110">
        <v>27568</v>
      </c>
      <c r="B110" t="s">
        <v>28</v>
      </c>
      <c r="C110" t="s">
        <v>15</v>
      </c>
      <c r="D110" t="s">
        <v>16</v>
      </c>
      <c r="E110" t="s">
        <v>111</v>
      </c>
      <c r="F110" s="6" t="str">
        <f t="shared" si="1"/>
        <v>6MC</v>
      </c>
      <c r="G110" s="11">
        <v>46034</v>
      </c>
      <c r="H110" s="12">
        <v>0.65486111111111112</v>
      </c>
      <c r="I110" s="11">
        <v>46034</v>
      </c>
      <c r="J110" s="1">
        <v>46034</v>
      </c>
      <c r="K110" s="1">
        <v>46041</v>
      </c>
      <c r="L110" t="s">
        <v>87</v>
      </c>
      <c r="M110" t="s">
        <v>88</v>
      </c>
      <c r="N110" t="s">
        <v>21</v>
      </c>
      <c r="O110" t="s">
        <v>18</v>
      </c>
      <c r="P110">
        <v>24097</v>
      </c>
      <c r="Q110" t="s">
        <v>19</v>
      </c>
      <c r="R110">
        <v>34552</v>
      </c>
      <c r="S110" t="str">
        <f>VLOOKUP(L110&amp;TEXT(I110,"mmmm")&amp;YEAR(I110),'[1]Detalle C-Fecha'!$D$2:$E$15921,2,FALSE)</f>
        <v>CMQ_TTE - QUILMES TTE</v>
      </c>
    </row>
    <row r="111" spans="1:19" x14ac:dyDescent="0.3">
      <c r="A111">
        <v>27568</v>
      </c>
      <c r="B111" t="s">
        <v>28</v>
      </c>
      <c r="C111" t="s">
        <v>15</v>
      </c>
      <c r="D111" t="s">
        <v>16</v>
      </c>
      <c r="E111" t="s">
        <v>111</v>
      </c>
      <c r="F111" s="6" t="str">
        <f t="shared" si="1"/>
        <v>6MC</v>
      </c>
      <c r="G111" s="11">
        <v>46034</v>
      </c>
      <c r="H111" s="12">
        <v>0.65486111111111112</v>
      </c>
      <c r="I111" s="11">
        <v>46034</v>
      </c>
      <c r="J111" s="1">
        <v>46034</v>
      </c>
      <c r="K111" s="1">
        <v>46041</v>
      </c>
      <c r="L111" t="s">
        <v>87</v>
      </c>
      <c r="M111" t="s">
        <v>88</v>
      </c>
      <c r="N111" t="s">
        <v>21</v>
      </c>
      <c r="O111" t="s">
        <v>18</v>
      </c>
      <c r="P111">
        <v>24097</v>
      </c>
      <c r="Q111" t="s">
        <v>19</v>
      </c>
      <c r="R111">
        <v>34622</v>
      </c>
      <c r="S111" t="str">
        <f>VLOOKUP(L111&amp;TEXT(I111,"mmmm")&amp;YEAR(I111),'[1]Detalle C-Fecha'!$D$2:$E$15921,2,FALSE)</f>
        <v>CMQ_TTE - QUILMES TTE</v>
      </c>
    </row>
    <row r="112" spans="1:19" x14ac:dyDescent="0.3">
      <c r="A112">
        <v>27575</v>
      </c>
      <c r="B112" t="s">
        <v>28</v>
      </c>
      <c r="C112" t="s">
        <v>15</v>
      </c>
      <c r="D112" t="s">
        <v>16</v>
      </c>
      <c r="E112" t="s">
        <v>51</v>
      </c>
      <c r="F112" s="6" t="str">
        <f t="shared" si="1"/>
        <v>2MC</v>
      </c>
      <c r="G112" s="11">
        <v>46034</v>
      </c>
      <c r="H112" s="12">
        <v>0.70763888888888893</v>
      </c>
      <c r="I112" s="11">
        <v>46034</v>
      </c>
      <c r="J112" s="1">
        <v>46034</v>
      </c>
      <c r="K112" s="1">
        <v>46034</v>
      </c>
      <c r="L112" t="s">
        <v>72</v>
      </c>
      <c r="M112" t="s">
        <v>50</v>
      </c>
      <c r="N112" t="s">
        <v>21</v>
      </c>
      <c r="O112" t="s">
        <v>27</v>
      </c>
      <c r="P112">
        <v>24102</v>
      </c>
      <c r="Q112" t="s">
        <v>19</v>
      </c>
      <c r="R112">
        <v>35100</v>
      </c>
      <c r="S112" t="str">
        <f>VLOOKUP(L112&amp;TEXT(I112,"mmmm")&amp;YEAR(I112),'[1]Detalle C-Fecha'!$D$2:$E$15921,2,FALSE)</f>
        <v>CCUCoAZA</v>
      </c>
    </row>
    <row r="113" spans="1:19" x14ac:dyDescent="0.3">
      <c r="A113">
        <v>27575</v>
      </c>
      <c r="B113" t="s">
        <v>28</v>
      </c>
      <c r="C113" t="s">
        <v>15</v>
      </c>
      <c r="D113" t="s">
        <v>16</v>
      </c>
      <c r="E113" t="s">
        <v>51</v>
      </c>
      <c r="F113" s="6" t="str">
        <f t="shared" si="1"/>
        <v>2MC</v>
      </c>
      <c r="G113" s="11">
        <v>46034</v>
      </c>
      <c r="H113" s="12">
        <v>0.70763888888888893</v>
      </c>
      <c r="I113" s="11">
        <v>46034</v>
      </c>
      <c r="J113" s="1">
        <v>46034</v>
      </c>
      <c r="K113" s="1">
        <v>46034</v>
      </c>
      <c r="L113" t="s">
        <v>72</v>
      </c>
      <c r="M113" t="s">
        <v>50</v>
      </c>
      <c r="N113" t="s">
        <v>21</v>
      </c>
      <c r="O113" t="s">
        <v>27</v>
      </c>
      <c r="P113">
        <v>24102</v>
      </c>
      <c r="Q113" t="s">
        <v>19</v>
      </c>
      <c r="R113">
        <v>35798</v>
      </c>
      <c r="S113" t="str">
        <f>VLOOKUP(L113&amp;TEXT(I113,"mmmm")&amp;YEAR(I113),'[1]Detalle C-Fecha'!$D$2:$E$15921,2,FALSE)</f>
        <v>CCUCoAZA</v>
      </c>
    </row>
    <row r="114" spans="1:19" x14ac:dyDescent="0.3">
      <c r="A114">
        <v>27576</v>
      </c>
      <c r="B114" t="s">
        <v>28</v>
      </c>
      <c r="C114" t="s">
        <v>15</v>
      </c>
      <c r="D114" t="s">
        <v>16</v>
      </c>
      <c r="E114" t="s">
        <v>53</v>
      </c>
      <c r="F114" s="6" t="str">
        <f t="shared" si="1"/>
        <v>3MC</v>
      </c>
      <c r="G114" s="11">
        <v>46034</v>
      </c>
      <c r="H114" s="12">
        <v>0.70763888888888893</v>
      </c>
      <c r="I114" s="11">
        <v>46034</v>
      </c>
      <c r="J114" s="1">
        <v>46034</v>
      </c>
      <c r="K114" s="1">
        <v>46034</v>
      </c>
      <c r="L114" t="s">
        <v>72</v>
      </c>
      <c r="M114" t="s">
        <v>50</v>
      </c>
      <c r="N114" t="s">
        <v>21</v>
      </c>
      <c r="O114" t="s">
        <v>27</v>
      </c>
      <c r="P114">
        <v>24103</v>
      </c>
      <c r="Q114" t="s">
        <v>19</v>
      </c>
      <c r="R114">
        <v>35101</v>
      </c>
      <c r="S114" t="str">
        <f>VLOOKUP(L114&amp;TEXT(I114,"mmmm")&amp;YEAR(I114),'[1]Detalle C-Fecha'!$D$2:$E$15921,2,FALSE)</f>
        <v>CCUCoAZA</v>
      </c>
    </row>
    <row r="115" spans="1:19" x14ac:dyDescent="0.3">
      <c r="A115">
        <v>27576</v>
      </c>
      <c r="B115" t="s">
        <v>28</v>
      </c>
      <c r="C115" t="s">
        <v>15</v>
      </c>
      <c r="D115" t="s">
        <v>16</v>
      </c>
      <c r="E115" t="s">
        <v>53</v>
      </c>
      <c r="F115" s="6" t="str">
        <f t="shared" si="1"/>
        <v>3MC</v>
      </c>
      <c r="G115" s="11">
        <v>46034</v>
      </c>
      <c r="H115" s="12">
        <v>0.70763888888888893</v>
      </c>
      <c r="I115" s="11">
        <v>46034</v>
      </c>
      <c r="J115" s="1">
        <v>46034</v>
      </c>
      <c r="K115" s="1">
        <v>46034</v>
      </c>
      <c r="L115" t="s">
        <v>72</v>
      </c>
      <c r="M115" t="s">
        <v>50</v>
      </c>
      <c r="N115" t="s">
        <v>21</v>
      </c>
      <c r="O115" t="s">
        <v>27</v>
      </c>
      <c r="P115">
        <v>24103</v>
      </c>
      <c r="Q115" t="s">
        <v>19</v>
      </c>
      <c r="R115">
        <v>35798</v>
      </c>
      <c r="S115" t="str">
        <f>VLOOKUP(L115&amp;TEXT(I115,"mmmm")&amp;YEAR(I115),'[1]Detalle C-Fecha'!$D$2:$E$15921,2,FALSE)</f>
        <v>CCUCoAZA</v>
      </c>
    </row>
    <row r="116" spans="1:19" x14ac:dyDescent="0.3">
      <c r="A116">
        <v>27611</v>
      </c>
      <c r="B116" t="s">
        <v>28</v>
      </c>
      <c r="C116" t="s">
        <v>15</v>
      </c>
      <c r="D116" t="s">
        <v>16</v>
      </c>
      <c r="E116" t="s">
        <v>51</v>
      </c>
      <c r="F116" s="6" t="str">
        <f t="shared" si="1"/>
        <v>2MC</v>
      </c>
      <c r="G116" s="11">
        <v>46035</v>
      </c>
      <c r="H116" s="12">
        <v>0.65902777777777777</v>
      </c>
      <c r="I116" s="11">
        <v>46035</v>
      </c>
      <c r="J116" s="1">
        <v>46035</v>
      </c>
      <c r="K116" s="1">
        <v>46041</v>
      </c>
      <c r="L116" t="s">
        <v>85</v>
      </c>
      <c r="M116" t="s">
        <v>20</v>
      </c>
      <c r="N116" t="s">
        <v>21</v>
      </c>
      <c r="O116" t="s">
        <v>27</v>
      </c>
      <c r="P116">
        <v>24133</v>
      </c>
      <c r="Q116" t="s">
        <v>19</v>
      </c>
      <c r="R116">
        <v>34560</v>
      </c>
      <c r="S116" t="str">
        <f>VLOOKUP(L116&amp;TEXT(I116,"mmmm")&amp;YEAR(I116),'[1]Detalle C-Fecha'!$D$2:$E$15921,2,FALSE)</f>
        <v>CCUCoAZA</v>
      </c>
    </row>
    <row r="117" spans="1:19" x14ac:dyDescent="0.3">
      <c r="A117">
        <v>27611</v>
      </c>
      <c r="B117" t="s">
        <v>28</v>
      </c>
      <c r="C117" t="s">
        <v>15</v>
      </c>
      <c r="D117" t="s">
        <v>16</v>
      </c>
      <c r="E117" t="s">
        <v>51</v>
      </c>
      <c r="F117" s="6" t="str">
        <f t="shared" si="1"/>
        <v>2MC</v>
      </c>
      <c r="G117" s="11">
        <v>46035</v>
      </c>
      <c r="H117" s="12">
        <v>0.65902777777777777</v>
      </c>
      <c r="I117" s="11">
        <v>46035</v>
      </c>
      <c r="J117" s="1">
        <v>46035</v>
      </c>
      <c r="K117" s="1">
        <v>46041</v>
      </c>
      <c r="L117" t="s">
        <v>85</v>
      </c>
      <c r="M117" t="s">
        <v>20</v>
      </c>
      <c r="N117" t="s">
        <v>21</v>
      </c>
      <c r="O117" t="s">
        <v>27</v>
      </c>
      <c r="P117">
        <v>24133</v>
      </c>
      <c r="Q117" t="s">
        <v>19</v>
      </c>
      <c r="R117">
        <v>34625</v>
      </c>
      <c r="S117" t="str">
        <f>VLOOKUP(L117&amp;TEXT(I117,"mmmm")&amp;YEAR(I117),'[1]Detalle C-Fecha'!$D$2:$E$15921,2,FALSE)</f>
        <v>CCUCoAZA</v>
      </c>
    </row>
    <row r="118" spans="1:19" x14ac:dyDescent="0.3">
      <c r="A118">
        <v>27612</v>
      </c>
      <c r="B118" t="s">
        <v>28</v>
      </c>
      <c r="C118" t="s">
        <v>15</v>
      </c>
      <c r="D118" t="s">
        <v>16</v>
      </c>
      <c r="E118" t="s">
        <v>53</v>
      </c>
      <c r="F118" s="6" t="str">
        <f t="shared" si="1"/>
        <v>3MC</v>
      </c>
      <c r="G118" s="11">
        <v>46035</v>
      </c>
      <c r="H118" s="12">
        <v>0.65972222222222221</v>
      </c>
      <c r="I118" s="11">
        <v>46035</v>
      </c>
      <c r="J118" s="1">
        <v>46035</v>
      </c>
      <c r="K118" s="1">
        <v>46041</v>
      </c>
      <c r="L118" t="s">
        <v>85</v>
      </c>
      <c r="M118" t="s">
        <v>20</v>
      </c>
      <c r="N118" t="s">
        <v>21</v>
      </c>
      <c r="O118" t="s">
        <v>27</v>
      </c>
      <c r="P118">
        <v>24134</v>
      </c>
      <c r="Q118" t="s">
        <v>19</v>
      </c>
      <c r="R118">
        <v>34561</v>
      </c>
      <c r="S118" t="str">
        <f>VLOOKUP(L118&amp;TEXT(I118,"mmmm")&amp;YEAR(I118),'[1]Detalle C-Fecha'!$D$2:$E$15921,2,FALSE)</f>
        <v>CCUCoAZA</v>
      </c>
    </row>
    <row r="119" spans="1:19" x14ac:dyDescent="0.3">
      <c r="A119">
        <v>27612</v>
      </c>
      <c r="B119" t="s">
        <v>28</v>
      </c>
      <c r="C119" t="s">
        <v>15</v>
      </c>
      <c r="D119" t="s">
        <v>16</v>
      </c>
      <c r="E119" t="s">
        <v>53</v>
      </c>
      <c r="F119" s="6" t="str">
        <f t="shared" si="1"/>
        <v>3MC</v>
      </c>
      <c r="G119" s="11">
        <v>46035</v>
      </c>
      <c r="H119" s="12">
        <v>0.65972222222222221</v>
      </c>
      <c r="I119" s="11">
        <v>46035</v>
      </c>
      <c r="J119" s="1">
        <v>46035</v>
      </c>
      <c r="K119" s="1">
        <v>46041</v>
      </c>
      <c r="L119" t="s">
        <v>85</v>
      </c>
      <c r="M119" t="s">
        <v>20</v>
      </c>
      <c r="N119" t="s">
        <v>21</v>
      </c>
      <c r="O119" t="s">
        <v>27</v>
      </c>
      <c r="P119">
        <v>24134</v>
      </c>
      <c r="Q119" t="s">
        <v>19</v>
      </c>
      <c r="R119">
        <v>34625</v>
      </c>
      <c r="S119" t="str">
        <f>VLOOKUP(L119&amp;TEXT(I119,"mmmm")&amp;YEAR(I119),'[1]Detalle C-Fecha'!$D$2:$E$15921,2,FALSE)</f>
        <v>CCUCoAZA</v>
      </c>
    </row>
    <row r="120" spans="1:19" x14ac:dyDescent="0.3">
      <c r="A120">
        <v>27613</v>
      </c>
      <c r="B120" t="s">
        <v>28</v>
      </c>
      <c r="C120" t="s">
        <v>15</v>
      </c>
      <c r="D120" t="s">
        <v>16</v>
      </c>
      <c r="E120" t="s">
        <v>52</v>
      </c>
      <c r="F120" s="6" t="str">
        <f t="shared" si="1"/>
        <v>6MC</v>
      </c>
      <c r="G120" s="11">
        <v>46035</v>
      </c>
      <c r="H120" s="12">
        <v>0.65972222222222221</v>
      </c>
      <c r="I120" s="11">
        <v>46035</v>
      </c>
      <c r="J120" s="1">
        <v>46035</v>
      </c>
      <c r="K120" s="1">
        <v>46041</v>
      </c>
      <c r="L120" t="s">
        <v>85</v>
      </c>
      <c r="M120" t="s">
        <v>20</v>
      </c>
      <c r="N120" t="s">
        <v>21</v>
      </c>
      <c r="O120" t="s">
        <v>27</v>
      </c>
      <c r="P120">
        <v>24135</v>
      </c>
      <c r="Q120" t="s">
        <v>19</v>
      </c>
      <c r="R120">
        <v>34562</v>
      </c>
      <c r="S120" t="str">
        <f>VLOOKUP(L120&amp;TEXT(I120,"mmmm")&amp;YEAR(I120),'[1]Detalle C-Fecha'!$D$2:$E$15921,2,FALSE)</f>
        <v>CCUCoAZA</v>
      </c>
    </row>
    <row r="121" spans="1:19" x14ac:dyDescent="0.3">
      <c r="A121">
        <v>27613</v>
      </c>
      <c r="B121" t="s">
        <v>28</v>
      </c>
      <c r="C121" t="s">
        <v>15</v>
      </c>
      <c r="D121" t="s">
        <v>16</v>
      </c>
      <c r="E121" t="s">
        <v>52</v>
      </c>
      <c r="F121" s="6" t="str">
        <f t="shared" si="1"/>
        <v>6MC</v>
      </c>
      <c r="G121" s="11">
        <v>46035</v>
      </c>
      <c r="H121" s="12">
        <v>0.65972222222222221</v>
      </c>
      <c r="I121" s="11">
        <v>46035</v>
      </c>
      <c r="J121" s="1">
        <v>46035</v>
      </c>
      <c r="K121" s="1">
        <v>46041</v>
      </c>
      <c r="L121" t="s">
        <v>85</v>
      </c>
      <c r="M121" t="s">
        <v>20</v>
      </c>
      <c r="N121" t="s">
        <v>21</v>
      </c>
      <c r="O121" t="s">
        <v>27</v>
      </c>
      <c r="P121">
        <v>24135</v>
      </c>
      <c r="Q121" t="s">
        <v>19</v>
      </c>
      <c r="R121">
        <v>34625</v>
      </c>
      <c r="S121" t="str">
        <f>VLOOKUP(L121&amp;TEXT(I121,"mmmm")&amp;YEAR(I121),'[1]Detalle C-Fecha'!$D$2:$E$15921,2,FALSE)</f>
        <v>CCUCoAZA</v>
      </c>
    </row>
    <row r="122" spans="1:19" x14ac:dyDescent="0.3">
      <c r="A122">
        <v>27623</v>
      </c>
      <c r="B122" t="s">
        <v>28</v>
      </c>
      <c r="C122" t="s">
        <v>15</v>
      </c>
      <c r="D122" t="s">
        <v>16</v>
      </c>
      <c r="E122" t="s">
        <v>46</v>
      </c>
      <c r="F122" s="6" t="str">
        <f t="shared" si="1"/>
        <v>6ML</v>
      </c>
      <c r="G122" s="11">
        <v>46036</v>
      </c>
      <c r="H122" s="12">
        <v>0.4145833333333333</v>
      </c>
      <c r="I122" s="11">
        <v>46036</v>
      </c>
      <c r="J122" s="1">
        <v>46036</v>
      </c>
      <c r="K122" s="1">
        <v>46036</v>
      </c>
      <c r="L122" t="s">
        <v>36</v>
      </c>
      <c r="M122" t="s">
        <v>37</v>
      </c>
      <c r="N122" t="s">
        <v>21</v>
      </c>
      <c r="O122" t="s">
        <v>24</v>
      </c>
      <c r="P122">
        <v>24148</v>
      </c>
      <c r="Q122" t="s">
        <v>19</v>
      </c>
      <c r="R122">
        <v>35107</v>
      </c>
      <c r="S122" t="str">
        <f>VLOOKUP(L122&amp;TEXT(I122,"mmmm")&amp;YEAR(I122),'[1]Detalle C-Fecha'!$D$2:$E$15921,2,FALSE)</f>
        <v>ADA_CH - Danone Arg. S.A. - Chascomus</v>
      </c>
    </row>
    <row r="123" spans="1:19" x14ac:dyDescent="0.3">
      <c r="A123">
        <v>27623</v>
      </c>
      <c r="B123" t="s">
        <v>28</v>
      </c>
      <c r="C123" t="s">
        <v>15</v>
      </c>
      <c r="D123" t="s">
        <v>16</v>
      </c>
      <c r="E123" t="s">
        <v>46</v>
      </c>
      <c r="F123" s="6" t="str">
        <f t="shared" si="1"/>
        <v>6ML</v>
      </c>
      <c r="G123" s="11">
        <v>46036</v>
      </c>
      <c r="H123" s="12">
        <v>0.4145833333333333</v>
      </c>
      <c r="I123" s="11">
        <v>46036</v>
      </c>
      <c r="J123" s="1">
        <v>46036</v>
      </c>
      <c r="K123" s="1">
        <v>46036</v>
      </c>
      <c r="L123" t="s">
        <v>36</v>
      </c>
      <c r="M123" t="s">
        <v>37</v>
      </c>
      <c r="N123" t="s">
        <v>21</v>
      </c>
      <c r="O123" t="s">
        <v>24</v>
      </c>
      <c r="P123">
        <v>24148</v>
      </c>
      <c r="Q123" t="s">
        <v>19</v>
      </c>
      <c r="R123">
        <v>35797</v>
      </c>
      <c r="S123" t="str">
        <f>VLOOKUP(L123&amp;TEXT(I123,"mmmm")&amp;YEAR(I123),'[1]Detalle C-Fecha'!$D$2:$E$15921,2,FALSE)</f>
        <v>ADA_CH - Danone Arg. S.A. - Chascomus</v>
      </c>
    </row>
    <row r="124" spans="1:19" x14ac:dyDescent="0.3">
      <c r="A124">
        <v>27624</v>
      </c>
      <c r="B124" t="s">
        <v>28</v>
      </c>
      <c r="C124" t="s">
        <v>15</v>
      </c>
      <c r="D124" t="s">
        <v>16</v>
      </c>
      <c r="E124" t="s">
        <v>125</v>
      </c>
      <c r="F124" s="6" t="str">
        <f t="shared" si="1"/>
        <v>3ML</v>
      </c>
      <c r="G124" s="11">
        <v>46036</v>
      </c>
      <c r="H124" s="12">
        <v>0.4145833333333333</v>
      </c>
      <c r="I124" s="11">
        <v>46036</v>
      </c>
      <c r="J124" s="1">
        <v>46036</v>
      </c>
      <c r="K124" s="1">
        <v>46036</v>
      </c>
      <c r="L124" t="s">
        <v>36</v>
      </c>
      <c r="M124" t="s">
        <v>37</v>
      </c>
      <c r="N124" t="s">
        <v>21</v>
      </c>
      <c r="O124" t="s">
        <v>24</v>
      </c>
      <c r="P124">
        <v>24147</v>
      </c>
      <c r="Q124" t="s">
        <v>19</v>
      </c>
      <c r="R124">
        <v>35108</v>
      </c>
      <c r="S124" t="str">
        <f>VLOOKUP(L124&amp;TEXT(I124,"mmmm")&amp;YEAR(I124),'[1]Detalle C-Fecha'!$D$2:$E$15921,2,FALSE)</f>
        <v>ADA_CH - Danone Arg. S.A. - Chascomus</v>
      </c>
    </row>
    <row r="125" spans="1:19" x14ac:dyDescent="0.3">
      <c r="A125">
        <v>27624</v>
      </c>
      <c r="B125" t="s">
        <v>28</v>
      </c>
      <c r="C125" t="s">
        <v>15</v>
      </c>
      <c r="D125" t="s">
        <v>16</v>
      </c>
      <c r="E125" t="s">
        <v>125</v>
      </c>
      <c r="F125" s="6" t="str">
        <f t="shared" si="1"/>
        <v>3ML</v>
      </c>
      <c r="G125" s="11">
        <v>46036</v>
      </c>
      <c r="H125" s="12">
        <v>0.4145833333333333</v>
      </c>
      <c r="I125" s="11">
        <v>46036</v>
      </c>
      <c r="J125" s="1">
        <v>46036</v>
      </c>
      <c r="K125" s="1">
        <v>46036</v>
      </c>
      <c r="L125" t="s">
        <v>36</v>
      </c>
      <c r="M125" t="s">
        <v>37</v>
      </c>
      <c r="N125" t="s">
        <v>21</v>
      </c>
      <c r="O125" t="s">
        <v>24</v>
      </c>
      <c r="P125">
        <v>24147</v>
      </c>
      <c r="Q125" t="s">
        <v>19</v>
      </c>
      <c r="R125">
        <v>35797</v>
      </c>
      <c r="S125" t="str">
        <f>VLOOKUP(L125&amp;TEXT(I125,"mmmm")&amp;YEAR(I125),'[1]Detalle C-Fecha'!$D$2:$E$15921,2,FALSE)</f>
        <v>ADA_CH - Danone Arg. S.A. - Chascomus</v>
      </c>
    </row>
    <row r="126" spans="1:19" x14ac:dyDescent="0.3">
      <c r="A126">
        <v>27625</v>
      </c>
      <c r="B126" t="s">
        <v>28</v>
      </c>
      <c r="C126" t="s">
        <v>15</v>
      </c>
      <c r="D126" t="s">
        <v>16</v>
      </c>
      <c r="E126" t="s">
        <v>51</v>
      </c>
      <c r="F126" s="6" t="str">
        <f t="shared" si="1"/>
        <v>2MC</v>
      </c>
      <c r="G126" s="11">
        <v>46036</v>
      </c>
      <c r="H126" s="12">
        <v>0.4145833333333333</v>
      </c>
      <c r="I126" s="11">
        <v>46036</v>
      </c>
      <c r="J126" s="1">
        <v>46036</v>
      </c>
      <c r="K126" s="1">
        <v>46036</v>
      </c>
      <c r="L126" t="s">
        <v>36</v>
      </c>
      <c r="M126" t="s">
        <v>37</v>
      </c>
      <c r="N126" t="s">
        <v>21</v>
      </c>
      <c r="O126" t="s">
        <v>24</v>
      </c>
      <c r="P126">
        <v>24146</v>
      </c>
      <c r="Q126" t="s">
        <v>19</v>
      </c>
      <c r="R126">
        <v>35109</v>
      </c>
      <c r="S126" t="str">
        <f>VLOOKUP(L126&amp;TEXT(I126,"mmmm")&amp;YEAR(I126),'[1]Detalle C-Fecha'!$D$2:$E$15921,2,FALSE)</f>
        <v>ADA_CH - Danone Arg. S.A. - Chascomus</v>
      </c>
    </row>
    <row r="127" spans="1:19" x14ac:dyDescent="0.3">
      <c r="A127">
        <v>27625</v>
      </c>
      <c r="B127" t="s">
        <v>28</v>
      </c>
      <c r="C127" t="s">
        <v>15</v>
      </c>
      <c r="D127" t="s">
        <v>16</v>
      </c>
      <c r="E127" t="s">
        <v>51</v>
      </c>
      <c r="F127" s="6" t="str">
        <f t="shared" si="1"/>
        <v>2MC</v>
      </c>
      <c r="G127" s="11">
        <v>46036</v>
      </c>
      <c r="H127" s="12">
        <v>0.4145833333333333</v>
      </c>
      <c r="I127" s="11">
        <v>46036</v>
      </c>
      <c r="J127" s="1">
        <v>46036</v>
      </c>
      <c r="K127" s="1">
        <v>46036</v>
      </c>
      <c r="L127" t="s">
        <v>36</v>
      </c>
      <c r="M127" t="s">
        <v>37</v>
      </c>
      <c r="N127" t="s">
        <v>21</v>
      </c>
      <c r="O127" t="s">
        <v>24</v>
      </c>
      <c r="P127">
        <v>24146</v>
      </c>
      <c r="Q127" t="s">
        <v>19</v>
      </c>
      <c r="R127">
        <v>35797</v>
      </c>
      <c r="S127" t="str">
        <f>VLOOKUP(L127&amp;TEXT(I127,"mmmm")&amp;YEAR(I127),'[1]Detalle C-Fecha'!$D$2:$E$15921,2,FALSE)</f>
        <v>ADA_CH - Danone Arg. S.A. - Chascomus</v>
      </c>
    </row>
    <row r="128" spans="1:19" x14ac:dyDescent="0.3">
      <c r="A128">
        <v>27652</v>
      </c>
      <c r="B128" t="s">
        <v>28</v>
      </c>
      <c r="C128" t="s">
        <v>15</v>
      </c>
      <c r="D128" t="s">
        <v>16</v>
      </c>
      <c r="E128" t="s">
        <v>115</v>
      </c>
      <c r="F128" s="6" t="str">
        <f t="shared" si="1"/>
        <v>2ML</v>
      </c>
      <c r="G128" s="11">
        <v>46036</v>
      </c>
      <c r="H128" s="12">
        <v>0.85069444444444453</v>
      </c>
      <c r="I128" s="11">
        <v>46036</v>
      </c>
      <c r="J128" s="1">
        <v>46036</v>
      </c>
      <c r="K128" s="1">
        <v>46036</v>
      </c>
      <c r="L128" t="s">
        <v>43</v>
      </c>
      <c r="M128" t="s">
        <v>44</v>
      </c>
      <c r="N128" t="s">
        <v>21</v>
      </c>
      <c r="O128" t="s">
        <v>25</v>
      </c>
      <c r="P128">
        <v>24176</v>
      </c>
      <c r="Q128" t="s">
        <v>19</v>
      </c>
      <c r="R128">
        <v>35114</v>
      </c>
      <c r="S128" t="str">
        <f>VLOOKUP(L128&amp;TEXT(I128,"mmmm")&amp;YEAR(I128),'[1]Detalle C-Fecha'!$D$2:$E$15921,2,FALSE)</f>
        <v>Expreso - Servicios Troncales</v>
      </c>
    </row>
    <row r="129" spans="1:19" x14ac:dyDescent="0.3">
      <c r="A129">
        <v>27652</v>
      </c>
      <c r="B129" t="s">
        <v>28</v>
      </c>
      <c r="C129" t="s">
        <v>15</v>
      </c>
      <c r="D129" t="s">
        <v>16</v>
      </c>
      <c r="E129" t="s">
        <v>115</v>
      </c>
      <c r="F129" s="6" t="str">
        <f t="shared" si="1"/>
        <v>2ML</v>
      </c>
      <c r="G129" s="11">
        <v>46036</v>
      </c>
      <c r="H129" s="12">
        <v>0.85069444444444453</v>
      </c>
      <c r="I129" s="11">
        <v>46036</v>
      </c>
      <c r="J129" s="1">
        <v>46036</v>
      </c>
      <c r="K129" s="1">
        <v>46036</v>
      </c>
      <c r="L129" t="s">
        <v>43</v>
      </c>
      <c r="M129" t="s">
        <v>44</v>
      </c>
      <c r="N129" t="s">
        <v>21</v>
      </c>
      <c r="O129" t="s">
        <v>25</v>
      </c>
      <c r="P129">
        <v>24176</v>
      </c>
      <c r="Q129" t="s">
        <v>19</v>
      </c>
      <c r="R129">
        <v>35799</v>
      </c>
      <c r="S129" t="str">
        <f>VLOOKUP(L129&amp;TEXT(I129,"mmmm")&amp;YEAR(I129),'[1]Detalle C-Fecha'!$D$2:$E$15921,2,FALSE)</f>
        <v>Expreso - Servicios Troncales</v>
      </c>
    </row>
    <row r="130" spans="1:19" x14ac:dyDescent="0.3">
      <c r="A130">
        <v>27653</v>
      </c>
      <c r="B130" t="s">
        <v>28</v>
      </c>
      <c r="C130" t="s">
        <v>15</v>
      </c>
      <c r="D130" t="s">
        <v>16</v>
      </c>
      <c r="E130" t="s">
        <v>116</v>
      </c>
      <c r="F130" s="6" t="str">
        <f t="shared" si="1"/>
        <v>3ML</v>
      </c>
      <c r="G130" s="11">
        <v>46036</v>
      </c>
      <c r="H130" s="12">
        <v>0.85069444444444453</v>
      </c>
      <c r="I130" s="11">
        <v>46036</v>
      </c>
      <c r="J130" s="1">
        <v>46036</v>
      </c>
      <c r="K130" s="1">
        <v>46036</v>
      </c>
      <c r="L130" t="s">
        <v>43</v>
      </c>
      <c r="M130" t="s">
        <v>44</v>
      </c>
      <c r="N130" t="s">
        <v>21</v>
      </c>
      <c r="O130" t="s">
        <v>25</v>
      </c>
      <c r="P130">
        <v>24177</v>
      </c>
      <c r="Q130" t="s">
        <v>19</v>
      </c>
      <c r="R130">
        <v>35115</v>
      </c>
      <c r="S130" t="str">
        <f>VLOOKUP(L130&amp;TEXT(I130,"mmmm")&amp;YEAR(I130),'[1]Detalle C-Fecha'!$D$2:$E$15921,2,FALSE)</f>
        <v>Expreso - Servicios Troncales</v>
      </c>
    </row>
    <row r="131" spans="1:19" x14ac:dyDescent="0.3">
      <c r="A131">
        <v>27653</v>
      </c>
      <c r="B131" t="s">
        <v>28</v>
      </c>
      <c r="C131" t="s">
        <v>15</v>
      </c>
      <c r="D131" t="s">
        <v>16</v>
      </c>
      <c r="E131" t="s">
        <v>116</v>
      </c>
      <c r="F131" s="6" t="str">
        <f t="shared" ref="F131:F192" si="2">MID(E131,1,3)</f>
        <v>3ML</v>
      </c>
      <c r="G131" s="11">
        <v>46036</v>
      </c>
      <c r="H131" s="12">
        <v>0.85069444444444453</v>
      </c>
      <c r="I131" s="11">
        <v>46036</v>
      </c>
      <c r="J131" s="1">
        <v>46036</v>
      </c>
      <c r="K131" s="1">
        <v>46036</v>
      </c>
      <c r="L131" t="s">
        <v>43</v>
      </c>
      <c r="M131" t="s">
        <v>44</v>
      </c>
      <c r="N131" t="s">
        <v>21</v>
      </c>
      <c r="O131" t="s">
        <v>25</v>
      </c>
      <c r="P131">
        <v>24177</v>
      </c>
      <c r="Q131" t="s">
        <v>19</v>
      </c>
      <c r="R131">
        <v>35799</v>
      </c>
      <c r="S131" t="str">
        <f>VLOOKUP(L131&amp;TEXT(I131,"mmmm")&amp;YEAR(I131),'[1]Detalle C-Fecha'!$D$2:$E$15921,2,FALSE)</f>
        <v>Expreso - Servicios Troncales</v>
      </c>
    </row>
    <row r="132" spans="1:19" x14ac:dyDescent="0.3">
      <c r="A132">
        <v>27672</v>
      </c>
      <c r="B132" t="s">
        <v>28</v>
      </c>
      <c r="C132" t="s">
        <v>15</v>
      </c>
      <c r="D132" t="s">
        <v>16</v>
      </c>
      <c r="E132" t="s">
        <v>113</v>
      </c>
      <c r="F132" s="6" t="str">
        <f t="shared" si="2"/>
        <v>2MC</v>
      </c>
      <c r="G132" s="11">
        <v>46037</v>
      </c>
      <c r="H132" s="12">
        <v>0.61111111111111105</v>
      </c>
      <c r="I132" s="11">
        <v>46037</v>
      </c>
      <c r="J132" s="1">
        <v>46037</v>
      </c>
      <c r="K132" s="1">
        <v>46037</v>
      </c>
      <c r="L132" t="s">
        <v>81</v>
      </c>
      <c r="M132" t="s">
        <v>82</v>
      </c>
      <c r="N132" t="s">
        <v>21</v>
      </c>
      <c r="O132" t="s">
        <v>18</v>
      </c>
      <c r="P132">
        <v>24201</v>
      </c>
      <c r="Q132" t="s">
        <v>19</v>
      </c>
      <c r="R132">
        <v>35120</v>
      </c>
      <c r="S132" t="str">
        <f>VLOOKUP(L132&amp;TEXT(I132,"mmmm")&amp;YEAR(I132),'[1]Detalle C-Fecha'!$D$2:$E$15921,2,FALSE)</f>
        <v>CMQ_TTE - QUILMES TTE</v>
      </c>
    </row>
    <row r="133" spans="1:19" x14ac:dyDescent="0.3">
      <c r="A133">
        <v>27672</v>
      </c>
      <c r="B133" t="s">
        <v>28</v>
      </c>
      <c r="C133" t="s">
        <v>15</v>
      </c>
      <c r="D133" t="s">
        <v>16</v>
      </c>
      <c r="E133" t="s">
        <v>113</v>
      </c>
      <c r="F133" s="6" t="str">
        <f t="shared" si="2"/>
        <v>2MC</v>
      </c>
      <c r="G133" s="11">
        <v>46037</v>
      </c>
      <c r="H133" s="12">
        <v>0.61111111111111105</v>
      </c>
      <c r="I133" s="11">
        <v>46037</v>
      </c>
      <c r="J133" s="1">
        <v>46037</v>
      </c>
      <c r="K133" s="1">
        <v>46037</v>
      </c>
      <c r="L133" t="s">
        <v>81</v>
      </c>
      <c r="M133" t="s">
        <v>82</v>
      </c>
      <c r="N133" t="s">
        <v>21</v>
      </c>
      <c r="O133" t="s">
        <v>18</v>
      </c>
      <c r="P133">
        <v>24201</v>
      </c>
      <c r="Q133" t="s">
        <v>19</v>
      </c>
      <c r="R133">
        <v>35796</v>
      </c>
      <c r="S133" t="str">
        <f>VLOOKUP(L133&amp;TEXT(I133,"mmmm")&amp;YEAR(I133),'[1]Detalle C-Fecha'!$D$2:$E$15921,2,FALSE)</f>
        <v>CMQ_TTE - QUILMES TTE</v>
      </c>
    </row>
    <row r="134" spans="1:19" x14ac:dyDescent="0.3">
      <c r="A134">
        <v>27673</v>
      </c>
      <c r="B134" t="s">
        <v>28</v>
      </c>
      <c r="C134" t="s">
        <v>15</v>
      </c>
      <c r="D134" t="s">
        <v>16</v>
      </c>
      <c r="E134" t="s">
        <v>122</v>
      </c>
      <c r="F134" s="6" t="str">
        <f t="shared" si="2"/>
        <v>3MC</v>
      </c>
      <c r="G134" s="11">
        <v>46037</v>
      </c>
      <c r="H134" s="12">
        <v>0.61111111111111105</v>
      </c>
      <c r="I134" s="11">
        <v>46037</v>
      </c>
      <c r="J134" s="1">
        <v>46037</v>
      </c>
      <c r="K134" s="1">
        <v>46037</v>
      </c>
      <c r="L134" t="s">
        <v>81</v>
      </c>
      <c r="M134" t="s">
        <v>82</v>
      </c>
      <c r="N134" t="s">
        <v>21</v>
      </c>
      <c r="O134" t="s">
        <v>18</v>
      </c>
      <c r="P134">
        <v>24202</v>
      </c>
      <c r="Q134" t="s">
        <v>19</v>
      </c>
      <c r="R134">
        <v>35121</v>
      </c>
      <c r="S134" t="str">
        <f>VLOOKUP(L134&amp;TEXT(I134,"mmmm")&amp;YEAR(I134),'[1]Detalle C-Fecha'!$D$2:$E$15921,2,FALSE)</f>
        <v>CMQ_TTE - QUILMES TTE</v>
      </c>
    </row>
    <row r="135" spans="1:19" x14ac:dyDescent="0.3">
      <c r="A135">
        <v>27673</v>
      </c>
      <c r="B135" t="s">
        <v>28</v>
      </c>
      <c r="C135" t="s">
        <v>15</v>
      </c>
      <c r="D135" t="s">
        <v>16</v>
      </c>
      <c r="E135" t="s">
        <v>122</v>
      </c>
      <c r="F135" s="6" t="str">
        <f t="shared" si="2"/>
        <v>3MC</v>
      </c>
      <c r="G135" s="11">
        <v>46037</v>
      </c>
      <c r="H135" s="12">
        <v>0.61111111111111105</v>
      </c>
      <c r="I135" s="11">
        <v>46037</v>
      </c>
      <c r="J135" s="1">
        <v>46037</v>
      </c>
      <c r="K135" s="1">
        <v>46037</v>
      </c>
      <c r="L135" t="s">
        <v>81</v>
      </c>
      <c r="M135" t="s">
        <v>82</v>
      </c>
      <c r="N135" t="s">
        <v>21</v>
      </c>
      <c r="O135" t="s">
        <v>18</v>
      </c>
      <c r="P135">
        <v>24202</v>
      </c>
      <c r="Q135" t="s">
        <v>19</v>
      </c>
      <c r="R135">
        <v>35796</v>
      </c>
      <c r="S135" t="str">
        <f>VLOOKUP(L135&amp;TEXT(I135,"mmmm")&amp;YEAR(I135),'[1]Detalle C-Fecha'!$D$2:$E$15921,2,FALSE)</f>
        <v>CMQ_TTE - QUILMES TTE</v>
      </c>
    </row>
    <row r="136" spans="1:19" x14ac:dyDescent="0.3">
      <c r="A136">
        <v>27674</v>
      </c>
      <c r="B136" t="s">
        <v>28</v>
      </c>
      <c r="C136" t="s">
        <v>15</v>
      </c>
      <c r="D136" t="s">
        <v>16</v>
      </c>
      <c r="E136" t="s">
        <v>114</v>
      </c>
      <c r="F136" s="6" t="str">
        <f t="shared" si="2"/>
        <v>6MC</v>
      </c>
      <c r="G136" s="11">
        <v>46037</v>
      </c>
      <c r="H136" s="12">
        <v>0.61111111111111105</v>
      </c>
      <c r="I136" s="11">
        <v>46037</v>
      </c>
      <c r="J136" s="1">
        <v>46037</v>
      </c>
      <c r="K136" s="1">
        <v>46037</v>
      </c>
      <c r="L136" t="s">
        <v>81</v>
      </c>
      <c r="M136" t="s">
        <v>82</v>
      </c>
      <c r="N136" t="s">
        <v>21</v>
      </c>
      <c r="O136" t="s">
        <v>18</v>
      </c>
      <c r="P136">
        <v>24203</v>
      </c>
      <c r="Q136" t="s">
        <v>19</v>
      </c>
      <c r="R136">
        <v>35122</v>
      </c>
      <c r="S136" t="str">
        <f>VLOOKUP(L136&amp;TEXT(I136,"mmmm")&amp;YEAR(I136),'[1]Detalle C-Fecha'!$D$2:$E$15921,2,FALSE)</f>
        <v>CMQ_TTE - QUILMES TTE</v>
      </c>
    </row>
    <row r="137" spans="1:19" x14ac:dyDescent="0.3">
      <c r="A137">
        <v>27674</v>
      </c>
      <c r="B137" t="s">
        <v>28</v>
      </c>
      <c r="C137" t="s">
        <v>15</v>
      </c>
      <c r="D137" t="s">
        <v>16</v>
      </c>
      <c r="E137" t="s">
        <v>114</v>
      </c>
      <c r="F137" s="6" t="str">
        <f t="shared" si="2"/>
        <v>6MC</v>
      </c>
      <c r="G137" s="11">
        <v>46037</v>
      </c>
      <c r="H137" s="12">
        <v>0.61111111111111105</v>
      </c>
      <c r="I137" s="11">
        <v>46037</v>
      </c>
      <c r="J137" s="1">
        <v>46037</v>
      </c>
      <c r="K137" s="1">
        <v>46037</v>
      </c>
      <c r="L137" t="s">
        <v>81</v>
      </c>
      <c r="M137" t="s">
        <v>82</v>
      </c>
      <c r="N137" t="s">
        <v>21</v>
      </c>
      <c r="O137" t="s">
        <v>18</v>
      </c>
      <c r="P137">
        <v>24203</v>
      </c>
      <c r="Q137" t="s">
        <v>19</v>
      </c>
      <c r="R137">
        <v>35796</v>
      </c>
      <c r="S137" t="str">
        <f>VLOOKUP(L137&amp;TEXT(I137,"mmmm")&amp;YEAR(I137),'[1]Detalle C-Fecha'!$D$2:$E$15921,2,FALSE)</f>
        <v>CMQ_TTE - QUILMES TTE</v>
      </c>
    </row>
    <row r="138" spans="1:19" x14ac:dyDescent="0.3">
      <c r="A138">
        <v>27678</v>
      </c>
      <c r="B138" t="s">
        <v>28</v>
      </c>
      <c r="C138" t="s">
        <v>15</v>
      </c>
      <c r="D138" t="s">
        <v>16</v>
      </c>
      <c r="E138" t="s">
        <v>51</v>
      </c>
      <c r="F138" s="6" t="str">
        <f t="shared" si="2"/>
        <v>2MC</v>
      </c>
      <c r="G138" s="11">
        <v>46037</v>
      </c>
      <c r="H138" s="12">
        <v>0.75763888888888886</v>
      </c>
      <c r="I138" s="11">
        <v>46037</v>
      </c>
      <c r="J138" s="1">
        <v>46037</v>
      </c>
      <c r="K138" s="1">
        <v>46037</v>
      </c>
      <c r="L138" t="s">
        <v>100</v>
      </c>
      <c r="M138" t="s">
        <v>39</v>
      </c>
      <c r="N138" t="s">
        <v>21</v>
      </c>
      <c r="O138" t="s">
        <v>24</v>
      </c>
      <c r="P138">
        <v>24216</v>
      </c>
      <c r="Q138" t="s">
        <v>19</v>
      </c>
      <c r="R138">
        <v>35124</v>
      </c>
      <c r="S138" t="str">
        <f>VLOOKUP(L138&amp;TEXT(I138,"mmmm")&amp;YEAR(I138),'[1]Detalle C-Fecha'!$D$2:$E$15921,2,FALSE)</f>
        <v>CCUDyAZA</v>
      </c>
    </row>
    <row r="139" spans="1:19" x14ac:dyDescent="0.3">
      <c r="A139">
        <v>27678</v>
      </c>
      <c r="B139" t="s">
        <v>28</v>
      </c>
      <c r="C139" t="s">
        <v>15</v>
      </c>
      <c r="D139" t="s">
        <v>16</v>
      </c>
      <c r="E139" t="s">
        <v>51</v>
      </c>
      <c r="F139" s="6" t="str">
        <f t="shared" si="2"/>
        <v>2MC</v>
      </c>
      <c r="G139" s="11">
        <v>46037</v>
      </c>
      <c r="H139" s="12">
        <v>0.75763888888888886</v>
      </c>
      <c r="I139" s="11">
        <v>46037</v>
      </c>
      <c r="J139" s="1">
        <v>46037</v>
      </c>
      <c r="K139" s="1">
        <v>46037</v>
      </c>
      <c r="L139" t="s">
        <v>100</v>
      </c>
      <c r="M139" t="s">
        <v>39</v>
      </c>
      <c r="N139" t="s">
        <v>21</v>
      </c>
      <c r="O139" t="s">
        <v>24</v>
      </c>
      <c r="P139">
        <v>24216</v>
      </c>
      <c r="Q139" t="s">
        <v>19</v>
      </c>
      <c r="R139">
        <v>35797</v>
      </c>
      <c r="S139" t="str">
        <f>VLOOKUP(L139&amp;TEXT(I139,"mmmm")&amp;YEAR(I139),'[1]Detalle C-Fecha'!$D$2:$E$15921,2,FALSE)</f>
        <v>CCUDyAZA</v>
      </c>
    </row>
    <row r="140" spans="1:19" x14ac:dyDescent="0.3">
      <c r="A140">
        <v>27679</v>
      </c>
      <c r="B140" t="s">
        <v>28</v>
      </c>
      <c r="C140" t="s">
        <v>15</v>
      </c>
      <c r="D140" t="s">
        <v>16</v>
      </c>
      <c r="E140" t="s">
        <v>53</v>
      </c>
      <c r="F140" s="6" t="str">
        <f t="shared" si="2"/>
        <v>3MC</v>
      </c>
      <c r="G140" s="11">
        <v>46037</v>
      </c>
      <c r="H140" s="12">
        <v>0.75763888888888886</v>
      </c>
      <c r="I140" s="11">
        <v>46037</v>
      </c>
      <c r="J140" s="1">
        <v>46037</v>
      </c>
      <c r="K140" s="1">
        <v>46037</v>
      </c>
      <c r="L140" t="s">
        <v>100</v>
      </c>
      <c r="M140" t="s">
        <v>39</v>
      </c>
      <c r="N140" t="s">
        <v>21</v>
      </c>
      <c r="O140" t="s">
        <v>24</v>
      </c>
      <c r="P140">
        <v>24217</v>
      </c>
      <c r="Q140" t="s">
        <v>19</v>
      </c>
      <c r="R140">
        <v>35125</v>
      </c>
      <c r="S140" t="str">
        <f>VLOOKUP(L140&amp;TEXT(I140,"mmmm")&amp;YEAR(I140),'[1]Detalle C-Fecha'!$D$2:$E$15921,2,FALSE)</f>
        <v>CCUDyAZA</v>
      </c>
    </row>
    <row r="141" spans="1:19" x14ac:dyDescent="0.3">
      <c r="A141">
        <v>27679</v>
      </c>
      <c r="B141" t="s">
        <v>28</v>
      </c>
      <c r="C141" t="s">
        <v>15</v>
      </c>
      <c r="D141" t="s">
        <v>16</v>
      </c>
      <c r="E141" t="s">
        <v>53</v>
      </c>
      <c r="F141" s="6" t="str">
        <f t="shared" si="2"/>
        <v>3MC</v>
      </c>
      <c r="G141" s="11">
        <v>46037</v>
      </c>
      <c r="H141" s="12">
        <v>0.75763888888888886</v>
      </c>
      <c r="I141" s="11">
        <v>46037</v>
      </c>
      <c r="J141" s="1">
        <v>46037</v>
      </c>
      <c r="K141" s="1">
        <v>46037</v>
      </c>
      <c r="L141" t="s">
        <v>100</v>
      </c>
      <c r="M141" t="s">
        <v>39</v>
      </c>
      <c r="N141" t="s">
        <v>21</v>
      </c>
      <c r="O141" t="s">
        <v>24</v>
      </c>
      <c r="P141">
        <v>24217</v>
      </c>
      <c r="Q141" t="s">
        <v>19</v>
      </c>
      <c r="R141">
        <v>35797</v>
      </c>
      <c r="S141" t="str">
        <f>VLOOKUP(L141&amp;TEXT(I141,"mmmm")&amp;YEAR(I141),'[1]Detalle C-Fecha'!$D$2:$E$15921,2,FALSE)</f>
        <v>CCUDyAZA</v>
      </c>
    </row>
    <row r="142" spans="1:19" x14ac:dyDescent="0.3">
      <c r="A142">
        <v>27680</v>
      </c>
      <c r="B142" t="s">
        <v>28</v>
      </c>
      <c r="C142" t="s">
        <v>15</v>
      </c>
      <c r="D142" t="s">
        <v>16</v>
      </c>
      <c r="E142" t="s">
        <v>52</v>
      </c>
      <c r="F142" s="6" t="str">
        <f t="shared" si="2"/>
        <v>6MC</v>
      </c>
      <c r="G142" s="11">
        <v>46037</v>
      </c>
      <c r="H142" s="12">
        <v>0.75763888888888886</v>
      </c>
      <c r="I142" s="11">
        <v>46037</v>
      </c>
      <c r="J142" s="1">
        <v>46037</v>
      </c>
      <c r="K142" s="1">
        <v>46037</v>
      </c>
      <c r="L142" t="s">
        <v>100</v>
      </c>
      <c r="M142" t="s">
        <v>39</v>
      </c>
      <c r="N142" t="s">
        <v>21</v>
      </c>
      <c r="O142" t="s">
        <v>24</v>
      </c>
      <c r="P142">
        <v>24218</v>
      </c>
      <c r="Q142" t="s">
        <v>19</v>
      </c>
      <c r="R142">
        <v>35126</v>
      </c>
      <c r="S142" t="str">
        <f>VLOOKUP(L142&amp;TEXT(I142,"mmmm")&amp;YEAR(I142),'[1]Detalle C-Fecha'!$D$2:$E$15921,2,FALSE)</f>
        <v>CCUDyAZA</v>
      </c>
    </row>
    <row r="143" spans="1:19" x14ac:dyDescent="0.3">
      <c r="A143">
        <v>27680</v>
      </c>
      <c r="B143" t="s">
        <v>28</v>
      </c>
      <c r="C143" t="s">
        <v>15</v>
      </c>
      <c r="D143" t="s">
        <v>16</v>
      </c>
      <c r="E143" t="s">
        <v>52</v>
      </c>
      <c r="F143" s="6" t="str">
        <f t="shared" si="2"/>
        <v>6MC</v>
      </c>
      <c r="G143" s="11">
        <v>46037</v>
      </c>
      <c r="H143" s="12">
        <v>0.75763888888888886</v>
      </c>
      <c r="I143" s="11">
        <v>46037</v>
      </c>
      <c r="J143" s="1">
        <v>46037</v>
      </c>
      <c r="K143" s="1">
        <v>46037</v>
      </c>
      <c r="L143" t="s">
        <v>100</v>
      </c>
      <c r="M143" t="s">
        <v>39</v>
      </c>
      <c r="N143" t="s">
        <v>21</v>
      </c>
      <c r="O143" t="s">
        <v>24</v>
      </c>
      <c r="P143">
        <v>24218</v>
      </c>
      <c r="Q143" t="s">
        <v>19</v>
      </c>
      <c r="R143">
        <v>35797</v>
      </c>
      <c r="S143" t="str">
        <f>VLOOKUP(L143&amp;TEXT(I143,"mmmm")&amp;YEAR(I143),'[1]Detalle C-Fecha'!$D$2:$E$15921,2,FALSE)</f>
        <v>CCUDyAZA</v>
      </c>
    </row>
    <row r="144" spans="1:19" x14ac:dyDescent="0.3">
      <c r="A144">
        <v>27700</v>
      </c>
      <c r="B144" t="s">
        <v>28</v>
      </c>
      <c r="C144" t="s">
        <v>15</v>
      </c>
      <c r="D144" t="s">
        <v>16</v>
      </c>
      <c r="E144" t="s">
        <v>51</v>
      </c>
      <c r="F144" s="6" t="str">
        <f t="shared" si="2"/>
        <v>2MC</v>
      </c>
      <c r="G144" s="11">
        <v>46038</v>
      </c>
      <c r="H144" s="12">
        <v>0.65416666666666667</v>
      </c>
      <c r="I144" s="11">
        <v>46038</v>
      </c>
      <c r="J144" s="1">
        <v>46038</v>
      </c>
      <c r="K144" s="1">
        <v>46055</v>
      </c>
      <c r="L144" t="s">
        <v>74</v>
      </c>
      <c r="M144" t="s">
        <v>20</v>
      </c>
      <c r="N144" t="s">
        <v>21</v>
      </c>
      <c r="O144" t="s">
        <v>18</v>
      </c>
      <c r="P144">
        <v>24293</v>
      </c>
      <c r="Q144" t="s">
        <v>19</v>
      </c>
      <c r="R144">
        <v>34872</v>
      </c>
      <c r="S144" t="str">
        <f>VLOOKUP(L144&amp;TEXT(I144,"mmmm")&amp;YEAR(I144),'[1]Detalle C-Fecha'!$D$2:$E$15921,2,FALSE)</f>
        <v>CMQ_TTE - QUILMES TTE</v>
      </c>
    </row>
    <row r="145" spans="1:19" x14ac:dyDescent="0.3">
      <c r="A145">
        <v>27700</v>
      </c>
      <c r="B145" t="s">
        <v>28</v>
      </c>
      <c r="C145" t="s">
        <v>15</v>
      </c>
      <c r="D145" t="s">
        <v>16</v>
      </c>
      <c r="E145" t="s">
        <v>51</v>
      </c>
      <c r="F145" s="6" t="str">
        <f t="shared" si="2"/>
        <v>2MC</v>
      </c>
      <c r="G145" s="11">
        <v>46038</v>
      </c>
      <c r="H145" s="12">
        <v>0.65416666666666667</v>
      </c>
      <c r="I145" s="11">
        <v>46038</v>
      </c>
      <c r="J145" s="1">
        <v>46038</v>
      </c>
      <c r="K145" s="1">
        <v>46055</v>
      </c>
      <c r="L145" t="s">
        <v>74</v>
      </c>
      <c r="M145" t="s">
        <v>20</v>
      </c>
      <c r="N145" t="s">
        <v>21</v>
      </c>
      <c r="O145" t="s">
        <v>18</v>
      </c>
      <c r="P145">
        <v>24293</v>
      </c>
      <c r="Q145" t="s">
        <v>19</v>
      </c>
      <c r="R145">
        <v>35084</v>
      </c>
      <c r="S145" t="str">
        <f>VLOOKUP(L145&amp;TEXT(I145,"mmmm")&amp;YEAR(I145),'[1]Detalle C-Fecha'!$D$2:$E$15921,2,FALSE)</f>
        <v>CMQ_TTE - QUILMES TTE</v>
      </c>
    </row>
    <row r="146" spans="1:19" x14ac:dyDescent="0.3">
      <c r="A146">
        <v>27701</v>
      </c>
      <c r="B146" t="s">
        <v>28</v>
      </c>
      <c r="C146" t="s">
        <v>15</v>
      </c>
      <c r="D146" t="s">
        <v>16</v>
      </c>
      <c r="E146" t="s">
        <v>53</v>
      </c>
      <c r="F146" s="6" t="str">
        <f t="shared" si="2"/>
        <v>3MC</v>
      </c>
      <c r="G146" s="11">
        <v>46038</v>
      </c>
      <c r="H146" s="12">
        <v>0.65416666666666667</v>
      </c>
      <c r="I146" s="11">
        <v>46038</v>
      </c>
      <c r="J146" s="1">
        <v>46038</v>
      </c>
      <c r="K146" s="1">
        <v>46046</v>
      </c>
      <c r="L146" t="s">
        <v>74</v>
      </c>
      <c r="M146" t="s">
        <v>20</v>
      </c>
      <c r="N146" t="s">
        <v>21</v>
      </c>
      <c r="O146" t="s">
        <v>18</v>
      </c>
      <c r="P146">
        <v>24294</v>
      </c>
      <c r="Q146" t="s">
        <v>19</v>
      </c>
      <c r="R146">
        <v>35134</v>
      </c>
      <c r="S146" t="str">
        <f>VLOOKUP(L146&amp;TEXT(I146,"mmmm")&amp;YEAR(I146),'[1]Detalle C-Fecha'!$D$2:$E$15921,2,FALSE)</f>
        <v>CMQ_TTE - QUILMES TTE</v>
      </c>
    </row>
    <row r="147" spans="1:19" x14ac:dyDescent="0.3">
      <c r="A147">
        <v>27701</v>
      </c>
      <c r="B147" t="s">
        <v>28</v>
      </c>
      <c r="C147" t="s">
        <v>15</v>
      </c>
      <c r="D147" t="s">
        <v>16</v>
      </c>
      <c r="E147" t="s">
        <v>53</v>
      </c>
      <c r="F147" s="6" t="str">
        <f t="shared" si="2"/>
        <v>3MC</v>
      </c>
      <c r="G147" s="11">
        <v>46038</v>
      </c>
      <c r="H147" s="12">
        <v>0.65416666666666667</v>
      </c>
      <c r="I147" s="11">
        <v>46038</v>
      </c>
      <c r="J147" s="1">
        <v>46038</v>
      </c>
      <c r="K147" s="1">
        <v>46046</v>
      </c>
      <c r="L147" t="s">
        <v>74</v>
      </c>
      <c r="M147" t="s">
        <v>20</v>
      </c>
      <c r="N147" t="s">
        <v>21</v>
      </c>
      <c r="O147" t="s">
        <v>18</v>
      </c>
      <c r="P147">
        <v>24294</v>
      </c>
      <c r="Q147" t="s">
        <v>19</v>
      </c>
      <c r="R147">
        <v>35796</v>
      </c>
      <c r="S147" t="str">
        <f>VLOOKUP(L147&amp;TEXT(I147,"mmmm")&amp;YEAR(I147),'[1]Detalle C-Fecha'!$D$2:$E$15921,2,FALSE)</f>
        <v>CMQ_TTE - QUILMES TTE</v>
      </c>
    </row>
    <row r="148" spans="1:19" x14ac:dyDescent="0.3">
      <c r="A148">
        <v>27702</v>
      </c>
      <c r="B148" t="s">
        <v>28</v>
      </c>
      <c r="C148" t="s">
        <v>15</v>
      </c>
      <c r="D148" t="s">
        <v>16</v>
      </c>
      <c r="E148" t="s">
        <v>52</v>
      </c>
      <c r="F148" s="6" t="str">
        <f t="shared" si="2"/>
        <v>6MC</v>
      </c>
      <c r="G148" s="11">
        <v>46038</v>
      </c>
      <c r="H148" s="12">
        <v>0.65416666666666667</v>
      </c>
      <c r="I148" s="11">
        <v>46038</v>
      </c>
      <c r="J148" s="1">
        <v>46038</v>
      </c>
      <c r="K148" s="1">
        <v>46046</v>
      </c>
      <c r="L148" t="s">
        <v>74</v>
      </c>
      <c r="M148" t="s">
        <v>20</v>
      </c>
      <c r="N148" t="s">
        <v>21</v>
      </c>
      <c r="O148" t="s">
        <v>18</v>
      </c>
      <c r="P148">
        <v>24295</v>
      </c>
      <c r="Q148" t="s">
        <v>19</v>
      </c>
      <c r="R148">
        <v>35135</v>
      </c>
      <c r="S148" t="str">
        <f>VLOOKUP(L148&amp;TEXT(I148,"mmmm")&amp;YEAR(I148),'[1]Detalle C-Fecha'!$D$2:$E$15921,2,FALSE)</f>
        <v>CMQ_TTE - QUILMES TTE</v>
      </c>
    </row>
    <row r="149" spans="1:19" x14ac:dyDescent="0.3">
      <c r="A149">
        <v>27702</v>
      </c>
      <c r="B149" t="s">
        <v>28</v>
      </c>
      <c r="C149" t="s">
        <v>15</v>
      </c>
      <c r="D149" t="s">
        <v>16</v>
      </c>
      <c r="E149" t="s">
        <v>52</v>
      </c>
      <c r="F149" s="6" t="str">
        <f t="shared" si="2"/>
        <v>6MC</v>
      </c>
      <c r="G149" s="11">
        <v>46038</v>
      </c>
      <c r="H149" s="12">
        <v>0.65416666666666667</v>
      </c>
      <c r="I149" s="11">
        <v>46038</v>
      </c>
      <c r="J149" s="1">
        <v>46038</v>
      </c>
      <c r="K149" s="1">
        <v>46046</v>
      </c>
      <c r="L149" t="s">
        <v>74</v>
      </c>
      <c r="M149" t="s">
        <v>20</v>
      </c>
      <c r="N149" t="s">
        <v>21</v>
      </c>
      <c r="O149" t="s">
        <v>18</v>
      </c>
      <c r="P149">
        <v>24295</v>
      </c>
      <c r="Q149" t="s">
        <v>19</v>
      </c>
      <c r="R149">
        <v>35796</v>
      </c>
      <c r="S149" t="str">
        <f>VLOOKUP(L149&amp;TEXT(I149,"mmmm")&amp;YEAR(I149),'[1]Detalle C-Fecha'!$D$2:$E$15921,2,FALSE)</f>
        <v>CMQ_TTE - QUILMES TTE</v>
      </c>
    </row>
    <row r="150" spans="1:19" x14ac:dyDescent="0.3">
      <c r="A150">
        <v>27848</v>
      </c>
      <c r="B150" t="s">
        <v>28</v>
      </c>
      <c r="C150" t="s">
        <v>15</v>
      </c>
      <c r="D150" t="s">
        <v>16</v>
      </c>
      <c r="E150" t="s">
        <v>35</v>
      </c>
      <c r="F150" s="6" t="str">
        <f t="shared" si="2"/>
        <v>2ML</v>
      </c>
      <c r="G150" s="11">
        <v>46041</v>
      </c>
      <c r="H150" s="12">
        <v>0.4513888888888889</v>
      </c>
      <c r="I150" s="11">
        <v>46041</v>
      </c>
      <c r="J150" s="1">
        <v>46041</v>
      </c>
      <c r="K150" s="1">
        <v>46055</v>
      </c>
      <c r="L150" t="s">
        <v>92</v>
      </c>
      <c r="M150" t="s">
        <v>37</v>
      </c>
      <c r="N150" t="s">
        <v>21</v>
      </c>
      <c r="O150" t="s">
        <v>24</v>
      </c>
      <c r="P150">
        <v>24316</v>
      </c>
      <c r="Q150" t="s">
        <v>19</v>
      </c>
      <c r="R150">
        <v>34875</v>
      </c>
      <c r="S150" t="str">
        <f>VLOOKUP(L150&amp;TEXT(I150,"mmmm")&amp;YEAR(I150),'[1]Detalle C-Fecha'!$D$2:$E$15921,2,FALSE)</f>
        <v>ADA_CH - Danone Arg. S.A. - Chascomus</v>
      </c>
    </row>
    <row r="151" spans="1:19" x14ac:dyDescent="0.3">
      <c r="A151">
        <v>27848</v>
      </c>
      <c r="B151" t="s">
        <v>28</v>
      </c>
      <c r="C151" t="s">
        <v>15</v>
      </c>
      <c r="D151" t="s">
        <v>16</v>
      </c>
      <c r="E151" t="s">
        <v>35</v>
      </c>
      <c r="F151" s="6" t="str">
        <f t="shared" si="2"/>
        <v>2ML</v>
      </c>
      <c r="G151" s="11">
        <v>46041</v>
      </c>
      <c r="H151" s="12">
        <v>0.4513888888888889</v>
      </c>
      <c r="I151" s="11">
        <v>46041</v>
      </c>
      <c r="J151" s="1">
        <v>46041</v>
      </c>
      <c r="K151" s="1">
        <v>46055</v>
      </c>
      <c r="L151" t="s">
        <v>92</v>
      </c>
      <c r="M151" t="s">
        <v>37</v>
      </c>
      <c r="N151" t="s">
        <v>21</v>
      </c>
      <c r="O151" t="s">
        <v>24</v>
      </c>
      <c r="P151">
        <v>24316</v>
      </c>
      <c r="Q151" t="s">
        <v>19</v>
      </c>
      <c r="R151">
        <v>35085</v>
      </c>
      <c r="S151" t="str">
        <f>VLOOKUP(L151&amp;TEXT(I151,"mmmm")&amp;YEAR(I151),'[1]Detalle C-Fecha'!$D$2:$E$15921,2,FALSE)</f>
        <v>ADA_CH - Danone Arg. S.A. - Chascomus</v>
      </c>
    </row>
    <row r="152" spans="1:19" x14ac:dyDescent="0.3">
      <c r="A152">
        <v>27849</v>
      </c>
      <c r="B152" t="s">
        <v>28</v>
      </c>
      <c r="C152" t="s">
        <v>15</v>
      </c>
      <c r="D152" t="s">
        <v>16</v>
      </c>
      <c r="E152" t="s">
        <v>47</v>
      </c>
      <c r="F152" s="6" t="str">
        <f t="shared" si="2"/>
        <v>3ML</v>
      </c>
      <c r="G152" s="11">
        <v>46041</v>
      </c>
      <c r="H152" s="12">
        <v>0.4513888888888889</v>
      </c>
      <c r="I152" s="11">
        <v>46041</v>
      </c>
      <c r="J152" s="1">
        <v>46041</v>
      </c>
      <c r="K152" s="1">
        <v>46055</v>
      </c>
      <c r="L152" t="s">
        <v>92</v>
      </c>
      <c r="M152" t="s">
        <v>37</v>
      </c>
      <c r="N152" t="s">
        <v>21</v>
      </c>
      <c r="O152" t="s">
        <v>24</v>
      </c>
      <c r="P152">
        <v>24317</v>
      </c>
      <c r="Q152" t="s">
        <v>19</v>
      </c>
      <c r="R152">
        <v>34876</v>
      </c>
      <c r="S152" t="str">
        <f>VLOOKUP(L152&amp;TEXT(I152,"mmmm")&amp;YEAR(I152),'[1]Detalle C-Fecha'!$D$2:$E$15921,2,FALSE)</f>
        <v>ADA_CH - Danone Arg. S.A. - Chascomus</v>
      </c>
    </row>
    <row r="153" spans="1:19" x14ac:dyDescent="0.3">
      <c r="A153">
        <v>27849</v>
      </c>
      <c r="B153" t="s">
        <v>28</v>
      </c>
      <c r="C153" t="s">
        <v>15</v>
      </c>
      <c r="D153" t="s">
        <v>16</v>
      </c>
      <c r="E153" t="s">
        <v>47</v>
      </c>
      <c r="F153" s="6" t="str">
        <f t="shared" si="2"/>
        <v>3ML</v>
      </c>
      <c r="G153" s="11">
        <v>46041</v>
      </c>
      <c r="H153" s="12">
        <v>0.4513888888888889</v>
      </c>
      <c r="I153" s="11">
        <v>46041</v>
      </c>
      <c r="J153" s="1">
        <v>46041</v>
      </c>
      <c r="K153" s="1">
        <v>46055</v>
      </c>
      <c r="L153" t="s">
        <v>92</v>
      </c>
      <c r="M153" t="s">
        <v>37</v>
      </c>
      <c r="N153" t="s">
        <v>21</v>
      </c>
      <c r="O153" t="s">
        <v>24</v>
      </c>
      <c r="P153">
        <v>24317</v>
      </c>
      <c r="Q153" t="s">
        <v>19</v>
      </c>
      <c r="R153">
        <v>35085</v>
      </c>
      <c r="S153" t="str">
        <f>VLOOKUP(L153&amp;TEXT(I153,"mmmm")&amp;YEAR(I153),'[1]Detalle C-Fecha'!$D$2:$E$15921,2,FALSE)</f>
        <v>ADA_CH - Danone Arg. S.A. - Chascomus</v>
      </c>
    </row>
    <row r="154" spans="1:19" x14ac:dyDescent="0.3">
      <c r="A154">
        <v>27888</v>
      </c>
      <c r="B154" t="s">
        <v>28</v>
      </c>
      <c r="C154" t="s">
        <v>15</v>
      </c>
      <c r="D154" t="s">
        <v>16</v>
      </c>
      <c r="E154" t="s">
        <v>35</v>
      </c>
      <c r="F154" s="6" t="str">
        <f t="shared" si="2"/>
        <v>2ML</v>
      </c>
      <c r="G154" s="11">
        <v>46042</v>
      </c>
      <c r="H154" s="12">
        <v>0.65347222222222223</v>
      </c>
      <c r="I154" s="11">
        <v>46042</v>
      </c>
      <c r="J154" s="1">
        <v>46042</v>
      </c>
      <c r="K154" s="1">
        <v>46055</v>
      </c>
      <c r="L154" t="s">
        <v>91</v>
      </c>
      <c r="M154" t="s">
        <v>68</v>
      </c>
      <c r="N154" t="s">
        <v>21</v>
      </c>
      <c r="O154" t="s">
        <v>24</v>
      </c>
      <c r="P154">
        <v>24354</v>
      </c>
      <c r="Q154" t="s">
        <v>19</v>
      </c>
      <c r="R154">
        <v>34882</v>
      </c>
      <c r="S154" t="str">
        <f>VLOOKUP(L154&amp;TEXT(I154,"mmmm")&amp;YEAR(I154),'[1]Detalle C-Fecha'!$D$2:$E$15921,2,FALSE)</f>
        <v>ADA_CH - Danone Arg. S.A. - Chascomus</v>
      </c>
    </row>
    <row r="155" spans="1:19" x14ac:dyDescent="0.3">
      <c r="A155">
        <v>27888</v>
      </c>
      <c r="B155" t="s">
        <v>28</v>
      </c>
      <c r="C155" t="s">
        <v>15</v>
      </c>
      <c r="D155" t="s">
        <v>16</v>
      </c>
      <c r="E155" t="s">
        <v>35</v>
      </c>
      <c r="F155" s="6" t="str">
        <f t="shared" si="2"/>
        <v>2ML</v>
      </c>
      <c r="G155" s="11">
        <v>46042</v>
      </c>
      <c r="H155" s="12">
        <v>0.65347222222222223</v>
      </c>
      <c r="I155" s="11">
        <v>46042</v>
      </c>
      <c r="J155" s="1">
        <v>46042</v>
      </c>
      <c r="K155" s="1">
        <v>46055</v>
      </c>
      <c r="L155" t="s">
        <v>91</v>
      </c>
      <c r="M155" t="s">
        <v>68</v>
      </c>
      <c r="N155" t="s">
        <v>21</v>
      </c>
      <c r="O155" t="s">
        <v>24</v>
      </c>
      <c r="P155">
        <v>24354</v>
      </c>
      <c r="Q155" t="s">
        <v>19</v>
      </c>
      <c r="R155">
        <v>35085</v>
      </c>
      <c r="S155" t="str">
        <f>VLOOKUP(L155&amp;TEXT(I155,"mmmm")&amp;YEAR(I155),'[1]Detalle C-Fecha'!$D$2:$E$15921,2,FALSE)</f>
        <v>ADA_CH - Danone Arg. S.A. - Chascomus</v>
      </c>
    </row>
    <row r="156" spans="1:19" x14ac:dyDescent="0.3">
      <c r="A156">
        <v>27889</v>
      </c>
      <c r="B156" t="s">
        <v>28</v>
      </c>
      <c r="C156" t="s">
        <v>15</v>
      </c>
      <c r="D156" t="s">
        <v>16</v>
      </c>
      <c r="E156" t="s">
        <v>47</v>
      </c>
      <c r="F156" s="6" t="str">
        <f t="shared" si="2"/>
        <v>3ML</v>
      </c>
      <c r="G156" s="11">
        <v>46042</v>
      </c>
      <c r="H156" s="12">
        <v>0.65347222222222223</v>
      </c>
      <c r="I156" s="11">
        <v>46042</v>
      </c>
      <c r="J156" s="1">
        <v>46042</v>
      </c>
      <c r="K156" s="1">
        <v>46057</v>
      </c>
      <c r="L156" t="s">
        <v>91</v>
      </c>
      <c r="M156" t="s">
        <v>68</v>
      </c>
      <c r="N156" t="s">
        <v>21</v>
      </c>
      <c r="O156" t="s">
        <v>24</v>
      </c>
      <c r="P156">
        <v>24355</v>
      </c>
      <c r="Q156" t="s">
        <v>19</v>
      </c>
      <c r="R156">
        <v>35463</v>
      </c>
      <c r="S156" t="str">
        <f>VLOOKUP(L156&amp;TEXT(I156,"mmmm")&amp;YEAR(I156),'[1]Detalle C-Fecha'!$D$2:$E$15921,2,FALSE)</f>
        <v>ADA_CH - Danone Arg. S.A. - Chascomus</v>
      </c>
    </row>
    <row r="157" spans="1:19" x14ac:dyDescent="0.3">
      <c r="A157">
        <v>27889</v>
      </c>
      <c r="B157" t="s">
        <v>28</v>
      </c>
      <c r="C157" t="s">
        <v>15</v>
      </c>
      <c r="D157" t="s">
        <v>16</v>
      </c>
      <c r="E157" t="s">
        <v>47</v>
      </c>
      <c r="F157" s="6" t="str">
        <f t="shared" si="2"/>
        <v>3ML</v>
      </c>
      <c r="G157" s="11">
        <v>46042</v>
      </c>
      <c r="H157" s="12">
        <v>0.65347222222222223</v>
      </c>
      <c r="I157" s="11">
        <v>46042</v>
      </c>
      <c r="J157" s="1">
        <v>46042</v>
      </c>
      <c r="K157" s="1">
        <v>46057</v>
      </c>
      <c r="L157" t="s">
        <v>91</v>
      </c>
      <c r="M157" t="s">
        <v>68</v>
      </c>
      <c r="N157" t="s">
        <v>21</v>
      </c>
      <c r="O157" t="s">
        <v>24</v>
      </c>
      <c r="P157">
        <v>24355</v>
      </c>
      <c r="Q157" t="s">
        <v>19</v>
      </c>
      <c r="R157">
        <v>35490</v>
      </c>
      <c r="S157" t="str">
        <f>VLOOKUP(L157&amp;TEXT(I157,"mmmm")&amp;YEAR(I157),'[1]Detalle C-Fecha'!$D$2:$E$15921,2,FALSE)</f>
        <v>ADA_CH - Danone Arg. S.A. - Chascomus</v>
      </c>
    </row>
    <row r="158" spans="1:19" x14ac:dyDescent="0.3">
      <c r="A158">
        <v>27909</v>
      </c>
      <c r="B158" t="s">
        <v>28</v>
      </c>
      <c r="C158" t="s">
        <v>15</v>
      </c>
      <c r="D158" t="s">
        <v>16</v>
      </c>
      <c r="E158" t="s">
        <v>118</v>
      </c>
      <c r="F158" s="6" t="str">
        <f t="shared" si="2"/>
        <v>2ML</v>
      </c>
      <c r="G158" s="11">
        <v>46043</v>
      </c>
      <c r="H158" s="12">
        <v>0.62777777777777777</v>
      </c>
      <c r="I158" s="11">
        <v>46043</v>
      </c>
      <c r="J158" s="1">
        <v>46043</v>
      </c>
      <c r="K158" s="1">
        <v>46043</v>
      </c>
      <c r="L158" t="s">
        <v>65</v>
      </c>
      <c r="M158" t="s">
        <v>30</v>
      </c>
      <c r="N158" t="s">
        <v>17</v>
      </c>
      <c r="O158" t="s">
        <v>25</v>
      </c>
      <c r="P158">
        <v>24374</v>
      </c>
      <c r="Q158" t="s">
        <v>19</v>
      </c>
      <c r="R158">
        <v>34644</v>
      </c>
      <c r="S158" t="str">
        <f>VLOOKUP(L158&amp;TEXT(I158,"mmmm")&amp;YEAR(I158),'[1]Detalle C-Fecha'!$D$2:$E$15921,2,FALSE)</f>
        <v>Expreso - Servicios Troncales</v>
      </c>
    </row>
    <row r="159" spans="1:19" x14ac:dyDescent="0.3">
      <c r="A159">
        <v>27909</v>
      </c>
      <c r="B159" t="s">
        <v>28</v>
      </c>
      <c r="C159" t="s">
        <v>15</v>
      </c>
      <c r="D159" t="s">
        <v>16</v>
      </c>
      <c r="E159" t="s">
        <v>118</v>
      </c>
      <c r="F159" s="6" t="str">
        <f t="shared" si="2"/>
        <v>2ML</v>
      </c>
      <c r="G159" s="11">
        <v>46043</v>
      </c>
      <c r="H159" s="12">
        <v>0.62777777777777777</v>
      </c>
      <c r="I159" s="11">
        <v>46043</v>
      </c>
      <c r="J159" s="1">
        <v>46043</v>
      </c>
      <c r="K159" s="1">
        <v>46043</v>
      </c>
      <c r="L159" t="s">
        <v>65</v>
      </c>
      <c r="M159" t="s">
        <v>30</v>
      </c>
      <c r="N159" t="s">
        <v>17</v>
      </c>
      <c r="O159" t="s">
        <v>25</v>
      </c>
      <c r="P159">
        <v>24374</v>
      </c>
      <c r="Q159" t="s">
        <v>19</v>
      </c>
      <c r="R159">
        <v>34645</v>
      </c>
      <c r="S159" t="str">
        <f>VLOOKUP(L159&amp;TEXT(I159,"mmmm")&amp;YEAR(I159),'[1]Detalle C-Fecha'!$D$2:$E$15921,2,FALSE)</f>
        <v>Expreso - Servicios Troncales</v>
      </c>
    </row>
    <row r="160" spans="1:19" x14ac:dyDescent="0.3">
      <c r="A160">
        <v>27910</v>
      </c>
      <c r="B160" t="s">
        <v>28</v>
      </c>
      <c r="C160" t="s">
        <v>15</v>
      </c>
      <c r="D160" t="s">
        <v>16</v>
      </c>
      <c r="E160" t="s">
        <v>119</v>
      </c>
      <c r="F160" s="6" t="str">
        <f t="shared" si="2"/>
        <v>3ML</v>
      </c>
      <c r="G160" s="11">
        <v>46043</v>
      </c>
      <c r="H160" s="12">
        <v>0.62777777777777777</v>
      </c>
      <c r="I160" s="11">
        <v>46043</v>
      </c>
      <c r="J160" s="1">
        <v>46043</v>
      </c>
      <c r="K160" s="1">
        <v>46043</v>
      </c>
      <c r="L160" t="s">
        <v>65</v>
      </c>
      <c r="M160" t="s">
        <v>30</v>
      </c>
      <c r="N160" t="s">
        <v>17</v>
      </c>
      <c r="O160" t="s">
        <v>25</v>
      </c>
      <c r="P160">
        <v>24375</v>
      </c>
      <c r="Q160" t="s">
        <v>19</v>
      </c>
      <c r="R160">
        <v>34646</v>
      </c>
      <c r="S160" t="str">
        <f>VLOOKUP(L160&amp;TEXT(I160,"mmmm")&amp;YEAR(I160),'[1]Detalle C-Fecha'!$D$2:$E$15921,2,FALSE)</f>
        <v>Expreso - Servicios Troncales</v>
      </c>
    </row>
    <row r="161" spans="1:19" x14ac:dyDescent="0.3">
      <c r="A161">
        <v>27910</v>
      </c>
      <c r="B161" t="s">
        <v>28</v>
      </c>
      <c r="C161" t="s">
        <v>15</v>
      </c>
      <c r="D161" t="s">
        <v>16</v>
      </c>
      <c r="E161" t="s">
        <v>119</v>
      </c>
      <c r="F161" s="6" t="str">
        <f t="shared" si="2"/>
        <v>3ML</v>
      </c>
      <c r="G161" s="11">
        <v>46043</v>
      </c>
      <c r="H161" s="12">
        <v>0.62777777777777777</v>
      </c>
      <c r="I161" s="11">
        <v>46043</v>
      </c>
      <c r="J161" s="1">
        <v>46043</v>
      </c>
      <c r="K161" s="1">
        <v>46043</v>
      </c>
      <c r="L161" t="s">
        <v>65</v>
      </c>
      <c r="M161" t="s">
        <v>30</v>
      </c>
      <c r="N161" t="s">
        <v>17</v>
      </c>
      <c r="O161" t="s">
        <v>25</v>
      </c>
      <c r="P161">
        <v>24375</v>
      </c>
      <c r="Q161" t="s">
        <v>19</v>
      </c>
      <c r="R161">
        <v>34647</v>
      </c>
      <c r="S161" t="str">
        <f>VLOOKUP(L161&amp;TEXT(I161,"mmmm")&amp;YEAR(I161),'[1]Detalle C-Fecha'!$D$2:$E$15921,2,FALSE)</f>
        <v>Expreso - Servicios Troncales</v>
      </c>
    </row>
    <row r="162" spans="1:19" x14ac:dyDescent="0.3">
      <c r="A162">
        <v>27911</v>
      </c>
      <c r="B162" t="s">
        <v>28</v>
      </c>
      <c r="C162" t="s">
        <v>15</v>
      </c>
      <c r="D162" t="s">
        <v>16</v>
      </c>
      <c r="E162" t="s">
        <v>120</v>
      </c>
      <c r="F162" s="6" t="str">
        <f t="shared" si="2"/>
        <v>6ML</v>
      </c>
      <c r="G162" s="11">
        <v>46043</v>
      </c>
      <c r="H162" s="12">
        <v>0.62777777777777777</v>
      </c>
      <c r="I162" s="11">
        <v>46043</v>
      </c>
      <c r="J162" s="1">
        <v>46043</v>
      </c>
      <c r="K162" s="1">
        <v>46043</v>
      </c>
      <c r="L162" t="s">
        <v>65</v>
      </c>
      <c r="M162" t="s">
        <v>30</v>
      </c>
      <c r="N162" t="s">
        <v>17</v>
      </c>
      <c r="O162" t="s">
        <v>25</v>
      </c>
      <c r="P162">
        <v>24376</v>
      </c>
      <c r="Q162" t="s">
        <v>19</v>
      </c>
      <c r="R162">
        <v>34650</v>
      </c>
      <c r="S162" t="str">
        <f>VLOOKUP(L162&amp;TEXT(I162,"mmmm")&amp;YEAR(I162),'[1]Detalle C-Fecha'!$D$2:$E$15921,2,FALSE)</f>
        <v>Expreso - Servicios Troncales</v>
      </c>
    </row>
    <row r="163" spans="1:19" x14ac:dyDescent="0.3">
      <c r="A163">
        <v>27911</v>
      </c>
      <c r="B163" t="s">
        <v>28</v>
      </c>
      <c r="C163" t="s">
        <v>15</v>
      </c>
      <c r="D163" t="s">
        <v>16</v>
      </c>
      <c r="E163" t="s">
        <v>120</v>
      </c>
      <c r="F163" s="6" t="str">
        <f t="shared" si="2"/>
        <v>6ML</v>
      </c>
      <c r="G163" s="11">
        <v>46043</v>
      </c>
      <c r="H163" s="12">
        <v>0.62777777777777777</v>
      </c>
      <c r="I163" s="11">
        <v>46043</v>
      </c>
      <c r="J163" s="1">
        <v>46043</v>
      </c>
      <c r="K163" s="1">
        <v>46043</v>
      </c>
      <c r="L163" t="s">
        <v>65</v>
      </c>
      <c r="M163" t="s">
        <v>30</v>
      </c>
      <c r="N163" t="s">
        <v>17</v>
      </c>
      <c r="O163" t="s">
        <v>25</v>
      </c>
      <c r="P163">
        <v>24376</v>
      </c>
      <c r="Q163" t="s">
        <v>19</v>
      </c>
      <c r="R163">
        <v>34651</v>
      </c>
      <c r="S163" t="str">
        <f>VLOOKUP(L163&amp;TEXT(I163,"mmmm")&amp;YEAR(I163),'[1]Detalle C-Fecha'!$D$2:$E$15921,2,FALSE)</f>
        <v>Expreso - Servicios Troncales</v>
      </c>
    </row>
    <row r="164" spans="1:19" x14ac:dyDescent="0.3">
      <c r="A164">
        <v>27912</v>
      </c>
      <c r="B164" t="s">
        <v>28</v>
      </c>
      <c r="C164" t="s">
        <v>15</v>
      </c>
      <c r="D164" t="s">
        <v>16</v>
      </c>
      <c r="E164" t="s">
        <v>110</v>
      </c>
      <c r="F164" s="6" t="str">
        <f t="shared" si="2"/>
        <v>5MU</v>
      </c>
      <c r="G164" s="11">
        <v>46043</v>
      </c>
      <c r="H164" s="12">
        <v>0.62777777777777777</v>
      </c>
      <c r="I164" s="11">
        <v>46043</v>
      </c>
      <c r="J164" s="1">
        <v>46043</v>
      </c>
      <c r="K164" s="1">
        <v>46043</v>
      </c>
      <c r="L164" t="s">
        <v>65</v>
      </c>
      <c r="M164" t="s">
        <v>30</v>
      </c>
      <c r="N164" t="s">
        <v>17</v>
      </c>
      <c r="O164" t="s">
        <v>25</v>
      </c>
      <c r="P164">
        <v>24377</v>
      </c>
      <c r="Q164" t="s">
        <v>19</v>
      </c>
      <c r="R164">
        <v>34652</v>
      </c>
      <c r="S164" t="str">
        <f>VLOOKUP(L164&amp;TEXT(I164,"mmmm")&amp;YEAR(I164),'[1]Detalle C-Fecha'!$D$2:$E$15921,2,FALSE)</f>
        <v>Expreso - Servicios Troncales</v>
      </c>
    </row>
    <row r="165" spans="1:19" x14ac:dyDescent="0.3">
      <c r="A165">
        <v>27912</v>
      </c>
      <c r="B165" t="s">
        <v>28</v>
      </c>
      <c r="C165" t="s">
        <v>15</v>
      </c>
      <c r="D165" t="s">
        <v>16</v>
      </c>
      <c r="E165" t="s">
        <v>110</v>
      </c>
      <c r="F165" s="6" t="str">
        <f t="shared" si="2"/>
        <v>5MU</v>
      </c>
      <c r="G165" s="11">
        <v>46043</v>
      </c>
      <c r="H165" s="12">
        <v>0.62777777777777777</v>
      </c>
      <c r="I165" s="11">
        <v>46043</v>
      </c>
      <c r="J165" s="1">
        <v>46043</v>
      </c>
      <c r="K165" s="1">
        <v>46043</v>
      </c>
      <c r="L165" t="s">
        <v>65</v>
      </c>
      <c r="M165" t="s">
        <v>30</v>
      </c>
      <c r="N165" t="s">
        <v>17</v>
      </c>
      <c r="O165" t="s">
        <v>25</v>
      </c>
      <c r="P165">
        <v>24377</v>
      </c>
      <c r="Q165" t="s">
        <v>19</v>
      </c>
      <c r="R165">
        <v>34654</v>
      </c>
      <c r="S165" t="str">
        <f>VLOOKUP(L165&amp;TEXT(I165,"mmmm")&amp;YEAR(I165),'[1]Detalle C-Fecha'!$D$2:$E$15921,2,FALSE)</f>
        <v>Expreso - Servicios Troncales</v>
      </c>
    </row>
    <row r="166" spans="1:19" x14ac:dyDescent="0.3">
      <c r="A166">
        <v>27913</v>
      </c>
      <c r="B166" t="s">
        <v>28</v>
      </c>
      <c r="C166" t="s">
        <v>15</v>
      </c>
      <c r="D166" t="s">
        <v>16</v>
      </c>
      <c r="E166" t="s">
        <v>140</v>
      </c>
      <c r="F166" s="6" t="str">
        <f t="shared" si="2"/>
        <v>4ML</v>
      </c>
      <c r="G166" s="11">
        <v>46043</v>
      </c>
      <c r="H166" s="12">
        <v>0.62777777777777777</v>
      </c>
      <c r="I166" s="11">
        <v>46043</v>
      </c>
      <c r="J166" s="1">
        <v>46043</v>
      </c>
      <c r="K166" s="1">
        <v>46043</v>
      </c>
      <c r="L166" t="s">
        <v>65</v>
      </c>
      <c r="M166" t="s">
        <v>30</v>
      </c>
      <c r="N166" t="s">
        <v>17</v>
      </c>
      <c r="O166" t="s">
        <v>25</v>
      </c>
      <c r="P166">
        <v>24378</v>
      </c>
      <c r="Q166" t="s">
        <v>19</v>
      </c>
      <c r="R166">
        <v>34656</v>
      </c>
      <c r="S166" t="str">
        <f>VLOOKUP(L166&amp;TEXT(I166,"mmmm")&amp;YEAR(I166),'[1]Detalle C-Fecha'!$D$2:$E$15921,2,FALSE)</f>
        <v>Expreso - Servicios Troncales</v>
      </c>
    </row>
    <row r="167" spans="1:19" x14ac:dyDescent="0.3">
      <c r="A167">
        <v>27913</v>
      </c>
      <c r="B167" t="s">
        <v>28</v>
      </c>
      <c r="C167" t="s">
        <v>15</v>
      </c>
      <c r="D167" t="s">
        <v>16</v>
      </c>
      <c r="E167" t="s">
        <v>140</v>
      </c>
      <c r="F167" s="6" t="str">
        <f t="shared" si="2"/>
        <v>4ML</v>
      </c>
      <c r="G167" s="11">
        <v>46043</v>
      </c>
      <c r="H167" s="12">
        <v>0.62777777777777777</v>
      </c>
      <c r="I167" s="11">
        <v>46043</v>
      </c>
      <c r="J167" s="1">
        <v>46043</v>
      </c>
      <c r="K167" s="1">
        <v>46043</v>
      </c>
      <c r="L167" t="s">
        <v>65</v>
      </c>
      <c r="M167" t="s">
        <v>30</v>
      </c>
      <c r="N167" t="s">
        <v>17</v>
      </c>
      <c r="O167" t="s">
        <v>25</v>
      </c>
      <c r="P167">
        <v>24378</v>
      </c>
      <c r="Q167" t="s">
        <v>19</v>
      </c>
      <c r="R167">
        <v>34657</v>
      </c>
      <c r="S167" t="str">
        <f>VLOOKUP(L167&amp;TEXT(I167,"mmmm")&amp;YEAR(I167),'[1]Detalle C-Fecha'!$D$2:$E$15921,2,FALSE)</f>
        <v>Expreso - Servicios Troncales</v>
      </c>
    </row>
    <row r="168" spans="1:19" x14ac:dyDescent="0.3">
      <c r="A168">
        <v>27914</v>
      </c>
      <c r="B168" t="s">
        <v>28</v>
      </c>
      <c r="C168" t="s">
        <v>15</v>
      </c>
      <c r="D168" t="s">
        <v>16</v>
      </c>
      <c r="E168" t="s">
        <v>141</v>
      </c>
      <c r="F168" s="6" t="str">
        <f t="shared" si="2"/>
        <v>5ML</v>
      </c>
      <c r="G168" s="11">
        <v>46043</v>
      </c>
      <c r="H168" s="12">
        <v>0.62777777777777777</v>
      </c>
      <c r="I168" s="11">
        <v>46043</v>
      </c>
      <c r="J168" s="1">
        <v>46043</v>
      </c>
      <c r="K168" s="1">
        <v>46043</v>
      </c>
      <c r="L168" t="s">
        <v>65</v>
      </c>
      <c r="M168" t="s">
        <v>30</v>
      </c>
      <c r="N168" t="s">
        <v>17</v>
      </c>
      <c r="O168" t="s">
        <v>25</v>
      </c>
      <c r="P168">
        <v>24379</v>
      </c>
      <c r="Q168" t="s">
        <v>19</v>
      </c>
      <c r="R168">
        <v>34658</v>
      </c>
      <c r="S168" t="str">
        <f>VLOOKUP(L168&amp;TEXT(I168,"mmmm")&amp;YEAR(I168),'[1]Detalle C-Fecha'!$D$2:$E$15921,2,FALSE)</f>
        <v>Expreso - Servicios Troncales</v>
      </c>
    </row>
    <row r="169" spans="1:19" x14ac:dyDescent="0.3">
      <c r="A169">
        <v>27914</v>
      </c>
      <c r="B169" t="s">
        <v>28</v>
      </c>
      <c r="C169" t="s">
        <v>15</v>
      </c>
      <c r="D169" t="s">
        <v>16</v>
      </c>
      <c r="E169" t="s">
        <v>141</v>
      </c>
      <c r="F169" s="6" t="str">
        <f t="shared" si="2"/>
        <v>5ML</v>
      </c>
      <c r="G169" s="11">
        <v>46043</v>
      </c>
      <c r="H169" s="12">
        <v>0.62777777777777777</v>
      </c>
      <c r="I169" s="11">
        <v>46043</v>
      </c>
      <c r="J169" s="1">
        <v>46043</v>
      </c>
      <c r="K169" s="1">
        <v>46043</v>
      </c>
      <c r="L169" t="s">
        <v>65</v>
      </c>
      <c r="M169" t="s">
        <v>30</v>
      </c>
      <c r="N169" t="s">
        <v>17</v>
      </c>
      <c r="O169" t="s">
        <v>25</v>
      </c>
      <c r="P169">
        <v>24379</v>
      </c>
      <c r="Q169" t="s">
        <v>19</v>
      </c>
      <c r="R169">
        <v>34659</v>
      </c>
      <c r="S169" t="str">
        <f>VLOOKUP(L169&amp;TEXT(I169,"mmmm")&amp;YEAR(I169),'[1]Detalle C-Fecha'!$D$2:$E$15921,2,FALSE)</f>
        <v>Expreso - Servicios Troncales</v>
      </c>
    </row>
    <row r="170" spans="1:19" x14ac:dyDescent="0.3">
      <c r="A170">
        <v>27945</v>
      </c>
      <c r="B170" t="s">
        <v>28</v>
      </c>
      <c r="C170" t="s">
        <v>15</v>
      </c>
      <c r="D170" t="s">
        <v>16</v>
      </c>
      <c r="E170" t="s">
        <v>115</v>
      </c>
      <c r="F170" s="6" t="str">
        <f t="shared" si="2"/>
        <v>2ML</v>
      </c>
      <c r="G170" s="11">
        <v>46045</v>
      </c>
      <c r="H170" s="12">
        <v>0.55555555555555558</v>
      </c>
      <c r="I170" s="11">
        <v>46044</v>
      </c>
      <c r="J170" s="1">
        <v>46044</v>
      </c>
      <c r="K170" s="1">
        <v>46044</v>
      </c>
      <c r="L170" t="s">
        <v>73</v>
      </c>
      <c r="M170" t="s">
        <v>62</v>
      </c>
      <c r="N170" t="s">
        <v>17</v>
      </c>
      <c r="O170" t="s">
        <v>25</v>
      </c>
      <c r="P170">
        <v>24406</v>
      </c>
      <c r="Q170" t="s">
        <v>19</v>
      </c>
      <c r="R170">
        <v>34666</v>
      </c>
      <c r="S170" t="str">
        <f>VLOOKUP(L170&amp;TEXT(I170,"mmmm")&amp;YEAR(I170),'[1]Detalle C-Fecha'!$D$2:$E$15921,2,FALSE)</f>
        <v>Expreso - Servicios Troncales</v>
      </c>
    </row>
    <row r="171" spans="1:19" x14ac:dyDescent="0.3">
      <c r="A171">
        <v>27945</v>
      </c>
      <c r="B171" t="s">
        <v>28</v>
      </c>
      <c r="C171" t="s">
        <v>15</v>
      </c>
      <c r="D171" t="s">
        <v>16</v>
      </c>
      <c r="E171" t="s">
        <v>115</v>
      </c>
      <c r="F171" s="6" t="str">
        <f t="shared" si="2"/>
        <v>2ML</v>
      </c>
      <c r="G171" s="11">
        <v>46045</v>
      </c>
      <c r="H171" s="12">
        <v>0.55555555555555558</v>
      </c>
      <c r="I171" s="11">
        <v>46044</v>
      </c>
      <c r="J171" s="1">
        <v>46044</v>
      </c>
      <c r="K171" s="1">
        <v>46044</v>
      </c>
      <c r="L171" t="s">
        <v>73</v>
      </c>
      <c r="M171" t="s">
        <v>62</v>
      </c>
      <c r="N171" t="s">
        <v>17</v>
      </c>
      <c r="O171" t="s">
        <v>25</v>
      </c>
      <c r="P171">
        <v>24406</v>
      </c>
      <c r="Q171" t="s">
        <v>19</v>
      </c>
      <c r="R171">
        <v>34667</v>
      </c>
      <c r="S171" t="str">
        <f>VLOOKUP(L171&amp;TEXT(I171,"mmmm")&amp;YEAR(I171),'[1]Detalle C-Fecha'!$D$2:$E$15921,2,FALSE)</f>
        <v>Expreso - Servicios Troncales</v>
      </c>
    </row>
    <row r="172" spans="1:19" x14ac:dyDescent="0.3">
      <c r="A172">
        <v>27946</v>
      </c>
      <c r="B172" t="s">
        <v>28</v>
      </c>
      <c r="C172" t="s">
        <v>15</v>
      </c>
      <c r="D172" t="s">
        <v>16</v>
      </c>
      <c r="E172" t="s">
        <v>116</v>
      </c>
      <c r="F172" s="6" t="str">
        <f t="shared" si="2"/>
        <v>3ML</v>
      </c>
      <c r="G172" s="11">
        <v>46045</v>
      </c>
      <c r="H172" s="12">
        <v>0.55555555555555558</v>
      </c>
      <c r="I172" s="11">
        <v>46044</v>
      </c>
      <c r="J172" s="1">
        <v>46044</v>
      </c>
      <c r="K172" s="1">
        <v>46044</v>
      </c>
      <c r="L172" t="s">
        <v>73</v>
      </c>
      <c r="M172" t="s">
        <v>62</v>
      </c>
      <c r="N172" t="s">
        <v>17</v>
      </c>
      <c r="O172" t="s">
        <v>25</v>
      </c>
      <c r="P172">
        <v>24407</v>
      </c>
      <c r="Q172" t="s">
        <v>19</v>
      </c>
      <c r="R172">
        <v>34668</v>
      </c>
      <c r="S172" t="str">
        <f>VLOOKUP(L172&amp;TEXT(I172,"mmmm")&amp;YEAR(I172),'[1]Detalle C-Fecha'!$D$2:$E$15921,2,FALSE)</f>
        <v>Expreso - Servicios Troncales</v>
      </c>
    </row>
    <row r="173" spans="1:19" x14ac:dyDescent="0.3">
      <c r="A173">
        <v>27946</v>
      </c>
      <c r="B173" t="s">
        <v>28</v>
      </c>
      <c r="C173" t="s">
        <v>15</v>
      </c>
      <c r="D173" t="s">
        <v>16</v>
      </c>
      <c r="E173" t="s">
        <v>116</v>
      </c>
      <c r="F173" s="6" t="str">
        <f t="shared" si="2"/>
        <v>3ML</v>
      </c>
      <c r="G173" s="11">
        <v>46045</v>
      </c>
      <c r="H173" s="12">
        <v>0.55555555555555558</v>
      </c>
      <c r="I173" s="11">
        <v>46044</v>
      </c>
      <c r="J173" s="1">
        <v>46044</v>
      </c>
      <c r="K173" s="1">
        <v>46044</v>
      </c>
      <c r="L173" t="s">
        <v>73</v>
      </c>
      <c r="M173" t="s">
        <v>62</v>
      </c>
      <c r="N173" t="s">
        <v>17</v>
      </c>
      <c r="O173" t="s">
        <v>25</v>
      </c>
      <c r="P173">
        <v>24407</v>
      </c>
      <c r="Q173" t="s">
        <v>19</v>
      </c>
      <c r="R173">
        <v>34669</v>
      </c>
      <c r="S173" t="str">
        <f>VLOOKUP(L173&amp;TEXT(I173,"mmmm")&amp;YEAR(I173),'[1]Detalle C-Fecha'!$D$2:$E$15921,2,FALSE)</f>
        <v>Expreso - Servicios Troncales</v>
      </c>
    </row>
    <row r="174" spans="1:19" x14ac:dyDescent="0.3">
      <c r="A174">
        <v>27947</v>
      </c>
      <c r="B174" t="s">
        <v>28</v>
      </c>
      <c r="C174" t="s">
        <v>15</v>
      </c>
      <c r="D174" t="s">
        <v>16</v>
      </c>
      <c r="E174" t="s">
        <v>117</v>
      </c>
      <c r="F174" s="6" t="str">
        <f t="shared" si="2"/>
        <v>6ML</v>
      </c>
      <c r="G174" s="11">
        <v>46045</v>
      </c>
      <c r="H174" s="12">
        <v>0.55555555555555558</v>
      </c>
      <c r="I174" s="11">
        <v>46044</v>
      </c>
      <c r="J174" s="1">
        <v>46044</v>
      </c>
      <c r="K174" s="1">
        <v>46044</v>
      </c>
      <c r="L174" t="s">
        <v>73</v>
      </c>
      <c r="M174" t="s">
        <v>62</v>
      </c>
      <c r="N174" t="s">
        <v>17</v>
      </c>
      <c r="O174" t="s">
        <v>25</v>
      </c>
      <c r="P174">
        <v>24408</v>
      </c>
      <c r="Q174" t="s">
        <v>19</v>
      </c>
      <c r="R174">
        <v>34670</v>
      </c>
      <c r="S174" t="str">
        <f>VLOOKUP(L174&amp;TEXT(I174,"mmmm")&amp;YEAR(I174),'[1]Detalle C-Fecha'!$D$2:$E$15921,2,FALSE)</f>
        <v>Expreso - Servicios Troncales</v>
      </c>
    </row>
    <row r="175" spans="1:19" x14ac:dyDescent="0.3">
      <c r="A175">
        <v>27947</v>
      </c>
      <c r="B175" t="s">
        <v>28</v>
      </c>
      <c r="C175" t="s">
        <v>15</v>
      </c>
      <c r="D175" t="s">
        <v>16</v>
      </c>
      <c r="E175" t="s">
        <v>117</v>
      </c>
      <c r="F175" s="6" t="str">
        <f t="shared" si="2"/>
        <v>6ML</v>
      </c>
      <c r="G175" s="11">
        <v>46045</v>
      </c>
      <c r="H175" s="12">
        <v>0.55555555555555558</v>
      </c>
      <c r="I175" s="11">
        <v>46044</v>
      </c>
      <c r="J175" s="1">
        <v>46044</v>
      </c>
      <c r="K175" s="1">
        <v>46044</v>
      </c>
      <c r="L175" t="s">
        <v>73</v>
      </c>
      <c r="M175" t="s">
        <v>62</v>
      </c>
      <c r="N175" t="s">
        <v>17</v>
      </c>
      <c r="O175" t="s">
        <v>25</v>
      </c>
      <c r="P175">
        <v>24408</v>
      </c>
      <c r="Q175" t="s">
        <v>19</v>
      </c>
      <c r="R175">
        <v>34671</v>
      </c>
      <c r="S175" t="str">
        <f>VLOOKUP(L175&amp;TEXT(I175,"mmmm")&amp;YEAR(I175),'[1]Detalle C-Fecha'!$D$2:$E$15921,2,FALSE)</f>
        <v>Expreso - Servicios Troncales</v>
      </c>
    </row>
    <row r="176" spans="1:19" x14ac:dyDescent="0.3">
      <c r="A176">
        <v>27949</v>
      </c>
      <c r="B176" t="s">
        <v>28</v>
      </c>
      <c r="C176" t="s">
        <v>15</v>
      </c>
      <c r="D176" t="s">
        <v>16</v>
      </c>
      <c r="E176" t="s">
        <v>51</v>
      </c>
      <c r="F176" s="6" t="str">
        <f t="shared" si="2"/>
        <v>2MC</v>
      </c>
      <c r="G176" s="11">
        <v>46045</v>
      </c>
      <c r="H176" s="12">
        <v>0.55625000000000002</v>
      </c>
      <c r="I176" s="11">
        <v>46044</v>
      </c>
      <c r="J176" s="1">
        <v>46044</v>
      </c>
      <c r="K176" s="1">
        <v>46044</v>
      </c>
      <c r="L176" t="s">
        <v>80</v>
      </c>
      <c r="M176">
        <v>1624</v>
      </c>
      <c r="N176" t="s">
        <v>17</v>
      </c>
      <c r="O176" t="s">
        <v>24</v>
      </c>
      <c r="P176">
        <v>24410</v>
      </c>
      <c r="Q176" t="s">
        <v>19</v>
      </c>
      <c r="R176">
        <v>34674</v>
      </c>
      <c r="S176" t="str">
        <f>VLOOKUP(L176&amp;TEXT(I176,"mmmm")&amp;YEAR(I176),'[1]Detalle C-Fecha'!$D$2:$E$15921,2,FALSE)</f>
        <v>CENCO_MZ - Cencosud SA - Mendoza</v>
      </c>
    </row>
    <row r="177" spans="1:19" x14ac:dyDescent="0.3">
      <c r="A177">
        <v>27949</v>
      </c>
      <c r="B177" t="s">
        <v>28</v>
      </c>
      <c r="C177" t="s">
        <v>15</v>
      </c>
      <c r="D177" t="s">
        <v>16</v>
      </c>
      <c r="E177" t="s">
        <v>51</v>
      </c>
      <c r="F177" s="6" t="str">
        <f t="shared" si="2"/>
        <v>2MC</v>
      </c>
      <c r="G177" s="11">
        <v>46045</v>
      </c>
      <c r="H177" s="12">
        <v>0.55625000000000002</v>
      </c>
      <c r="I177" s="11">
        <v>46044</v>
      </c>
      <c r="J177" s="1">
        <v>46044</v>
      </c>
      <c r="K177" s="1">
        <v>46044</v>
      </c>
      <c r="L177" t="s">
        <v>80</v>
      </c>
      <c r="M177">
        <v>1624</v>
      </c>
      <c r="N177" t="s">
        <v>17</v>
      </c>
      <c r="O177" t="s">
        <v>24</v>
      </c>
      <c r="P177">
        <v>24410</v>
      </c>
      <c r="Q177" t="s">
        <v>19</v>
      </c>
      <c r="R177">
        <v>34675</v>
      </c>
      <c r="S177" t="str">
        <f>VLOOKUP(L177&amp;TEXT(I177,"mmmm")&amp;YEAR(I177),'[1]Detalle C-Fecha'!$D$2:$E$15921,2,FALSE)</f>
        <v>CENCO_MZ - Cencosud SA - Mendoza</v>
      </c>
    </row>
    <row r="178" spans="1:19" x14ac:dyDescent="0.3">
      <c r="A178">
        <v>27950</v>
      </c>
      <c r="B178" t="s">
        <v>28</v>
      </c>
      <c r="C178" t="s">
        <v>15</v>
      </c>
      <c r="D178" t="s">
        <v>16</v>
      </c>
      <c r="E178" t="s">
        <v>53</v>
      </c>
      <c r="F178" s="6" t="str">
        <f t="shared" si="2"/>
        <v>3MC</v>
      </c>
      <c r="G178" s="11">
        <v>46045</v>
      </c>
      <c r="H178" s="12">
        <v>0.55625000000000002</v>
      </c>
      <c r="I178" s="11">
        <v>46044</v>
      </c>
      <c r="J178" s="1">
        <v>46044</v>
      </c>
      <c r="K178" s="1">
        <v>46044</v>
      </c>
      <c r="L178" t="s">
        <v>80</v>
      </c>
      <c r="M178">
        <v>1624</v>
      </c>
      <c r="N178" t="s">
        <v>17</v>
      </c>
      <c r="O178" t="s">
        <v>24</v>
      </c>
      <c r="P178">
        <v>24411</v>
      </c>
      <c r="Q178" t="s">
        <v>19</v>
      </c>
      <c r="R178">
        <v>34676</v>
      </c>
      <c r="S178" t="str">
        <f>VLOOKUP(L178&amp;TEXT(I178,"mmmm")&amp;YEAR(I178),'[1]Detalle C-Fecha'!$D$2:$E$15921,2,FALSE)</f>
        <v>CENCO_MZ - Cencosud SA - Mendoza</v>
      </c>
    </row>
    <row r="179" spans="1:19" x14ac:dyDescent="0.3">
      <c r="A179">
        <v>27950</v>
      </c>
      <c r="B179" t="s">
        <v>28</v>
      </c>
      <c r="C179" t="s">
        <v>15</v>
      </c>
      <c r="D179" t="s">
        <v>16</v>
      </c>
      <c r="E179" t="s">
        <v>53</v>
      </c>
      <c r="F179" s="6" t="str">
        <f t="shared" si="2"/>
        <v>3MC</v>
      </c>
      <c r="G179" s="11">
        <v>46045</v>
      </c>
      <c r="H179" s="12">
        <v>0.55625000000000002</v>
      </c>
      <c r="I179" s="11">
        <v>46044</v>
      </c>
      <c r="J179" s="1">
        <v>46044</v>
      </c>
      <c r="K179" s="1">
        <v>46044</v>
      </c>
      <c r="L179" t="s">
        <v>80</v>
      </c>
      <c r="M179">
        <v>1624</v>
      </c>
      <c r="N179" t="s">
        <v>17</v>
      </c>
      <c r="O179" t="s">
        <v>24</v>
      </c>
      <c r="P179">
        <v>24411</v>
      </c>
      <c r="Q179" t="s">
        <v>19</v>
      </c>
      <c r="R179">
        <v>34677</v>
      </c>
      <c r="S179" t="str">
        <f>VLOOKUP(L179&amp;TEXT(I179,"mmmm")&amp;YEAR(I179),'[1]Detalle C-Fecha'!$D$2:$E$15921,2,FALSE)</f>
        <v>CENCO_MZ - Cencosud SA - Mendoza</v>
      </c>
    </row>
    <row r="180" spans="1:19" x14ac:dyDescent="0.3">
      <c r="A180">
        <v>27951</v>
      </c>
      <c r="B180" t="s">
        <v>28</v>
      </c>
      <c r="C180" t="s">
        <v>15</v>
      </c>
      <c r="D180" t="s">
        <v>16</v>
      </c>
      <c r="E180" t="s">
        <v>52</v>
      </c>
      <c r="F180" s="6" t="str">
        <f t="shared" si="2"/>
        <v>6MC</v>
      </c>
      <c r="G180" s="11">
        <v>46045</v>
      </c>
      <c r="H180" s="12">
        <v>0.55625000000000002</v>
      </c>
      <c r="I180" s="11">
        <v>46044</v>
      </c>
      <c r="J180" s="1">
        <v>46044</v>
      </c>
      <c r="K180" s="1">
        <v>46044</v>
      </c>
      <c r="L180" t="s">
        <v>80</v>
      </c>
      <c r="M180">
        <v>1624</v>
      </c>
      <c r="N180" t="s">
        <v>17</v>
      </c>
      <c r="O180" t="s">
        <v>24</v>
      </c>
      <c r="P180">
        <v>24412</v>
      </c>
      <c r="Q180" t="s">
        <v>19</v>
      </c>
      <c r="R180">
        <v>34678</v>
      </c>
      <c r="S180" t="str">
        <f>VLOOKUP(L180&amp;TEXT(I180,"mmmm")&amp;YEAR(I180),'[1]Detalle C-Fecha'!$D$2:$E$15921,2,FALSE)</f>
        <v>CENCO_MZ - Cencosud SA - Mendoza</v>
      </c>
    </row>
    <row r="181" spans="1:19" x14ac:dyDescent="0.3">
      <c r="A181">
        <v>27951</v>
      </c>
      <c r="B181" t="s">
        <v>28</v>
      </c>
      <c r="C181" t="s">
        <v>15</v>
      </c>
      <c r="D181" t="s">
        <v>16</v>
      </c>
      <c r="E181" t="s">
        <v>52</v>
      </c>
      <c r="F181" s="6" t="str">
        <f t="shared" si="2"/>
        <v>6MC</v>
      </c>
      <c r="G181" s="11">
        <v>46045</v>
      </c>
      <c r="H181" s="12">
        <v>0.55625000000000002</v>
      </c>
      <c r="I181" s="11">
        <v>46044</v>
      </c>
      <c r="J181" s="1">
        <v>46044</v>
      </c>
      <c r="K181" s="1">
        <v>46044</v>
      </c>
      <c r="L181" t="s">
        <v>80</v>
      </c>
      <c r="M181">
        <v>1624</v>
      </c>
      <c r="N181" t="s">
        <v>17</v>
      </c>
      <c r="O181" t="s">
        <v>24</v>
      </c>
      <c r="P181">
        <v>24412</v>
      </c>
      <c r="Q181" t="s">
        <v>19</v>
      </c>
      <c r="R181">
        <v>34679</v>
      </c>
      <c r="S181" t="str">
        <f>VLOOKUP(L181&amp;TEXT(I181,"mmmm")&amp;YEAR(I181),'[1]Detalle C-Fecha'!$D$2:$E$15921,2,FALSE)</f>
        <v>CENCO_MZ - Cencosud SA - Mendoza</v>
      </c>
    </row>
    <row r="182" spans="1:19" x14ac:dyDescent="0.3">
      <c r="A182">
        <v>27971</v>
      </c>
      <c r="B182" t="s">
        <v>28</v>
      </c>
      <c r="C182" t="s">
        <v>15</v>
      </c>
      <c r="D182" t="s">
        <v>16</v>
      </c>
      <c r="E182" t="s">
        <v>35</v>
      </c>
      <c r="F182" s="6" t="str">
        <f t="shared" si="2"/>
        <v>2ML</v>
      </c>
      <c r="G182" s="11">
        <v>46046</v>
      </c>
      <c r="H182" s="12">
        <v>0.36249999999999999</v>
      </c>
      <c r="I182" s="11">
        <v>46046</v>
      </c>
      <c r="J182" s="1">
        <v>46046</v>
      </c>
      <c r="K182" s="1">
        <v>46055</v>
      </c>
      <c r="L182" t="s">
        <v>67</v>
      </c>
      <c r="M182" t="s">
        <v>68</v>
      </c>
      <c r="N182" t="s">
        <v>21</v>
      </c>
      <c r="O182" t="s">
        <v>24</v>
      </c>
      <c r="P182">
        <v>24431</v>
      </c>
      <c r="Q182" t="s">
        <v>19</v>
      </c>
      <c r="R182">
        <v>34914</v>
      </c>
      <c r="S182" t="str">
        <f>VLOOKUP(L182&amp;TEXT(I182,"mmmm")&amp;YEAR(I182),'[1]Detalle C-Fecha'!$D$2:$E$15921,2,FALSE)</f>
        <v>ADA_CH - Danone Arg. S.A. - Chascomus</v>
      </c>
    </row>
    <row r="183" spans="1:19" x14ac:dyDescent="0.3">
      <c r="A183">
        <v>27971</v>
      </c>
      <c r="B183" t="s">
        <v>28</v>
      </c>
      <c r="C183" t="s">
        <v>15</v>
      </c>
      <c r="D183" t="s">
        <v>16</v>
      </c>
      <c r="E183" t="s">
        <v>35</v>
      </c>
      <c r="F183" s="6" t="str">
        <f t="shared" si="2"/>
        <v>2ML</v>
      </c>
      <c r="G183" s="11">
        <v>46046</v>
      </c>
      <c r="H183" s="12">
        <v>0.36249999999999999</v>
      </c>
      <c r="I183" s="11">
        <v>46046</v>
      </c>
      <c r="J183" s="1">
        <v>46046</v>
      </c>
      <c r="K183" s="1">
        <v>46055</v>
      </c>
      <c r="L183" t="s">
        <v>67</v>
      </c>
      <c r="M183" t="s">
        <v>68</v>
      </c>
      <c r="N183" t="s">
        <v>21</v>
      </c>
      <c r="O183" t="s">
        <v>24</v>
      </c>
      <c r="P183">
        <v>24431</v>
      </c>
      <c r="Q183" t="s">
        <v>19</v>
      </c>
      <c r="R183">
        <v>35085</v>
      </c>
      <c r="S183" t="str">
        <f>VLOOKUP(L183&amp;TEXT(I183,"mmmm")&amp;YEAR(I183),'[1]Detalle C-Fecha'!$D$2:$E$15921,2,FALSE)</f>
        <v>ADA_CH - Danone Arg. S.A. - Chascomus</v>
      </c>
    </row>
    <row r="184" spans="1:19" x14ac:dyDescent="0.3">
      <c r="A184">
        <v>27972</v>
      </c>
      <c r="B184" t="s">
        <v>28</v>
      </c>
      <c r="C184" t="s">
        <v>15</v>
      </c>
      <c r="D184" t="s">
        <v>16</v>
      </c>
      <c r="E184" t="s">
        <v>47</v>
      </c>
      <c r="F184" s="6" t="str">
        <f t="shared" si="2"/>
        <v>3ML</v>
      </c>
      <c r="G184" s="11">
        <v>46046</v>
      </c>
      <c r="H184" s="12">
        <v>0.36249999999999999</v>
      </c>
      <c r="I184" s="11">
        <v>46046</v>
      </c>
      <c r="J184" s="1">
        <v>46046</v>
      </c>
      <c r="K184" s="1">
        <v>46055</v>
      </c>
      <c r="L184" t="s">
        <v>67</v>
      </c>
      <c r="M184" t="s">
        <v>68</v>
      </c>
      <c r="N184" t="s">
        <v>21</v>
      </c>
      <c r="O184" t="s">
        <v>24</v>
      </c>
      <c r="P184">
        <v>24432</v>
      </c>
      <c r="Q184" t="s">
        <v>19</v>
      </c>
      <c r="R184">
        <v>34915</v>
      </c>
      <c r="S184" t="str">
        <f>VLOOKUP(L184&amp;TEXT(I184,"mmmm")&amp;YEAR(I184),'[1]Detalle C-Fecha'!$D$2:$E$15921,2,FALSE)</f>
        <v>ADA_CH - Danone Arg. S.A. - Chascomus</v>
      </c>
    </row>
    <row r="185" spans="1:19" x14ac:dyDescent="0.3">
      <c r="A185">
        <v>27972</v>
      </c>
      <c r="B185" t="s">
        <v>28</v>
      </c>
      <c r="C185" t="s">
        <v>15</v>
      </c>
      <c r="D185" t="s">
        <v>16</v>
      </c>
      <c r="E185" t="s">
        <v>47</v>
      </c>
      <c r="F185" s="6" t="str">
        <f t="shared" si="2"/>
        <v>3ML</v>
      </c>
      <c r="G185" s="11">
        <v>46046</v>
      </c>
      <c r="H185" s="12">
        <v>0.36249999999999999</v>
      </c>
      <c r="I185" s="11">
        <v>46046</v>
      </c>
      <c r="J185" s="1">
        <v>46046</v>
      </c>
      <c r="K185" s="1">
        <v>46055</v>
      </c>
      <c r="L185" t="s">
        <v>67</v>
      </c>
      <c r="M185" t="s">
        <v>68</v>
      </c>
      <c r="N185" t="s">
        <v>21</v>
      </c>
      <c r="O185" t="s">
        <v>24</v>
      </c>
      <c r="P185">
        <v>24432</v>
      </c>
      <c r="Q185" t="s">
        <v>19</v>
      </c>
      <c r="R185">
        <v>35085</v>
      </c>
      <c r="S185" t="str">
        <f>VLOOKUP(L185&amp;TEXT(I185,"mmmm")&amp;YEAR(I185),'[1]Detalle C-Fecha'!$D$2:$E$15921,2,FALSE)</f>
        <v>ADA_CH - Danone Arg. S.A. - Chascomus</v>
      </c>
    </row>
    <row r="186" spans="1:19" x14ac:dyDescent="0.3">
      <c r="A186">
        <v>27975</v>
      </c>
      <c r="B186" t="s">
        <v>28</v>
      </c>
      <c r="C186" t="s">
        <v>15</v>
      </c>
      <c r="D186" t="s">
        <v>16</v>
      </c>
      <c r="E186" t="s">
        <v>137</v>
      </c>
      <c r="F186" s="6" t="str">
        <f t="shared" si="2"/>
        <v>7ML</v>
      </c>
      <c r="G186" s="11">
        <v>46046</v>
      </c>
      <c r="H186" s="12">
        <v>0.39166666666666666</v>
      </c>
      <c r="I186" s="11">
        <v>46046</v>
      </c>
      <c r="J186" s="1">
        <v>46046</v>
      </c>
      <c r="K186" s="1">
        <v>46055</v>
      </c>
      <c r="L186" t="s">
        <v>67</v>
      </c>
      <c r="M186" t="s">
        <v>68</v>
      </c>
      <c r="N186" t="s">
        <v>21</v>
      </c>
      <c r="O186" t="s">
        <v>24</v>
      </c>
      <c r="P186">
        <v>24435</v>
      </c>
      <c r="Q186" t="s">
        <v>19</v>
      </c>
      <c r="R186">
        <v>34918</v>
      </c>
      <c r="S186" t="str">
        <f>VLOOKUP(L186&amp;TEXT(I186,"mmmm")&amp;YEAR(I186),'[1]Detalle C-Fecha'!$D$2:$E$15921,2,FALSE)</f>
        <v>ADA_CH - Danone Arg. S.A. - Chascomus</v>
      </c>
    </row>
    <row r="187" spans="1:19" x14ac:dyDescent="0.3">
      <c r="A187">
        <v>27975</v>
      </c>
      <c r="B187" t="s">
        <v>28</v>
      </c>
      <c r="C187" t="s">
        <v>15</v>
      </c>
      <c r="D187" t="s">
        <v>16</v>
      </c>
      <c r="E187" t="s">
        <v>137</v>
      </c>
      <c r="F187" s="6" t="str">
        <f t="shared" si="2"/>
        <v>7ML</v>
      </c>
      <c r="G187" s="11">
        <v>46046</v>
      </c>
      <c r="H187" s="12">
        <v>0.39166666666666666</v>
      </c>
      <c r="I187" s="11">
        <v>46046</v>
      </c>
      <c r="J187" s="1">
        <v>46046</v>
      </c>
      <c r="K187" s="1">
        <v>46055</v>
      </c>
      <c r="L187" t="s">
        <v>67</v>
      </c>
      <c r="M187" t="s">
        <v>68</v>
      </c>
      <c r="N187" t="s">
        <v>21</v>
      </c>
      <c r="O187" t="s">
        <v>24</v>
      </c>
      <c r="P187">
        <v>24435</v>
      </c>
      <c r="Q187" t="s">
        <v>19</v>
      </c>
      <c r="R187">
        <v>35085</v>
      </c>
      <c r="S187" t="str">
        <f>VLOOKUP(L187&amp;TEXT(I187,"mmmm")&amp;YEAR(I187),'[1]Detalle C-Fecha'!$D$2:$E$15921,2,FALSE)</f>
        <v>ADA_CH - Danone Arg. S.A. - Chascomus</v>
      </c>
    </row>
    <row r="188" spans="1:19" x14ac:dyDescent="0.3">
      <c r="A188">
        <v>27983</v>
      </c>
      <c r="B188" t="s">
        <v>28</v>
      </c>
      <c r="C188" t="s">
        <v>15</v>
      </c>
      <c r="D188" t="s">
        <v>16</v>
      </c>
      <c r="E188" t="s">
        <v>51</v>
      </c>
      <c r="F188" s="6" t="str">
        <f t="shared" si="2"/>
        <v>2MC</v>
      </c>
      <c r="G188" s="11">
        <v>46048</v>
      </c>
      <c r="H188" s="12">
        <v>0.30277777777777776</v>
      </c>
      <c r="I188" s="11">
        <v>46048</v>
      </c>
      <c r="K188" s="1">
        <v>46055</v>
      </c>
      <c r="L188" t="s">
        <v>60</v>
      </c>
      <c r="M188">
        <v>1620</v>
      </c>
      <c r="N188" t="s">
        <v>21</v>
      </c>
      <c r="O188" t="s">
        <v>27</v>
      </c>
      <c r="P188">
        <v>24442</v>
      </c>
      <c r="Q188" t="s">
        <v>19</v>
      </c>
      <c r="R188">
        <v>34921</v>
      </c>
      <c r="S188" t="str">
        <f>VLOOKUP(L188&amp;TEXT(I188,"mmmm")&amp;YEAR(I188),'[1]Detalle C-Fecha'!$D$2:$E$15921,2,FALSE)</f>
        <v>Arcor S.A.I.C.</v>
      </c>
    </row>
    <row r="189" spans="1:19" x14ac:dyDescent="0.3">
      <c r="A189">
        <v>27983</v>
      </c>
      <c r="B189" t="s">
        <v>28</v>
      </c>
      <c r="C189" t="s">
        <v>15</v>
      </c>
      <c r="D189" t="s">
        <v>16</v>
      </c>
      <c r="E189" t="s">
        <v>51</v>
      </c>
      <c r="F189" s="6" t="str">
        <f t="shared" si="2"/>
        <v>2MC</v>
      </c>
      <c r="G189" s="11">
        <v>46048</v>
      </c>
      <c r="H189" s="12">
        <v>0.30277777777777776</v>
      </c>
      <c r="I189" s="11">
        <v>46048</v>
      </c>
      <c r="K189" s="1">
        <v>46055</v>
      </c>
      <c r="L189" t="s">
        <v>60</v>
      </c>
      <c r="M189">
        <v>1620</v>
      </c>
      <c r="N189" t="s">
        <v>21</v>
      </c>
      <c r="O189" t="s">
        <v>27</v>
      </c>
      <c r="P189">
        <v>24442</v>
      </c>
      <c r="Q189" t="s">
        <v>19</v>
      </c>
      <c r="R189">
        <v>35087</v>
      </c>
      <c r="S189" t="str">
        <f>VLOOKUP(L189&amp;TEXT(I189,"mmmm")&amp;YEAR(I189),'[1]Detalle C-Fecha'!$D$2:$E$15921,2,FALSE)</f>
        <v>Arcor S.A.I.C.</v>
      </c>
    </row>
    <row r="190" spans="1:19" x14ac:dyDescent="0.3">
      <c r="A190">
        <v>27984</v>
      </c>
      <c r="B190" t="s">
        <v>28</v>
      </c>
      <c r="C190" t="s">
        <v>15</v>
      </c>
      <c r="D190" t="s">
        <v>16</v>
      </c>
      <c r="E190" t="s">
        <v>53</v>
      </c>
      <c r="F190" s="6" t="str">
        <f t="shared" si="2"/>
        <v>3MC</v>
      </c>
      <c r="G190" s="11">
        <v>46048</v>
      </c>
      <c r="H190" s="12">
        <v>0.30277777777777776</v>
      </c>
      <c r="I190" s="11">
        <v>46048</v>
      </c>
      <c r="K190" s="1">
        <v>46055</v>
      </c>
      <c r="L190" t="s">
        <v>60</v>
      </c>
      <c r="M190">
        <v>1620</v>
      </c>
      <c r="N190" t="s">
        <v>21</v>
      </c>
      <c r="O190" t="s">
        <v>27</v>
      </c>
      <c r="P190">
        <v>24443</v>
      </c>
      <c r="Q190" t="s">
        <v>19</v>
      </c>
      <c r="R190">
        <v>34922</v>
      </c>
      <c r="S190" t="str">
        <f>VLOOKUP(L190&amp;TEXT(I190,"mmmm")&amp;YEAR(I190),'[1]Detalle C-Fecha'!$D$2:$E$15921,2,FALSE)</f>
        <v>Arcor S.A.I.C.</v>
      </c>
    </row>
    <row r="191" spans="1:19" x14ac:dyDescent="0.3">
      <c r="A191">
        <v>27984</v>
      </c>
      <c r="B191" t="s">
        <v>28</v>
      </c>
      <c r="C191" t="s">
        <v>15</v>
      </c>
      <c r="D191" t="s">
        <v>16</v>
      </c>
      <c r="E191" t="s">
        <v>53</v>
      </c>
      <c r="F191" s="6" t="str">
        <f t="shared" si="2"/>
        <v>3MC</v>
      </c>
      <c r="G191" s="11">
        <v>46048</v>
      </c>
      <c r="H191" s="12">
        <v>0.30277777777777776</v>
      </c>
      <c r="I191" s="11">
        <v>46048</v>
      </c>
      <c r="K191" s="1">
        <v>46055</v>
      </c>
      <c r="L191" t="s">
        <v>60</v>
      </c>
      <c r="M191">
        <v>1620</v>
      </c>
      <c r="N191" t="s">
        <v>21</v>
      </c>
      <c r="O191" t="s">
        <v>27</v>
      </c>
      <c r="P191">
        <v>24443</v>
      </c>
      <c r="Q191" t="s">
        <v>19</v>
      </c>
      <c r="R191">
        <v>35087</v>
      </c>
      <c r="S191" t="str">
        <f>VLOOKUP(L191&amp;TEXT(I191,"mmmm")&amp;YEAR(I191),'[1]Detalle C-Fecha'!$D$2:$E$15921,2,FALSE)</f>
        <v>Arcor S.A.I.C.</v>
      </c>
    </row>
    <row r="192" spans="1:19" x14ac:dyDescent="0.3">
      <c r="A192">
        <v>27985</v>
      </c>
      <c r="B192" t="s">
        <v>28</v>
      </c>
      <c r="C192" t="s">
        <v>15</v>
      </c>
      <c r="D192" t="s">
        <v>16</v>
      </c>
      <c r="E192" t="s">
        <v>111</v>
      </c>
      <c r="F192" s="6" t="str">
        <f t="shared" si="2"/>
        <v>6MC</v>
      </c>
      <c r="G192" s="11">
        <v>46048</v>
      </c>
      <c r="H192" s="12">
        <v>0.30277777777777776</v>
      </c>
      <c r="I192" s="11">
        <v>46048</v>
      </c>
      <c r="K192" s="1">
        <v>46055</v>
      </c>
      <c r="L192" t="s">
        <v>60</v>
      </c>
      <c r="M192">
        <v>1620</v>
      </c>
      <c r="N192" t="s">
        <v>21</v>
      </c>
      <c r="O192" t="s">
        <v>27</v>
      </c>
      <c r="P192">
        <v>24444</v>
      </c>
      <c r="Q192" t="s">
        <v>19</v>
      </c>
      <c r="R192">
        <v>34923</v>
      </c>
      <c r="S192" t="str">
        <f>VLOOKUP(L192&amp;TEXT(I192,"mmmm")&amp;YEAR(I192),'[1]Detalle C-Fecha'!$D$2:$E$15921,2,FALSE)</f>
        <v>Arcor S.A.I.C.</v>
      </c>
    </row>
    <row r="193" spans="1:19" x14ac:dyDescent="0.3">
      <c r="A193">
        <v>27985</v>
      </c>
      <c r="B193" t="s">
        <v>28</v>
      </c>
      <c r="C193" t="s">
        <v>15</v>
      </c>
      <c r="D193" t="s">
        <v>16</v>
      </c>
      <c r="E193" t="s">
        <v>111</v>
      </c>
      <c r="F193" s="6" t="str">
        <f t="shared" ref="F193:F256" si="3">MID(E193,1,3)</f>
        <v>6MC</v>
      </c>
      <c r="G193" s="11">
        <v>46048</v>
      </c>
      <c r="H193" s="12">
        <v>0.30277777777777776</v>
      </c>
      <c r="I193" s="11">
        <v>46048</v>
      </c>
      <c r="K193" s="1">
        <v>46055</v>
      </c>
      <c r="L193" t="s">
        <v>60</v>
      </c>
      <c r="M193">
        <v>1620</v>
      </c>
      <c r="N193" t="s">
        <v>21</v>
      </c>
      <c r="O193" t="s">
        <v>27</v>
      </c>
      <c r="P193">
        <v>24444</v>
      </c>
      <c r="Q193" t="s">
        <v>19</v>
      </c>
      <c r="R193">
        <v>35087</v>
      </c>
      <c r="S193" t="str">
        <f>VLOOKUP(L193&amp;TEXT(I193,"mmmm")&amp;YEAR(I193),'[1]Detalle C-Fecha'!$D$2:$E$15921,2,FALSE)</f>
        <v>Arcor S.A.I.C.</v>
      </c>
    </row>
    <row r="194" spans="1:19" x14ac:dyDescent="0.3">
      <c r="A194">
        <v>28040</v>
      </c>
      <c r="B194" t="s">
        <v>28</v>
      </c>
      <c r="C194" t="s">
        <v>15</v>
      </c>
      <c r="D194" t="s">
        <v>16</v>
      </c>
      <c r="E194" t="s">
        <v>35</v>
      </c>
      <c r="F194" s="6" t="str">
        <f t="shared" si="3"/>
        <v>2ML</v>
      </c>
      <c r="G194" s="11">
        <v>46049</v>
      </c>
      <c r="H194" s="12">
        <v>0.60138888888888886</v>
      </c>
      <c r="I194" s="11">
        <v>46049</v>
      </c>
      <c r="J194" s="1">
        <v>46049</v>
      </c>
      <c r="K194" s="1">
        <v>46049</v>
      </c>
      <c r="L194" t="s">
        <v>56</v>
      </c>
      <c r="M194" t="s">
        <v>30</v>
      </c>
      <c r="N194" t="s">
        <v>31</v>
      </c>
      <c r="O194" t="s">
        <v>25</v>
      </c>
      <c r="P194">
        <v>24505</v>
      </c>
      <c r="Q194" t="s">
        <v>19</v>
      </c>
      <c r="R194">
        <v>37120</v>
      </c>
      <c r="S194" t="str">
        <f>VLOOKUP(L194&amp;TEXT(I194,"mmmm")&amp;YEAR(I194),'[1]Detalle C-Fecha'!$D$2:$E$15921,2,FALSE)</f>
        <v>Expreso - Servicios Troncales</v>
      </c>
    </row>
    <row r="195" spans="1:19" x14ac:dyDescent="0.3">
      <c r="A195">
        <v>28040</v>
      </c>
      <c r="B195" t="s">
        <v>28</v>
      </c>
      <c r="C195" t="s">
        <v>15</v>
      </c>
      <c r="D195" t="s">
        <v>16</v>
      </c>
      <c r="E195" t="s">
        <v>35</v>
      </c>
      <c r="F195" s="6" t="str">
        <f t="shared" si="3"/>
        <v>2ML</v>
      </c>
      <c r="G195" s="11">
        <v>46049</v>
      </c>
      <c r="H195" s="12">
        <v>0.60138888888888886</v>
      </c>
      <c r="I195" s="11">
        <v>46049</v>
      </c>
      <c r="J195" s="1">
        <v>46049</v>
      </c>
      <c r="K195" s="1">
        <v>46049</v>
      </c>
      <c r="L195" t="s">
        <v>56</v>
      </c>
      <c r="M195" t="s">
        <v>30</v>
      </c>
      <c r="N195" t="s">
        <v>31</v>
      </c>
      <c r="O195" t="s">
        <v>25</v>
      </c>
      <c r="P195">
        <v>24505</v>
      </c>
      <c r="Q195" t="s">
        <v>19</v>
      </c>
      <c r="R195">
        <v>37121</v>
      </c>
      <c r="S195" t="str">
        <f>VLOOKUP(L195&amp;TEXT(I195,"mmmm")&amp;YEAR(I195),'[1]Detalle C-Fecha'!$D$2:$E$15921,2,FALSE)</f>
        <v>Expreso - Servicios Troncales</v>
      </c>
    </row>
    <row r="196" spans="1:19" x14ac:dyDescent="0.3">
      <c r="A196">
        <v>28041</v>
      </c>
      <c r="B196" t="s">
        <v>28</v>
      </c>
      <c r="C196" t="s">
        <v>15</v>
      </c>
      <c r="D196" t="s">
        <v>16</v>
      </c>
      <c r="E196" t="s">
        <v>47</v>
      </c>
      <c r="F196" s="6" t="str">
        <f t="shared" si="3"/>
        <v>3ML</v>
      </c>
      <c r="G196" s="11">
        <v>46049</v>
      </c>
      <c r="H196" s="12">
        <v>0.60138888888888886</v>
      </c>
      <c r="I196" s="11">
        <v>46049</v>
      </c>
      <c r="J196" s="1">
        <v>46049</v>
      </c>
      <c r="K196" s="1">
        <v>46049</v>
      </c>
      <c r="L196" t="s">
        <v>56</v>
      </c>
      <c r="M196" t="s">
        <v>30</v>
      </c>
      <c r="N196" t="s">
        <v>31</v>
      </c>
      <c r="O196" t="s">
        <v>25</v>
      </c>
      <c r="P196">
        <v>24506</v>
      </c>
      <c r="Q196" t="s">
        <v>19</v>
      </c>
      <c r="R196">
        <v>37122</v>
      </c>
      <c r="S196" t="str">
        <f>VLOOKUP(L196&amp;TEXT(I196,"mmmm")&amp;YEAR(I196),'[1]Detalle C-Fecha'!$D$2:$E$15921,2,FALSE)</f>
        <v>Expreso - Servicios Troncales</v>
      </c>
    </row>
    <row r="197" spans="1:19" x14ac:dyDescent="0.3">
      <c r="A197">
        <v>28041</v>
      </c>
      <c r="B197" t="s">
        <v>28</v>
      </c>
      <c r="C197" t="s">
        <v>15</v>
      </c>
      <c r="D197" t="s">
        <v>16</v>
      </c>
      <c r="E197" t="s">
        <v>47</v>
      </c>
      <c r="F197" s="6" t="str">
        <f t="shared" si="3"/>
        <v>3ML</v>
      </c>
      <c r="G197" s="11">
        <v>46049</v>
      </c>
      <c r="H197" s="12">
        <v>0.60138888888888886</v>
      </c>
      <c r="I197" s="11">
        <v>46049</v>
      </c>
      <c r="J197" s="1">
        <v>46049</v>
      </c>
      <c r="K197" s="1">
        <v>46049</v>
      </c>
      <c r="L197" t="s">
        <v>56</v>
      </c>
      <c r="M197" t="s">
        <v>30</v>
      </c>
      <c r="N197" t="s">
        <v>31</v>
      </c>
      <c r="O197" t="s">
        <v>25</v>
      </c>
      <c r="P197">
        <v>24506</v>
      </c>
      <c r="Q197" t="s">
        <v>19</v>
      </c>
      <c r="R197">
        <v>37123</v>
      </c>
      <c r="S197" t="str">
        <f>VLOOKUP(L197&amp;TEXT(I197,"mmmm")&amp;YEAR(I197),'[1]Detalle C-Fecha'!$D$2:$E$15921,2,FALSE)</f>
        <v>Expreso - Servicios Troncales</v>
      </c>
    </row>
    <row r="198" spans="1:19" x14ac:dyDescent="0.3">
      <c r="A198">
        <v>28053</v>
      </c>
      <c r="B198" t="s">
        <v>28</v>
      </c>
      <c r="C198" t="s">
        <v>15</v>
      </c>
      <c r="D198" t="s">
        <v>16</v>
      </c>
      <c r="E198" t="s">
        <v>51</v>
      </c>
      <c r="F198" s="6" t="str">
        <f t="shared" si="3"/>
        <v>2MC</v>
      </c>
      <c r="G198" s="11">
        <v>46050</v>
      </c>
      <c r="H198" s="12">
        <v>0.31875000000000003</v>
      </c>
      <c r="I198" s="11">
        <v>46050</v>
      </c>
      <c r="K198" s="1">
        <v>46055</v>
      </c>
      <c r="L198" t="s">
        <v>58</v>
      </c>
      <c r="M198" t="s">
        <v>20</v>
      </c>
      <c r="N198" t="s">
        <v>21</v>
      </c>
      <c r="O198" t="s">
        <v>24</v>
      </c>
      <c r="P198">
        <v>24518</v>
      </c>
      <c r="Q198" t="s">
        <v>19</v>
      </c>
      <c r="R198">
        <v>34947</v>
      </c>
      <c r="S198" t="str">
        <f>VLOOKUP(L198&amp;TEXT(I198,"mmmm")&amp;YEAR(I198),'[1]Detalle C-Fecha'!$D$2:$E$15921,2,FALSE)</f>
        <v>CCUDyAZA</v>
      </c>
    </row>
    <row r="199" spans="1:19" x14ac:dyDescent="0.3">
      <c r="A199">
        <v>28053</v>
      </c>
      <c r="B199" t="s">
        <v>28</v>
      </c>
      <c r="C199" t="s">
        <v>15</v>
      </c>
      <c r="D199" t="s">
        <v>16</v>
      </c>
      <c r="E199" t="s">
        <v>51</v>
      </c>
      <c r="F199" s="6" t="str">
        <f t="shared" si="3"/>
        <v>2MC</v>
      </c>
      <c r="G199" s="11">
        <v>46050</v>
      </c>
      <c r="H199" s="12">
        <v>0.31875000000000003</v>
      </c>
      <c r="I199" s="11">
        <v>46050</v>
      </c>
      <c r="K199" s="1">
        <v>46055</v>
      </c>
      <c r="L199" t="s">
        <v>58</v>
      </c>
      <c r="M199" t="s">
        <v>20</v>
      </c>
      <c r="N199" t="s">
        <v>21</v>
      </c>
      <c r="O199" t="s">
        <v>24</v>
      </c>
      <c r="P199">
        <v>24518</v>
      </c>
      <c r="Q199" t="s">
        <v>19</v>
      </c>
      <c r="R199">
        <v>35085</v>
      </c>
      <c r="S199" t="str">
        <f>VLOOKUP(L199&amp;TEXT(I199,"mmmm")&amp;YEAR(I199),'[1]Detalle C-Fecha'!$D$2:$E$15921,2,FALSE)</f>
        <v>CCUDyAZA</v>
      </c>
    </row>
    <row r="200" spans="1:19" x14ac:dyDescent="0.3">
      <c r="A200">
        <v>28054</v>
      </c>
      <c r="B200" t="s">
        <v>28</v>
      </c>
      <c r="C200" t="s">
        <v>15</v>
      </c>
      <c r="D200" t="s">
        <v>16</v>
      </c>
      <c r="E200" t="s">
        <v>53</v>
      </c>
      <c r="F200" s="6" t="str">
        <f t="shared" si="3"/>
        <v>3MC</v>
      </c>
      <c r="G200" s="11">
        <v>46050</v>
      </c>
      <c r="H200" s="12">
        <v>0.31875000000000003</v>
      </c>
      <c r="I200" s="11">
        <v>46050</v>
      </c>
      <c r="K200" s="1">
        <v>46055</v>
      </c>
      <c r="L200" t="s">
        <v>58</v>
      </c>
      <c r="M200" t="s">
        <v>20</v>
      </c>
      <c r="N200" t="s">
        <v>21</v>
      </c>
      <c r="O200" t="s">
        <v>24</v>
      </c>
      <c r="P200">
        <v>24519</v>
      </c>
      <c r="Q200" t="s">
        <v>19</v>
      </c>
      <c r="R200">
        <v>34948</v>
      </c>
      <c r="S200" t="str">
        <f>VLOOKUP(L200&amp;TEXT(I200,"mmmm")&amp;YEAR(I200),'[1]Detalle C-Fecha'!$D$2:$E$15921,2,FALSE)</f>
        <v>CCUDyAZA</v>
      </c>
    </row>
    <row r="201" spans="1:19" x14ac:dyDescent="0.3">
      <c r="A201">
        <v>28054</v>
      </c>
      <c r="B201" t="s">
        <v>28</v>
      </c>
      <c r="C201" t="s">
        <v>15</v>
      </c>
      <c r="D201" t="s">
        <v>16</v>
      </c>
      <c r="E201" t="s">
        <v>53</v>
      </c>
      <c r="F201" s="6" t="str">
        <f t="shared" si="3"/>
        <v>3MC</v>
      </c>
      <c r="G201" s="11">
        <v>46050</v>
      </c>
      <c r="H201" s="12">
        <v>0.31875000000000003</v>
      </c>
      <c r="I201" s="11">
        <v>46050</v>
      </c>
      <c r="K201" s="1">
        <v>46055</v>
      </c>
      <c r="L201" t="s">
        <v>58</v>
      </c>
      <c r="M201" t="s">
        <v>20</v>
      </c>
      <c r="N201" t="s">
        <v>21</v>
      </c>
      <c r="O201" t="s">
        <v>24</v>
      </c>
      <c r="P201">
        <v>24519</v>
      </c>
      <c r="Q201" t="s">
        <v>19</v>
      </c>
      <c r="R201">
        <v>35085</v>
      </c>
      <c r="S201" t="str">
        <f>VLOOKUP(L201&amp;TEXT(I201,"mmmm")&amp;YEAR(I201),'[1]Detalle C-Fecha'!$D$2:$E$15921,2,FALSE)</f>
        <v>CCUDyAZA</v>
      </c>
    </row>
    <row r="202" spans="1:19" x14ac:dyDescent="0.3">
      <c r="A202">
        <v>28055</v>
      </c>
      <c r="B202" t="s">
        <v>28</v>
      </c>
      <c r="C202" t="s">
        <v>15</v>
      </c>
      <c r="D202" t="s">
        <v>16</v>
      </c>
      <c r="E202" t="s">
        <v>52</v>
      </c>
      <c r="F202" s="6" t="str">
        <f t="shared" si="3"/>
        <v>6MC</v>
      </c>
      <c r="G202" s="11">
        <v>46050</v>
      </c>
      <c r="H202" s="12">
        <v>0.31875000000000003</v>
      </c>
      <c r="I202" s="11">
        <v>46050</v>
      </c>
      <c r="K202" s="1">
        <v>46055</v>
      </c>
      <c r="L202" t="s">
        <v>58</v>
      </c>
      <c r="M202" t="s">
        <v>20</v>
      </c>
      <c r="N202" t="s">
        <v>21</v>
      </c>
      <c r="O202" t="s">
        <v>24</v>
      </c>
      <c r="P202">
        <v>24520</v>
      </c>
      <c r="Q202" t="s">
        <v>19</v>
      </c>
      <c r="R202">
        <v>34949</v>
      </c>
      <c r="S202" t="str">
        <f>VLOOKUP(L202&amp;TEXT(I202,"mmmm")&amp;YEAR(I202),'[1]Detalle C-Fecha'!$D$2:$E$15921,2,FALSE)</f>
        <v>CCUDyAZA</v>
      </c>
    </row>
    <row r="203" spans="1:19" x14ac:dyDescent="0.3">
      <c r="A203">
        <v>28055</v>
      </c>
      <c r="B203" t="s">
        <v>28</v>
      </c>
      <c r="C203" t="s">
        <v>15</v>
      </c>
      <c r="D203" t="s">
        <v>16</v>
      </c>
      <c r="E203" t="s">
        <v>52</v>
      </c>
      <c r="F203" s="6" t="str">
        <f t="shared" si="3"/>
        <v>6MC</v>
      </c>
      <c r="G203" s="11">
        <v>46050</v>
      </c>
      <c r="H203" s="12">
        <v>0.31875000000000003</v>
      </c>
      <c r="I203" s="11">
        <v>46050</v>
      </c>
      <c r="K203" s="1">
        <v>46055</v>
      </c>
      <c r="L203" t="s">
        <v>58</v>
      </c>
      <c r="M203" t="s">
        <v>20</v>
      </c>
      <c r="N203" t="s">
        <v>21</v>
      </c>
      <c r="O203" t="s">
        <v>24</v>
      </c>
      <c r="P203">
        <v>24520</v>
      </c>
      <c r="Q203" t="s">
        <v>19</v>
      </c>
      <c r="R203">
        <v>35085</v>
      </c>
      <c r="S203" t="str">
        <f>VLOOKUP(L203&amp;TEXT(I203,"mmmm")&amp;YEAR(I203),'[1]Detalle C-Fecha'!$D$2:$E$15921,2,FALSE)</f>
        <v>CCUDyAZA</v>
      </c>
    </row>
    <row r="204" spans="1:19" x14ac:dyDescent="0.3">
      <c r="A204">
        <v>28070</v>
      </c>
      <c r="B204" t="s">
        <v>28</v>
      </c>
      <c r="C204" t="s">
        <v>15</v>
      </c>
      <c r="D204" t="s">
        <v>16</v>
      </c>
      <c r="E204" t="s">
        <v>35</v>
      </c>
      <c r="F204" s="6" t="str">
        <f t="shared" si="3"/>
        <v>2ML</v>
      </c>
      <c r="G204" s="11">
        <v>46050</v>
      </c>
      <c r="H204" s="12">
        <v>0.50416666666666665</v>
      </c>
      <c r="I204" s="11">
        <v>46050</v>
      </c>
      <c r="J204" s="1">
        <v>46050</v>
      </c>
      <c r="K204" s="1">
        <v>46050</v>
      </c>
      <c r="L204" t="s">
        <v>63</v>
      </c>
      <c r="M204">
        <v>1634</v>
      </c>
      <c r="N204" t="s">
        <v>31</v>
      </c>
      <c r="O204" t="s">
        <v>25</v>
      </c>
      <c r="P204">
        <v>24551</v>
      </c>
      <c r="Q204" t="s">
        <v>19</v>
      </c>
      <c r="R204">
        <v>37128</v>
      </c>
      <c r="S204" t="str">
        <f>VLOOKUP(L204&amp;TEXT(I204,"mmmm")&amp;YEAR(I204),'[1]Detalle C-Fecha'!$D$2:$E$15921,2,FALSE)</f>
        <v>Expreso - Servicios Troncales</v>
      </c>
    </row>
    <row r="205" spans="1:19" x14ac:dyDescent="0.3">
      <c r="A205">
        <v>28070</v>
      </c>
      <c r="B205" t="s">
        <v>28</v>
      </c>
      <c r="C205" t="s">
        <v>15</v>
      </c>
      <c r="D205" t="s">
        <v>16</v>
      </c>
      <c r="E205" t="s">
        <v>35</v>
      </c>
      <c r="F205" s="6" t="str">
        <f t="shared" si="3"/>
        <v>2ML</v>
      </c>
      <c r="G205" s="11">
        <v>46050</v>
      </c>
      <c r="H205" s="12">
        <v>0.50416666666666665</v>
      </c>
      <c r="I205" s="11">
        <v>46050</v>
      </c>
      <c r="J205" s="1">
        <v>46050</v>
      </c>
      <c r="K205" s="1">
        <v>46050</v>
      </c>
      <c r="L205" t="s">
        <v>63</v>
      </c>
      <c r="M205">
        <v>1634</v>
      </c>
      <c r="N205" t="s">
        <v>31</v>
      </c>
      <c r="O205" t="s">
        <v>25</v>
      </c>
      <c r="P205">
        <v>24551</v>
      </c>
      <c r="Q205" t="s">
        <v>19</v>
      </c>
      <c r="R205">
        <v>37133</v>
      </c>
      <c r="S205" t="str">
        <f>VLOOKUP(L205&amp;TEXT(I205,"mmmm")&amp;YEAR(I205),'[1]Detalle C-Fecha'!$D$2:$E$15921,2,FALSE)</f>
        <v>Expreso - Servicios Troncales</v>
      </c>
    </row>
    <row r="206" spans="1:19" x14ac:dyDescent="0.3">
      <c r="A206">
        <v>28071</v>
      </c>
      <c r="B206" t="s">
        <v>28</v>
      </c>
      <c r="C206" t="s">
        <v>15</v>
      </c>
      <c r="D206" t="s">
        <v>16</v>
      </c>
      <c r="E206" t="s">
        <v>47</v>
      </c>
      <c r="F206" s="6" t="str">
        <f t="shared" si="3"/>
        <v>3ML</v>
      </c>
      <c r="G206" s="11">
        <v>46050</v>
      </c>
      <c r="H206" s="12">
        <v>0.50416666666666665</v>
      </c>
      <c r="I206" s="11">
        <v>46050</v>
      </c>
      <c r="J206" s="1">
        <v>46050</v>
      </c>
      <c r="K206" s="1">
        <v>46050</v>
      </c>
      <c r="L206" t="s">
        <v>63</v>
      </c>
      <c r="M206">
        <v>1634</v>
      </c>
      <c r="N206" t="s">
        <v>31</v>
      </c>
      <c r="O206" t="s">
        <v>25</v>
      </c>
      <c r="P206">
        <v>24552</v>
      </c>
      <c r="Q206" t="s">
        <v>19</v>
      </c>
      <c r="R206">
        <v>37134</v>
      </c>
      <c r="S206" t="str">
        <f>VLOOKUP(L206&amp;TEXT(I206,"mmmm")&amp;YEAR(I206),'[1]Detalle C-Fecha'!$D$2:$E$15921,2,FALSE)</f>
        <v>Expreso - Servicios Troncales</v>
      </c>
    </row>
    <row r="207" spans="1:19" x14ac:dyDescent="0.3">
      <c r="A207">
        <v>28071</v>
      </c>
      <c r="B207" t="s">
        <v>28</v>
      </c>
      <c r="C207" t="s">
        <v>15</v>
      </c>
      <c r="D207" t="s">
        <v>16</v>
      </c>
      <c r="E207" t="s">
        <v>47</v>
      </c>
      <c r="F207" s="6" t="str">
        <f t="shared" si="3"/>
        <v>3ML</v>
      </c>
      <c r="G207" s="11">
        <v>46050</v>
      </c>
      <c r="H207" s="12">
        <v>0.50416666666666665</v>
      </c>
      <c r="I207" s="11">
        <v>46050</v>
      </c>
      <c r="J207" s="1">
        <v>46050</v>
      </c>
      <c r="K207" s="1">
        <v>46050</v>
      </c>
      <c r="L207" t="s">
        <v>63</v>
      </c>
      <c r="M207">
        <v>1634</v>
      </c>
      <c r="N207" t="s">
        <v>31</v>
      </c>
      <c r="O207" t="s">
        <v>25</v>
      </c>
      <c r="P207">
        <v>24552</v>
      </c>
      <c r="Q207" t="s">
        <v>19</v>
      </c>
      <c r="R207">
        <v>37135</v>
      </c>
      <c r="S207" t="str">
        <f>VLOOKUP(L207&amp;TEXT(I207,"mmmm")&amp;YEAR(I207),'[1]Detalle C-Fecha'!$D$2:$E$15921,2,FALSE)</f>
        <v>Expreso - Servicios Troncales</v>
      </c>
    </row>
    <row r="208" spans="1:19" x14ac:dyDescent="0.3">
      <c r="A208">
        <v>28072</v>
      </c>
      <c r="B208" t="s">
        <v>28</v>
      </c>
      <c r="C208" t="s">
        <v>15</v>
      </c>
      <c r="D208" t="s">
        <v>16</v>
      </c>
      <c r="E208" t="s">
        <v>137</v>
      </c>
      <c r="F208" s="6" t="str">
        <f t="shared" si="3"/>
        <v>7ML</v>
      </c>
      <c r="G208" s="11">
        <v>46050</v>
      </c>
      <c r="H208" s="12">
        <v>0.50416666666666665</v>
      </c>
      <c r="I208" s="11">
        <v>46050</v>
      </c>
      <c r="J208" s="1">
        <v>46050</v>
      </c>
      <c r="K208" s="1">
        <v>46050</v>
      </c>
      <c r="L208" t="s">
        <v>63</v>
      </c>
      <c r="M208">
        <v>1634</v>
      </c>
      <c r="N208" t="s">
        <v>31</v>
      </c>
      <c r="O208" t="s">
        <v>25</v>
      </c>
      <c r="P208">
        <v>24553</v>
      </c>
      <c r="Q208" t="s">
        <v>19</v>
      </c>
      <c r="R208">
        <v>37136</v>
      </c>
      <c r="S208" t="str">
        <f>VLOOKUP(L208&amp;TEXT(I208,"mmmm")&amp;YEAR(I208),'[1]Detalle C-Fecha'!$D$2:$E$15921,2,FALSE)</f>
        <v>Expreso - Servicios Troncales</v>
      </c>
    </row>
    <row r="209" spans="1:19" x14ac:dyDescent="0.3">
      <c r="A209">
        <v>28072</v>
      </c>
      <c r="B209" t="s">
        <v>28</v>
      </c>
      <c r="C209" t="s">
        <v>15</v>
      </c>
      <c r="D209" t="s">
        <v>16</v>
      </c>
      <c r="E209" t="s">
        <v>137</v>
      </c>
      <c r="F209" s="6" t="str">
        <f t="shared" si="3"/>
        <v>7ML</v>
      </c>
      <c r="G209" s="11">
        <v>46050</v>
      </c>
      <c r="H209" s="12">
        <v>0.50416666666666665</v>
      </c>
      <c r="I209" s="11">
        <v>46050</v>
      </c>
      <c r="J209" s="1">
        <v>46050</v>
      </c>
      <c r="K209" s="1">
        <v>46050</v>
      </c>
      <c r="L209" t="s">
        <v>63</v>
      </c>
      <c r="M209">
        <v>1634</v>
      </c>
      <c r="N209" t="s">
        <v>31</v>
      </c>
      <c r="O209" t="s">
        <v>25</v>
      </c>
      <c r="P209">
        <v>24553</v>
      </c>
      <c r="Q209" t="s">
        <v>19</v>
      </c>
      <c r="R209">
        <v>37143</v>
      </c>
      <c r="S209" t="str">
        <f>VLOOKUP(L209&amp;TEXT(I209,"mmmm")&amp;YEAR(I209),'[1]Detalle C-Fecha'!$D$2:$E$15921,2,FALSE)</f>
        <v>Expreso - Servicios Troncales</v>
      </c>
    </row>
    <row r="210" spans="1:19" x14ac:dyDescent="0.3">
      <c r="A210">
        <v>28091</v>
      </c>
      <c r="B210" t="s">
        <v>28</v>
      </c>
      <c r="C210" t="s">
        <v>15</v>
      </c>
      <c r="D210" t="s">
        <v>16</v>
      </c>
      <c r="E210" t="s">
        <v>51</v>
      </c>
      <c r="F210" s="6" t="str">
        <f t="shared" si="3"/>
        <v>2MC</v>
      </c>
      <c r="G210" s="11">
        <v>46050</v>
      </c>
      <c r="H210" s="12">
        <v>0.65277777777777779</v>
      </c>
      <c r="I210" s="11">
        <v>46050</v>
      </c>
      <c r="J210" s="1">
        <v>46050</v>
      </c>
      <c r="K210" s="1">
        <v>46055</v>
      </c>
      <c r="L210" t="s">
        <v>93</v>
      </c>
      <c r="M210">
        <v>1318</v>
      </c>
      <c r="N210" t="s">
        <v>21</v>
      </c>
      <c r="O210" t="s">
        <v>27</v>
      </c>
      <c r="P210">
        <v>24578</v>
      </c>
      <c r="Q210" t="s">
        <v>19</v>
      </c>
      <c r="R210">
        <v>34951</v>
      </c>
      <c r="S210" t="str">
        <f>VLOOKUP(L210&amp;TEXT(I210,"mmmm")&amp;YEAR(I210),'[1]Detalle C-Fecha'!$D$2:$E$15921,2,FALSE)</f>
        <v>CCUCoAZA</v>
      </c>
    </row>
    <row r="211" spans="1:19" x14ac:dyDescent="0.3">
      <c r="A211">
        <v>28091</v>
      </c>
      <c r="B211" t="s">
        <v>28</v>
      </c>
      <c r="C211" t="s">
        <v>15</v>
      </c>
      <c r="D211" t="s">
        <v>16</v>
      </c>
      <c r="E211" t="s">
        <v>51</v>
      </c>
      <c r="F211" s="6" t="str">
        <f t="shared" si="3"/>
        <v>2MC</v>
      </c>
      <c r="G211" s="11">
        <v>46050</v>
      </c>
      <c r="H211" s="12">
        <v>0.65277777777777779</v>
      </c>
      <c r="I211" s="11">
        <v>46050</v>
      </c>
      <c r="J211" s="1">
        <v>46050</v>
      </c>
      <c r="K211" s="1">
        <v>46055</v>
      </c>
      <c r="L211" t="s">
        <v>93</v>
      </c>
      <c r="M211">
        <v>1318</v>
      </c>
      <c r="N211" t="s">
        <v>21</v>
      </c>
      <c r="O211" t="s">
        <v>27</v>
      </c>
      <c r="P211">
        <v>24578</v>
      </c>
      <c r="Q211" t="s">
        <v>19</v>
      </c>
      <c r="R211">
        <v>35087</v>
      </c>
      <c r="S211" t="str">
        <f>VLOOKUP(L211&amp;TEXT(I211,"mmmm")&amp;YEAR(I211),'[1]Detalle C-Fecha'!$D$2:$E$15921,2,FALSE)</f>
        <v>CCUCoAZA</v>
      </c>
    </row>
    <row r="212" spans="1:19" x14ac:dyDescent="0.3">
      <c r="A212">
        <v>28092</v>
      </c>
      <c r="B212" t="s">
        <v>28</v>
      </c>
      <c r="C212" t="s">
        <v>15</v>
      </c>
      <c r="D212" t="s">
        <v>16</v>
      </c>
      <c r="E212" t="s">
        <v>53</v>
      </c>
      <c r="F212" s="6" t="str">
        <f t="shared" si="3"/>
        <v>3MC</v>
      </c>
      <c r="G212" s="11">
        <v>46050</v>
      </c>
      <c r="H212" s="12">
        <v>0.65277777777777779</v>
      </c>
      <c r="I212" s="11">
        <v>46050</v>
      </c>
      <c r="J212" s="1">
        <v>46050</v>
      </c>
      <c r="K212" s="1">
        <v>46055</v>
      </c>
      <c r="L212" t="s">
        <v>93</v>
      </c>
      <c r="M212">
        <v>1318</v>
      </c>
      <c r="N212" t="s">
        <v>21</v>
      </c>
      <c r="O212" t="s">
        <v>27</v>
      </c>
      <c r="P212">
        <v>24579</v>
      </c>
      <c r="Q212" t="s">
        <v>19</v>
      </c>
      <c r="R212">
        <v>34952</v>
      </c>
      <c r="S212" t="str">
        <f>VLOOKUP(L212&amp;TEXT(I212,"mmmm")&amp;YEAR(I212),'[1]Detalle C-Fecha'!$D$2:$E$15921,2,FALSE)</f>
        <v>CCUCoAZA</v>
      </c>
    </row>
    <row r="213" spans="1:19" x14ac:dyDescent="0.3">
      <c r="A213">
        <v>28092</v>
      </c>
      <c r="B213" t="s">
        <v>28</v>
      </c>
      <c r="C213" t="s">
        <v>15</v>
      </c>
      <c r="D213" t="s">
        <v>16</v>
      </c>
      <c r="E213" t="s">
        <v>53</v>
      </c>
      <c r="F213" s="6" t="str">
        <f t="shared" si="3"/>
        <v>3MC</v>
      </c>
      <c r="G213" s="11">
        <v>46050</v>
      </c>
      <c r="H213" s="12">
        <v>0.65277777777777779</v>
      </c>
      <c r="I213" s="11">
        <v>46050</v>
      </c>
      <c r="J213" s="1">
        <v>46050</v>
      </c>
      <c r="K213" s="1">
        <v>46055</v>
      </c>
      <c r="L213" t="s">
        <v>93</v>
      </c>
      <c r="M213">
        <v>1318</v>
      </c>
      <c r="N213" t="s">
        <v>21</v>
      </c>
      <c r="O213" t="s">
        <v>27</v>
      </c>
      <c r="P213">
        <v>24579</v>
      </c>
      <c r="Q213" t="s">
        <v>19</v>
      </c>
      <c r="R213">
        <v>35087</v>
      </c>
      <c r="S213" t="str">
        <f>VLOOKUP(L213&amp;TEXT(I213,"mmmm")&amp;YEAR(I213),'[1]Detalle C-Fecha'!$D$2:$E$15921,2,FALSE)</f>
        <v>CCUCoAZA</v>
      </c>
    </row>
    <row r="214" spans="1:19" x14ac:dyDescent="0.3">
      <c r="A214">
        <v>28093</v>
      </c>
      <c r="B214" t="s">
        <v>28</v>
      </c>
      <c r="C214" t="s">
        <v>15</v>
      </c>
      <c r="D214" t="s">
        <v>16</v>
      </c>
      <c r="E214" t="s">
        <v>52</v>
      </c>
      <c r="F214" s="6" t="str">
        <f t="shared" si="3"/>
        <v>6MC</v>
      </c>
      <c r="G214" s="11">
        <v>46050</v>
      </c>
      <c r="H214" s="12">
        <v>0.65277777777777779</v>
      </c>
      <c r="I214" s="11">
        <v>46050</v>
      </c>
      <c r="J214" s="1">
        <v>46050</v>
      </c>
      <c r="K214" s="1">
        <v>46055</v>
      </c>
      <c r="L214" t="s">
        <v>93</v>
      </c>
      <c r="M214">
        <v>1318</v>
      </c>
      <c r="N214" t="s">
        <v>21</v>
      </c>
      <c r="O214" t="s">
        <v>27</v>
      </c>
      <c r="P214">
        <v>24580</v>
      </c>
      <c r="Q214" t="s">
        <v>19</v>
      </c>
      <c r="R214">
        <v>34953</v>
      </c>
      <c r="S214" t="str">
        <f>VLOOKUP(L214&amp;TEXT(I214,"mmmm")&amp;YEAR(I214),'[1]Detalle C-Fecha'!$D$2:$E$15921,2,FALSE)</f>
        <v>CCUCoAZA</v>
      </c>
    </row>
    <row r="215" spans="1:19" x14ac:dyDescent="0.3">
      <c r="A215">
        <v>28093</v>
      </c>
      <c r="B215" t="s">
        <v>28</v>
      </c>
      <c r="C215" t="s">
        <v>15</v>
      </c>
      <c r="D215" t="s">
        <v>16</v>
      </c>
      <c r="E215" t="s">
        <v>52</v>
      </c>
      <c r="F215" s="6" t="str">
        <f t="shared" si="3"/>
        <v>6MC</v>
      </c>
      <c r="G215" s="11">
        <v>46050</v>
      </c>
      <c r="H215" s="12">
        <v>0.65277777777777779</v>
      </c>
      <c r="I215" s="11">
        <v>46050</v>
      </c>
      <c r="J215" s="1">
        <v>46050</v>
      </c>
      <c r="K215" s="1">
        <v>46055</v>
      </c>
      <c r="L215" t="s">
        <v>93</v>
      </c>
      <c r="M215">
        <v>1318</v>
      </c>
      <c r="N215" t="s">
        <v>21</v>
      </c>
      <c r="O215" t="s">
        <v>27</v>
      </c>
      <c r="P215">
        <v>24580</v>
      </c>
      <c r="Q215" t="s">
        <v>19</v>
      </c>
      <c r="R215">
        <v>35087</v>
      </c>
      <c r="S215" t="str">
        <f>VLOOKUP(L215&amp;TEXT(I215,"mmmm")&amp;YEAR(I215),'[1]Detalle C-Fecha'!$D$2:$E$15921,2,FALSE)</f>
        <v>CCUCoAZA</v>
      </c>
    </row>
    <row r="216" spans="1:19" x14ac:dyDescent="0.3">
      <c r="A216">
        <v>28098</v>
      </c>
      <c r="B216" t="s">
        <v>28</v>
      </c>
      <c r="C216" t="s">
        <v>15</v>
      </c>
      <c r="D216" t="s">
        <v>16</v>
      </c>
      <c r="E216" t="s">
        <v>35</v>
      </c>
      <c r="F216" s="6" t="str">
        <f t="shared" si="3"/>
        <v>2ML</v>
      </c>
      <c r="G216" s="11">
        <v>46050</v>
      </c>
      <c r="H216" s="12">
        <v>0.67638888888888893</v>
      </c>
      <c r="I216" s="11">
        <v>46050</v>
      </c>
      <c r="J216" s="1">
        <v>46050</v>
      </c>
      <c r="K216" s="1">
        <v>46050</v>
      </c>
      <c r="L216" t="s">
        <v>76</v>
      </c>
      <c r="M216" t="s">
        <v>127</v>
      </c>
      <c r="N216" t="s">
        <v>17</v>
      </c>
      <c r="O216" t="s">
        <v>24</v>
      </c>
      <c r="P216">
        <v>24585</v>
      </c>
      <c r="Q216" t="s">
        <v>19</v>
      </c>
      <c r="R216">
        <v>34770</v>
      </c>
      <c r="S216" t="str">
        <f>VLOOKUP(L216&amp;TEXT(I216,"mmmm")&amp;YEAR(I216),'[1]Detalle C-Fecha'!$D$2:$E$15921,2,FALSE)</f>
        <v>CENCOMLD - Cencosud SA - Mendoza</v>
      </c>
    </row>
    <row r="217" spans="1:19" x14ac:dyDescent="0.3">
      <c r="A217">
        <v>28098</v>
      </c>
      <c r="B217" t="s">
        <v>28</v>
      </c>
      <c r="C217" t="s">
        <v>15</v>
      </c>
      <c r="D217" t="s">
        <v>16</v>
      </c>
      <c r="E217" t="s">
        <v>35</v>
      </c>
      <c r="F217" s="6" t="str">
        <f t="shared" si="3"/>
        <v>2ML</v>
      </c>
      <c r="G217" s="11">
        <v>46050</v>
      </c>
      <c r="H217" s="12">
        <v>0.67638888888888893</v>
      </c>
      <c r="I217" s="11">
        <v>46050</v>
      </c>
      <c r="J217" s="1">
        <v>46050</v>
      </c>
      <c r="K217" s="1">
        <v>46050</v>
      </c>
      <c r="L217" t="s">
        <v>76</v>
      </c>
      <c r="M217" t="s">
        <v>127</v>
      </c>
      <c r="N217" t="s">
        <v>17</v>
      </c>
      <c r="O217" t="s">
        <v>24</v>
      </c>
      <c r="P217">
        <v>24585</v>
      </c>
      <c r="Q217" t="s">
        <v>19</v>
      </c>
      <c r="R217">
        <v>34771</v>
      </c>
      <c r="S217" t="str">
        <f>VLOOKUP(L217&amp;TEXT(I217,"mmmm")&amp;YEAR(I217),'[1]Detalle C-Fecha'!$D$2:$E$15921,2,FALSE)</f>
        <v>CENCOMLD - Cencosud SA - Mendoza</v>
      </c>
    </row>
    <row r="218" spans="1:19" x14ac:dyDescent="0.3">
      <c r="A218">
        <v>28099</v>
      </c>
      <c r="B218" t="s">
        <v>28</v>
      </c>
      <c r="C218" t="s">
        <v>15</v>
      </c>
      <c r="D218" t="s">
        <v>16</v>
      </c>
      <c r="E218" t="s">
        <v>47</v>
      </c>
      <c r="F218" s="6" t="str">
        <f t="shared" si="3"/>
        <v>3ML</v>
      </c>
      <c r="G218" s="11">
        <v>46050</v>
      </c>
      <c r="H218" s="12">
        <v>0.67638888888888893</v>
      </c>
      <c r="I218" s="11">
        <v>46050</v>
      </c>
      <c r="J218" s="1">
        <v>46050</v>
      </c>
      <c r="K218" s="1">
        <v>46050</v>
      </c>
      <c r="L218" t="s">
        <v>76</v>
      </c>
      <c r="M218" t="s">
        <v>127</v>
      </c>
      <c r="N218" t="s">
        <v>17</v>
      </c>
      <c r="O218" t="s">
        <v>24</v>
      </c>
      <c r="P218">
        <v>24586</v>
      </c>
      <c r="Q218" t="s">
        <v>19</v>
      </c>
      <c r="R218">
        <v>34772</v>
      </c>
      <c r="S218" t="str">
        <f>VLOOKUP(L218&amp;TEXT(I218,"mmmm")&amp;YEAR(I218),'[1]Detalle C-Fecha'!$D$2:$E$15921,2,FALSE)</f>
        <v>CENCOMLD - Cencosud SA - Mendoza</v>
      </c>
    </row>
    <row r="219" spans="1:19" x14ac:dyDescent="0.3">
      <c r="A219">
        <v>28099</v>
      </c>
      <c r="B219" t="s">
        <v>28</v>
      </c>
      <c r="C219" t="s">
        <v>15</v>
      </c>
      <c r="D219" t="s">
        <v>16</v>
      </c>
      <c r="E219" t="s">
        <v>47</v>
      </c>
      <c r="F219" s="6" t="str">
        <f t="shared" si="3"/>
        <v>3ML</v>
      </c>
      <c r="G219" s="11">
        <v>46050</v>
      </c>
      <c r="H219" s="12">
        <v>0.67638888888888893</v>
      </c>
      <c r="I219" s="11">
        <v>46050</v>
      </c>
      <c r="J219" s="1">
        <v>46050</v>
      </c>
      <c r="K219" s="1">
        <v>46050</v>
      </c>
      <c r="L219" t="s">
        <v>76</v>
      </c>
      <c r="M219" t="s">
        <v>127</v>
      </c>
      <c r="N219" t="s">
        <v>17</v>
      </c>
      <c r="O219" t="s">
        <v>24</v>
      </c>
      <c r="P219">
        <v>24586</v>
      </c>
      <c r="Q219" t="s">
        <v>19</v>
      </c>
      <c r="R219">
        <v>34773</v>
      </c>
      <c r="S219" t="str">
        <f>VLOOKUP(L219&amp;TEXT(I219,"mmmm")&amp;YEAR(I219),'[1]Detalle C-Fecha'!$D$2:$E$15921,2,FALSE)</f>
        <v>CENCOMLD - Cencosud SA - Mendoza</v>
      </c>
    </row>
    <row r="220" spans="1:19" x14ac:dyDescent="0.3">
      <c r="A220">
        <v>28100</v>
      </c>
      <c r="B220" t="s">
        <v>28</v>
      </c>
      <c r="C220" t="s">
        <v>15</v>
      </c>
      <c r="D220" t="s">
        <v>16</v>
      </c>
      <c r="E220" t="s">
        <v>52</v>
      </c>
      <c r="F220" s="6" t="str">
        <f t="shared" si="3"/>
        <v>6MC</v>
      </c>
      <c r="G220" s="11">
        <v>46050</v>
      </c>
      <c r="H220" s="12">
        <v>0.67638888888888893</v>
      </c>
      <c r="I220" s="11">
        <v>46050</v>
      </c>
      <c r="J220" s="1">
        <v>46050</v>
      </c>
      <c r="K220" s="1">
        <v>46050</v>
      </c>
      <c r="L220" t="s">
        <v>76</v>
      </c>
      <c r="M220" t="s">
        <v>127</v>
      </c>
      <c r="N220" t="s">
        <v>17</v>
      </c>
      <c r="O220" t="s">
        <v>24</v>
      </c>
      <c r="P220">
        <v>24587</v>
      </c>
      <c r="Q220" t="s">
        <v>19</v>
      </c>
      <c r="R220">
        <v>34774</v>
      </c>
      <c r="S220" t="str">
        <f>VLOOKUP(L220&amp;TEXT(I220,"mmmm")&amp;YEAR(I220),'[1]Detalle C-Fecha'!$D$2:$E$15921,2,FALSE)</f>
        <v>CENCOMLD - Cencosud SA - Mendoza</v>
      </c>
    </row>
    <row r="221" spans="1:19" x14ac:dyDescent="0.3">
      <c r="A221">
        <v>28100</v>
      </c>
      <c r="B221" t="s">
        <v>28</v>
      </c>
      <c r="C221" t="s">
        <v>15</v>
      </c>
      <c r="D221" t="s">
        <v>16</v>
      </c>
      <c r="E221" t="s">
        <v>52</v>
      </c>
      <c r="F221" s="6" t="str">
        <f t="shared" si="3"/>
        <v>6MC</v>
      </c>
      <c r="G221" s="11">
        <v>46050</v>
      </c>
      <c r="H221" s="12">
        <v>0.67638888888888893</v>
      </c>
      <c r="I221" s="11">
        <v>46050</v>
      </c>
      <c r="J221" s="1">
        <v>46050</v>
      </c>
      <c r="K221" s="1">
        <v>46050</v>
      </c>
      <c r="L221" t="s">
        <v>76</v>
      </c>
      <c r="M221" t="s">
        <v>127</v>
      </c>
      <c r="N221" t="s">
        <v>17</v>
      </c>
      <c r="O221" t="s">
        <v>24</v>
      </c>
      <c r="P221">
        <v>24587</v>
      </c>
      <c r="Q221" t="s">
        <v>19</v>
      </c>
      <c r="R221">
        <v>34775</v>
      </c>
      <c r="S221" t="str">
        <f>VLOOKUP(L221&amp;TEXT(I221,"mmmm")&amp;YEAR(I221),'[1]Detalle C-Fecha'!$D$2:$E$15921,2,FALSE)</f>
        <v>CENCOMLD - Cencosud SA - Mendoza</v>
      </c>
    </row>
    <row r="222" spans="1:19" x14ac:dyDescent="0.3">
      <c r="A222">
        <v>28182</v>
      </c>
      <c r="B222" t="s">
        <v>28</v>
      </c>
      <c r="C222" t="s">
        <v>15</v>
      </c>
      <c r="D222" t="s">
        <v>16</v>
      </c>
      <c r="E222" t="s">
        <v>115</v>
      </c>
      <c r="F222" s="6" t="str">
        <f t="shared" si="3"/>
        <v>2ML</v>
      </c>
      <c r="G222" s="11">
        <v>46051</v>
      </c>
      <c r="H222" s="12">
        <v>0.31041666666666667</v>
      </c>
      <c r="I222" s="11">
        <v>46051</v>
      </c>
      <c r="K222" s="1">
        <v>46055</v>
      </c>
      <c r="L222" t="s">
        <v>69</v>
      </c>
      <c r="M222" t="s">
        <v>129</v>
      </c>
      <c r="N222" t="s">
        <v>21</v>
      </c>
      <c r="O222" t="s">
        <v>24</v>
      </c>
      <c r="P222">
        <v>24613</v>
      </c>
      <c r="Q222" t="s">
        <v>19</v>
      </c>
      <c r="R222">
        <v>34958</v>
      </c>
      <c r="S222" t="str">
        <f>VLOOKUP(L222&amp;TEXT(I222,"mmmm")&amp;YEAR(I222),'[1]Detalle C-Fecha'!$D$2:$E$15921,2,FALSE)</f>
        <v>ADA_CH - Danone Arg. S.A. - Chascomus</v>
      </c>
    </row>
    <row r="223" spans="1:19" x14ac:dyDescent="0.3">
      <c r="A223">
        <v>28182</v>
      </c>
      <c r="B223" t="s">
        <v>28</v>
      </c>
      <c r="C223" t="s">
        <v>15</v>
      </c>
      <c r="D223" t="s">
        <v>16</v>
      </c>
      <c r="E223" t="s">
        <v>115</v>
      </c>
      <c r="F223" s="6" t="str">
        <f t="shared" si="3"/>
        <v>2ML</v>
      </c>
      <c r="G223" s="11">
        <v>46051</v>
      </c>
      <c r="H223" s="12">
        <v>0.31041666666666667</v>
      </c>
      <c r="I223" s="11">
        <v>46051</v>
      </c>
      <c r="K223" s="1">
        <v>46055</v>
      </c>
      <c r="L223" t="s">
        <v>69</v>
      </c>
      <c r="M223" t="s">
        <v>129</v>
      </c>
      <c r="N223" t="s">
        <v>21</v>
      </c>
      <c r="O223" t="s">
        <v>24</v>
      </c>
      <c r="P223">
        <v>24613</v>
      </c>
      <c r="Q223" t="s">
        <v>19</v>
      </c>
      <c r="R223">
        <v>35085</v>
      </c>
      <c r="S223" t="str">
        <f>VLOOKUP(L223&amp;TEXT(I223,"mmmm")&amp;YEAR(I223),'[1]Detalle C-Fecha'!$D$2:$E$15921,2,FALSE)</f>
        <v>ADA_CH - Danone Arg. S.A. - Chascomus</v>
      </c>
    </row>
    <row r="224" spans="1:19" x14ac:dyDescent="0.3">
      <c r="A224">
        <v>28183</v>
      </c>
      <c r="B224" t="s">
        <v>28</v>
      </c>
      <c r="C224" t="s">
        <v>15</v>
      </c>
      <c r="D224" t="s">
        <v>16</v>
      </c>
      <c r="E224" t="s">
        <v>116</v>
      </c>
      <c r="F224" s="6" t="str">
        <f t="shared" si="3"/>
        <v>3ML</v>
      </c>
      <c r="G224" s="11">
        <v>46051</v>
      </c>
      <c r="H224" s="12">
        <v>0.31041666666666667</v>
      </c>
      <c r="I224" s="11">
        <v>46051</v>
      </c>
      <c r="K224" s="1">
        <v>46057</v>
      </c>
      <c r="L224" t="s">
        <v>69</v>
      </c>
      <c r="M224" t="s">
        <v>129</v>
      </c>
      <c r="N224" t="s">
        <v>21</v>
      </c>
      <c r="O224" t="s">
        <v>24</v>
      </c>
      <c r="P224">
        <v>24614</v>
      </c>
      <c r="Q224" t="s">
        <v>19</v>
      </c>
      <c r="R224">
        <v>35476</v>
      </c>
      <c r="S224" t="str">
        <f>VLOOKUP(L224&amp;TEXT(I224,"mmmm")&amp;YEAR(I224),'[1]Detalle C-Fecha'!$D$2:$E$15921,2,FALSE)</f>
        <v>ADA_CH - Danone Arg. S.A. - Chascomus</v>
      </c>
    </row>
    <row r="225" spans="1:19" x14ac:dyDescent="0.3">
      <c r="A225">
        <v>28183</v>
      </c>
      <c r="B225" t="s">
        <v>28</v>
      </c>
      <c r="C225" t="s">
        <v>15</v>
      </c>
      <c r="D225" t="s">
        <v>16</v>
      </c>
      <c r="E225" t="s">
        <v>116</v>
      </c>
      <c r="F225" s="6" t="str">
        <f t="shared" si="3"/>
        <v>3ML</v>
      </c>
      <c r="G225" s="11">
        <v>46051</v>
      </c>
      <c r="H225" s="12">
        <v>0.31041666666666667</v>
      </c>
      <c r="I225" s="11">
        <v>46051</v>
      </c>
      <c r="K225" s="1">
        <v>46057</v>
      </c>
      <c r="L225" t="s">
        <v>69</v>
      </c>
      <c r="M225" t="s">
        <v>129</v>
      </c>
      <c r="N225" t="s">
        <v>21</v>
      </c>
      <c r="O225" t="s">
        <v>24</v>
      </c>
      <c r="P225">
        <v>24614</v>
      </c>
      <c r="Q225" t="s">
        <v>19</v>
      </c>
      <c r="R225">
        <v>35490</v>
      </c>
      <c r="S225" t="str">
        <f>VLOOKUP(L225&amp;TEXT(I225,"mmmm")&amp;YEAR(I225),'[1]Detalle C-Fecha'!$D$2:$E$15921,2,FALSE)</f>
        <v>ADA_CH - Danone Arg. S.A. - Chascomus</v>
      </c>
    </row>
    <row r="226" spans="1:19" x14ac:dyDescent="0.3">
      <c r="A226">
        <v>28184</v>
      </c>
      <c r="B226" t="s">
        <v>28</v>
      </c>
      <c r="C226" t="s">
        <v>15</v>
      </c>
      <c r="D226" t="s">
        <v>16</v>
      </c>
      <c r="E226" t="s">
        <v>117</v>
      </c>
      <c r="F226" s="6" t="str">
        <f t="shared" si="3"/>
        <v>6ML</v>
      </c>
      <c r="G226" s="11">
        <v>46051</v>
      </c>
      <c r="H226" s="12">
        <v>0.31041666666666667</v>
      </c>
      <c r="I226" s="11">
        <v>46051</v>
      </c>
      <c r="K226" s="1">
        <v>46055</v>
      </c>
      <c r="L226" t="s">
        <v>69</v>
      </c>
      <c r="M226" t="s">
        <v>129</v>
      </c>
      <c r="N226" t="s">
        <v>21</v>
      </c>
      <c r="O226" t="s">
        <v>24</v>
      </c>
      <c r="P226">
        <v>24615</v>
      </c>
      <c r="Q226" t="s">
        <v>19</v>
      </c>
      <c r="R226">
        <v>34959</v>
      </c>
      <c r="S226" t="str">
        <f>VLOOKUP(L226&amp;TEXT(I226,"mmmm")&amp;YEAR(I226),'[1]Detalle C-Fecha'!$D$2:$E$15921,2,FALSE)</f>
        <v>ADA_CH - Danone Arg. S.A. - Chascomus</v>
      </c>
    </row>
    <row r="227" spans="1:19" x14ac:dyDescent="0.3">
      <c r="A227">
        <v>28184</v>
      </c>
      <c r="B227" t="s">
        <v>28</v>
      </c>
      <c r="C227" t="s">
        <v>15</v>
      </c>
      <c r="D227" t="s">
        <v>16</v>
      </c>
      <c r="E227" t="s">
        <v>117</v>
      </c>
      <c r="F227" s="6" t="str">
        <f t="shared" si="3"/>
        <v>6ML</v>
      </c>
      <c r="G227" s="11">
        <v>46051</v>
      </c>
      <c r="H227" s="12">
        <v>0.31041666666666667</v>
      </c>
      <c r="I227" s="11">
        <v>46051</v>
      </c>
      <c r="K227" s="1">
        <v>46055</v>
      </c>
      <c r="L227" t="s">
        <v>69</v>
      </c>
      <c r="M227" t="s">
        <v>129</v>
      </c>
      <c r="N227" t="s">
        <v>21</v>
      </c>
      <c r="O227" t="s">
        <v>24</v>
      </c>
      <c r="P227">
        <v>24615</v>
      </c>
      <c r="Q227" t="s">
        <v>19</v>
      </c>
      <c r="R227">
        <v>35085</v>
      </c>
      <c r="S227" t="str">
        <f>VLOOKUP(L227&amp;TEXT(I227,"mmmm")&amp;YEAR(I227),'[1]Detalle C-Fecha'!$D$2:$E$15921,2,FALSE)</f>
        <v>ADA_CH - Danone Arg. S.A. - Chascomus</v>
      </c>
    </row>
    <row r="228" spans="1:19" x14ac:dyDescent="0.3">
      <c r="A228">
        <v>28209</v>
      </c>
      <c r="B228" t="s">
        <v>28</v>
      </c>
      <c r="C228" t="s">
        <v>15</v>
      </c>
      <c r="D228" t="s">
        <v>16</v>
      </c>
      <c r="E228" t="s">
        <v>51</v>
      </c>
      <c r="F228" s="6" t="str">
        <f t="shared" si="3"/>
        <v>2MC</v>
      </c>
      <c r="G228" s="11">
        <v>46051</v>
      </c>
      <c r="H228" s="12">
        <v>0.84861111111111109</v>
      </c>
      <c r="I228" s="11">
        <v>46051</v>
      </c>
      <c r="J228" s="1">
        <v>46051</v>
      </c>
      <c r="K228" s="1">
        <v>46055</v>
      </c>
      <c r="L228" t="s">
        <v>42</v>
      </c>
      <c r="M228" t="s">
        <v>130</v>
      </c>
      <c r="N228" t="s">
        <v>21</v>
      </c>
      <c r="O228" t="s">
        <v>27</v>
      </c>
      <c r="P228">
        <v>24645</v>
      </c>
      <c r="Q228" t="s">
        <v>19</v>
      </c>
      <c r="R228">
        <v>34965</v>
      </c>
      <c r="S228" t="str">
        <f>VLOOKUP(L228&amp;TEXT(I228,"mmmm")&amp;YEAR(I228),'[1]Detalle C-Fecha'!$D$2:$E$15921,2,FALSE)</f>
        <v>CMQ_TTE - QUILMES TTE</v>
      </c>
    </row>
    <row r="229" spans="1:19" x14ac:dyDescent="0.3">
      <c r="A229">
        <v>28209</v>
      </c>
      <c r="B229" t="s">
        <v>28</v>
      </c>
      <c r="C229" t="s">
        <v>15</v>
      </c>
      <c r="D229" t="s">
        <v>16</v>
      </c>
      <c r="E229" t="s">
        <v>51</v>
      </c>
      <c r="F229" s="6" t="str">
        <f t="shared" si="3"/>
        <v>2MC</v>
      </c>
      <c r="G229" s="11">
        <v>46051</v>
      </c>
      <c r="H229" s="12">
        <v>0.84861111111111109</v>
      </c>
      <c r="I229" s="11">
        <v>46051</v>
      </c>
      <c r="J229" s="1">
        <v>46051</v>
      </c>
      <c r="K229" s="1">
        <v>46055</v>
      </c>
      <c r="L229" t="s">
        <v>42</v>
      </c>
      <c r="M229" t="s">
        <v>130</v>
      </c>
      <c r="N229" t="s">
        <v>21</v>
      </c>
      <c r="O229" t="s">
        <v>27</v>
      </c>
      <c r="P229">
        <v>24645</v>
      </c>
      <c r="Q229" t="s">
        <v>19</v>
      </c>
      <c r="R229">
        <v>35087</v>
      </c>
      <c r="S229" t="str">
        <f>VLOOKUP(L229&amp;TEXT(I229,"mmmm")&amp;YEAR(I229),'[1]Detalle C-Fecha'!$D$2:$E$15921,2,FALSE)</f>
        <v>CMQ_TTE - QUILMES TTE</v>
      </c>
    </row>
    <row r="230" spans="1:19" x14ac:dyDescent="0.3">
      <c r="A230">
        <v>28210</v>
      </c>
      <c r="B230" t="s">
        <v>28</v>
      </c>
      <c r="C230" t="s">
        <v>15</v>
      </c>
      <c r="D230" t="s">
        <v>16</v>
      </c>
      <c r="E230" t="s">
        <v>53</v>
      </c>
      <c r="F230" s="6" t="str">
        <f t="shared" si="3"/>
        <v>3MC</v>
      </c>
      <c r="G230" s="11">
        <v>46051</v>
      </c>
      <c r="H230" s="12">
        <v>0.84861111111111109</v>
      </c>
      <c r="I230" s="11">
        <v>46051</v>
      </c>
      <c r="J230" s="1">
        <v>46051</v>
      </c>
      <c r="K230" s="1">
        <v>46055</v>
      </c>
      <c r="L230" t="s">
        <v>42</v>
      </c>
      <c r="M230" t="s">
        <v>130</v>
      </c>
      <c r="N230" t="s">
        <v>21</v>
      </c>
      <c r="O230" t="s">
        <v>18</v>
      </c>
      <c r="P230">
        <v>24646</v>
      </c>
      <c r="Q230" t="s">
        <v>19</v>
      </c>
      <c r="R230">
        <v>34966</v>
      </c>
      <c r="S230" t="str">
        <f>VLOOKUP(L230&amp;TEXT(I230,"mmmm")&amp;YEAR(I230),'[1]Detalle C-Fecha'!$D$2:$E$15921,2,FALSE)</f>
        <v>CMQ_TTE - QUILMES TTE</v>
      </c>
    </row>
    <row r="231" spans="1:19" x14ac:dyDescent="0.3">
      <c r="A231">
        <v>28210</v>
      </c>
      <c r="B231" t="s">
        <v>28</v>
      </c>
      <c r="C231" t="s">
        <v>15</v>
      </c>
      <c r="D231" t="s">
        <v>16</v>
      </c>
      <c r="E231" t="s">
        <v>53</v>
      </c>
      <c r="F231" s="6" t="str">
        <f t="shared" si="3"/>
        <v>3MC</v>
      </c>
      <c r="G231" s="11">
        <v>46051</v>
      </c>
      <c r="H231" s="12">
        <v>0.84861111111111109</v>
      </c>
      <c r="I231" s="11">
        <v>46051</v>
      </c>
      <c r="J231" s="1">
        <v>46051</v>
      </c>
      <c r="K231" s="1">
        <v>46055</v>
      </c>
      <c r="L231" t="s">
        <v>42</v>
      </c>
      <c r="M231" t="s">
        <v>130</v>
      </c>
      <c r="N231" t="s">
        <v>21</v>
      </c>
      <c r="O231" t="s">
        <v>18</v>
      </c>
      <c r="P231">
        <v>24646</v>
      </c>
      <c r="Q231" t="s">
        <v>19</v>
      </c>
      <c r="R231">
        <v>35084</v>
      </c>
      <c r="S231" t="str">
        <f>VLOOKUP(L231&amp;TEXT(I231,"mmmm")&amp;YEAR(I231),'[1]Detalle C-Fecha'!$D$2:$E$15921,2,FALSE)</f>
        <v>CMQ_TTE - QUILMES TTE</v>
      </c>
    </row>
    <row r="232" spans="1:19" x14ac:dyDescent="0.3">
      <c r="A232">
        <v>28211</v>
      </c>
      <c r="B232" t="s">
        <v>28</v>
      </c>
      <c r="C232" t="s">
        <v>15</v>
      </c>
      <c r="D232" t="s">
        <v>16</v>
      </c>
      <c r="E232" t="s">
        <v>52</v>
      </c>
      <c r="F232" s="6" t="str">
        <f t="shared" si="3"/>
        <v>6MC</v>
      </c>
      <c r="G232" s="11">
        <v>46051</v>
      </c>
      <c r="H232" s="12">
        <v>0.84861111111111109</v>
      </c>
      <c r="I232" s="11">
        <v>46051</v>
      </c>
      <c r="J232" s="1">
        <v>46051</v>
      </c>
      <c r="K232" s="1">
        <v>46055</v>
      </c>
      <c r="L232" t="s">
        <v>42</v>
      </c>
      <c r="M232" t="s">
        <v>130</v>
      </c>
      <c r="N232" t="s">
        <v>21</v>
      </c>
      <c r="O232" t="s">
        <v>18</v>
      </c>
      <c r="P232">
        <v>24647</v>
      </c>
      <c r="Q232" t="s">
        <v>19</v>
      </c>
      <c r="R232">
        <v>34967</v>
      </c>
      <c r="S232" t="str">
        <f>VLOOKUP(L232&amp;TEXT(I232,"mmmm")&amp;YEAR(I232),'[1]Detalle C-Fecha'!$D$2:$E$15921,2,FALSE)</f>
        <v>CMQ_TTE - QUILMES TTE</v>
      </c>
    </row>
    <row r="233" spans="1:19" x14ac:dyDescent="0.3">
      <c r="A233">
        <v>28211</v>
      </c>
      <c r="B233" t="s">
        <v>28</v>
      </c>
      <c r="C233" t="s">
        <v>15</v>
      </c>
      <c r="D233" t="s">
        <v>16</v>
      </c>
      <c r="E233" t="s">
        <v>52</v>
      </c>
      <c r="F233" s="6" t="str">
        <f t="shared" si="3"/>
        <v>6MC</v>
      </c>
      <c r="G233" s="11">
        <v>46051</v>
      </c>
      <c r="H233" s="12">
        <v>0.84861111111111109</v>
      </c>
      <c r="I233" s="11">
        <v>46051</v>
      </c>
      <c r="J233" s="1">
        <v>46051</v>
      </c>
      <c r="K233" s="1">
        <v>46055</v>
      </c>
      <c r="L233" t="s">
        <v>42</v>
      </c>
      <c r="M233" t="s">
        <v>130</v>
      </c>
      <c r="N233" t="s">
        <v>21</v>
      </c>
      <c r="O233" t="s">
        <v>18</v>
      </c>
      <c r="P233">
        <v>24647</v>
      </c>
      <c r="Q233" t="s">
        <v>19</v>
      </c>
      <c r="R233">
        <v>35084</v>
      </c>
      <c r="S233" t="str">
        <f>VLOOKUP(L233&amp;TEXT(I233,"mmmm")&amp;YEAR(I233),'[1]Detalle C-Fecha'!$D$2:$E$15921,2,FALSE)</f>
        <v>CMQ_TTE - QUILMES TTE</v>
      </c>
    </row>
    <row r="234" spans="1:19" x14ac:dyDescent="0.3">
      <c r="A234">
        <v>28216</v>
      </c>
      <c r="B234" t="s">
        <v>28</v>
      </c>
      <c r="C234" t="s">
        <v>15</v>
      </c>
      <c r="D234" t="s">
        <v>16</v>
      </c>
      <c r="E234" t="s">
        <v>115</v>
      </c>
      <c r="F234" s="6" t="str">
        <f t="shared" si="3"/>
        <v>2ML</v>
      </c>
      <c r="G234" s="11">
        <v>46052</v>
      </c>
      <c r="H234" s="12">
        <v>0.31666666666666665</v>
      </c>
      <c r="I234" s="11">
        <v>46052</v>
      </c>
      <c r="K234" s="1">
        <v>46055</v>
      </c>
      <c r="L234" t="s">
        <v>48</v>
      </c>
      <c r="M234" t="s">
        <v>129</v>
      </c>
      <c r="N234" t="s">
        <v>21</v>
      </c>
      <c r="O234" t="s">
        <v>24</v>
      </c>
      <c r="P234">
        <v>24652</v>
      </c>
      <c r="Q234" t="s">
        <v>19</v>
      </c>
      <c r="R234">
        <v>34970</v>
      </c>
      <c r="S234" t="str">
        <f>VLOOKUP(L234&amp;TEXT(I234,"mmmm")&amp;YEAR(I234),'[1]Detalle C-Fecha'!$D$2:$E$15921,2,FALSE)</f>
        <v>ADA_CH - Danone Arg. S.A. - Chascomus</v>
      </c>
    </row>
    <row r="235" spans="1:19" x14ac:dyDescent="0.3">
      <c r="A235">
        <v>28216</v>
      </c>
      <c r="B235" t="s">
        <v>28</v>
      </c>
      <c r="C235" t="s">
        <v>15</v>
      </c>
      <c r="D235" t="s">
        <v>16</v>
      </c>
      <c r="E235" t="s">
        <v>115</v>
      </c>
      <c r="F235" s="6" t="str">
        <f t="shared" si="3"/>
        <v>2ML</v>
      </c>
      <c r="G235" s="11">
        <v>46052</v>
      </c>
      <c r="H235" s="12">
        <v>0.31666666666666665</v>
      </c>
      <c r="I235" s="11">
        <v>46052</v>
      </c>
      <c r="K235" s="1">
        <v>46055</v>
      </c>
      <c r="L235" t="s">
        <v>48</v>
      </c>
      <c r="M235" t="s">
        <v>129</v>
      </c>
      <c r="N235" t="s">
        <v>21</v>
      </c>
      <c r="O235" t="s">
        <v>24</v>
      </c>
      <c r="P235">
        <v>24652</v>
      </c>
      <c r="Q235" t="s">
        <v>19</v>
      </c>
      <c r="R235">
        <v>35085</v>
      </c>
      <c r="S235" t="str">
        <f>VLOOKUP(L235&amp;TEXT(I235,"mmmm")&amp;YEAR(I235),'[1]Detalle C-Fecha'!$D$2:$E$15921,2,FALSE)</f>
        <v>ADA_CH - Danone Arg. S.A. - Chascomus</v>
      </c>
    </row>
    <row r="236" spans="1:19" x14ac:dyDescent="0.3">
      <c r="A236">
        <v>28217</v>
      </c>
      <c r="B236" t="s">
        <v>28</v>
      </c>
      <c r="C236" t="s">
        <v>15</v>
      </c>
      <c r="D236" t="s">
        <v>16</v>
      </c>
      <c r="E236" t="s">
        <v>116</v>
      </c>
      <c r="F236" s="6" t="str">
        <f t="shared" si="3"/>
        <v>3ML</v>
      </c>
      <c r="G236" s="11">
        <v>46052</v>
      </c>
      <c r="H236" s="12">
        <v>0.31666666666666665</v>
      </c>
      <c r="I236" s="11">
        <v>46052</v>
      </c>
      <c r="K236" s="1">
        <v>46057</v>
      </c>
      <c r="L236" t="s">
        <v>48</v>
      </c>
      <c r="M236" t="s">
        <v>129</v>
      </c>
      <c r="N236" t="s">
        <v>21</v>
      </c>
      <c r="O236" t="s">
        <v>24</v>
      </c>
      <c r="P236">
        <v>24653</v>
      </c>
      <c r="Q236" t="s">
        <v>19</v>
      </c>
      <c r="R236">
        <v>35481</v>
      </c>
      <c r="S236" t="str">
        <f>VLOOKUP(L236&amp;TEXT(I236,"mmmm")&amp;YEAR(I236),'[1]Detalle C-Fecha'!$D$2:$E$15921,2,FALSE)</f>
        <v>ADA_CH - Danone Arg. S.A. - Chascomus</v>
      </c>
    </row>
    <row r="237" spans="1:19" x14ac:dyDescent="0.3">
      <c r="A237">
        <v>28217</v>
      </c>
      <c r="B237" t="s">
        <v>28</v>
      </c>
      <c r="C237" t="s">
        <v>15</v>
      </c>
      <c r="D237" t="s">
        <v>16</v>
      </c>
      <c r="E237" t="s">
        <v>116</v>
      </c>
      <c r="F237" s="6" t="str">
        <f t="shared" si="3"/>
        <v>3ML</v>
      </c>
      <c r="G237" s="11">
        <v>46052</v>
      </c>
      <c r="H237" s="12">
        <v>0.31666666666666665</v>
      </c>
      <c r="I237" s="11">
        <v>46052</v>
      </c>
      <c r="K237" s="1">
        <v>46057</v>
      </c>
      <c r="L237" t="s">
        <v>48</v>
      </c>
      <c r="M237" t="s">
        <v>129</v>
      </c>
      <c r="N237" t="s">
        <v>21</v>
      </c>
      <c r="O237" t="s">
        <v>24</v>
      </c>
      <c r="P237">
        <v>24653</v>
      </c>
      <c r="Q237" t="s">
        <v>19</v>
      </c>
      <c r="R237">
        <v>35490</v>
      </c>
      <c r="S237" t="str">
        <f>VLOOKUP(L237&amp;TEXT(I237,"mmmm")&amp;YEAR(I237),'[1]Detalle C-Fecha'!$D$2:$E$15921,2,FALSE)</f>
        <v>ADA_CH - Danone Arg. S.A. - Chascomus</v>
      </c>
    </row>
    <row r="238" spans="1:19" x14ac:dyDescent="0.3">
      <c r="A238">
        <v>28218</v>
      </c>
      <c r="B238" t="s">
        <v>28</v>
      </c>
      <c r="C238" t="s">
        <v>15</v>
      </c>
      <c r="D238" t="s">
        <v>16</v>
      </c>
      <c r="E238" t="s">
        <v>117</v>
      </c>
      <c r="F238" s="6" t="str">
        <f t="shared" si="3"/>
        <v>6ML</v>
      </c>
      <c r="G238" s="11">
        <v>46052</v>
      </c>
      <c r="H238" s="12">
        <v>0.31666666666666665</v>
      </c>
      <c r="I238" s="11">
        <v>46052</v>
      </c>
      <c r="K238" s="1">
        <v>46055</v>
      </c>
      <c r="L238" t="s">
        <v>48</v>
      </c>
      <c r="M238" t="s">
        <v>129</v>
      </c>
      <c r="N238" t="s">
        <v>21</v>
      </c>
      <c r="O238" t="s">
        <v>24</v>
      </c>
      <c r="P238">
        <v>24654</v>
      </c>
      <c r="Q238" t="s">
        <v>19</v>
      </c>
      <c r="R238">
        <v>34971</v>
      </c>
      <c r="S238" t="str">
        <f>VLOOKUP(L238&amp;TEXT(I238,"mmmm")&amp;YEAR(I238),'[1]Detalle C-Fecha'!$D$2:$E$15921,2,FALSE)</f>
        <v>ADA_CH - Danone Arg. S.A. - Chascomus</v>
      </c>
    </row>
    <row r="239" spans="1:19" x14ac:dyDescent="0.3">
      <c r="A239">
        <v>28218</v>
      </c>
      <c r="B239" t="s">
        <v>28</v>
      </c>
      <c r="C239" t="s">
        <v>15</v>
      </c>
      <c r="D239" t="s">
        <v>16</v>
      </c>
      <c r="E239" t="s">
        <v>117</v>
      </c>
      <c r="F239" s="6" t="str">
        <f t="shared" si="3"/>
        <v>6ML</v>
      </c>
      <c r="G239" s="11">
        <v>46052</v>
      </c>
      <c r="H239" s="12">
        <v>0.31666666666666665</v>
      </c>
      <c r="I239" s="11">
        <v>46052</v>
      </c>
      <c r="K239" s="1">
        <v>46055</v>
      </c>
      <c r="L239" t="s">
        <v>48</v>
      </c>
      <c r="M239" t="s">
        <v>129</v>
      </c>
      <c r="N239" t="s">
        <v>21</v>
      </c>
      <c r="O239" t="s">
        <v>24</v>
      </c>
      <c r="P239">
        <v>24654</v>
      </c>
      <c r="Q239" t="s">
        <v>19</v>
      </c>
      <c r="R239">
        <v>35085</v>
      </c>
      <c r="S239" t="str">
        <f>VLOOKUP(L239&amp;TEXT(I239,"mmmm")&amp;YEAR(I239),'[1]Detalle C-Fecha'!$D$2:$E$15921,2,FALSE)</f>
        <v>ADA_CH - Danone Arg. S.A. - Chascomus</v>
      </c>
    </row>
    <row r="240" spans="1:19" x14ac:dyDescent="0.3">
      <c r="A240">
        <v>28244</v>
      </c>
      <c r="B240" t="s">
        <v>28</v>
      </c>
      <c r="C240" t="s">
        <v>15</v>
      </c>
      <c r="D240" t="s">
        <v>16</v>
      </c>
      <c r="E240" t="s">
        <v>113</v>
      </c>
      <c r="F240" s="6" t="str">
        <f t="shared" si="3"/>
        <v>2MC</v>
      </c>
      <c r="G240" s="11">
        <v>46052</v>
      </c>
      <c r="H240" s="12">
        <v>0.63472222222222219</v>
      </c>
      <c r="I240" s="11">
        <v>46052</v>
      </c>
      <c r="J240" s="1">
        <v>46052</v>
      </c>
      <c r="K240" s="1">
        <v>46055</v>
      </c>
      <c r="L240" t="s">
        <v>59</v>
      </c>
      <c r="M240" t="s">
        <v>128</v>
      </c>
      <c r="N240" t="s">
        <v>21</v>
      </c>
      <c r="O240" t="s">
        <v>18</v>
      </c>
      <c r="P240">
        <v>24702</v>
      </c>
      <c r="Q240" t="s">
        <v>19</v>
      </c>
      <c r="R240">
        <v>34976</v>
      </c>
      <c r="S240" t="str">
        <f>VLOOKUP(L240&amp;TEXT(I240,"mmmm")&amp;YEAR(I240),'[1]Detalle C-Fecha'!$D$2:$E$15921,2,FALSE)</f>
        <v>CMQ_TTE - QUILMES TTE</v>
      </c>
    </row>
    <row r="241" spans="1:19" x14ac:dyDescent="0.3">
      <c r="A241">
        <v>28244</v>
      </c>
      <c r="B241" t="s">
        <v>28</v>
      </c>
      <c r="C241" t="s">
        <v>15</v>
      </c>
      <c r="D241" t="s">
        <v>16</v>
      </c>
      <c r="E241" t="s">
        <v>113</v>
      </c>
      <c r="F241" s="6" t="str">
        <f t="shared" si="3"/>
        <v>2MC</v>
      </c>
      <c r="G241" s="11">
        <v>46052</v>
      </c>
      <c r="H241" s="12">
        <v>0.63472222222222219</v>
      </c>
      <c r="I241" s="11">
        <v>46052</v>
      </c>
      <c r="J241" s="1">
        <v>46052</v>
      </c>
      <c r="K241" s="1">
        <v>46055</v>
      </c>
      <c r="L241" t="s">
        <v>59</v>
      </c>
      <c r="M241" t="s">
        <v>128</v>
      </c>
      <c r="N241" t="s">
        <v>21</v>
      </c>
      <c r="O241" t="s">
        <v>18</v>
      </c>
      <c r="P241">
        <v>24702</v>
      </c>
      <c r="Q241" t="s">
        <v>19</v>
      </c>
      <c r="R241">
        <v>35084</v>
      </c>
      <c r="S241" t="str">
        <f>VLOOKUP(L241&amp;TEXT(I241,"mmmm")&amp;YEAR(I241),'[1]Detalle C-Fecha'!$D$2:$E$15921,2,FALSE)</f>
        <v>CMQ_TTE - QUILMES TTE</v>
      </c>
    </row>
    <row r="242" spans="1:19" x14ac:dyDescent="0.3">
      <c r="A242">
        <v>28245</v>
      </c>
      <c r="B242" t="s">
        <v>28</v>
      </c>
      <c r="C242" t="s">
        <v>15</v>
      </c>
      <c r="D242" t="s">
        <v>16</v>
      </c>
      <c r="E242" t="s">
        <v>122</v>
      </c>
      <c r="F242" s="6" t="str">
        <f t="shared" si="3"/>
        <v>3MC</v>
      </c>
      <c r="G242" s="11">
        <v>46052</v>
      </c>
      <c r="H242" s="12">
        <v>0.63541666666666663</v>
      </c>
      <c r="I242" s="11">
        <v>46052</v>
      </c>
      <c r="J242" s="1">
        <v>46052</v>
      </c>
      <c r="K242" s="1">
        <v>46055</v>
      </c>
      <c r="L242" t="s">
        <v>59</v>
      </c>
      <c r="M242" t="s">
        <v>128</v>
      </c>
      <c r="N242" t="s">
        <v>21</v>
      </c>
      <c r="O242" t="s">
        <v>18</v>
      </c>
      <c r="P242">
        <v>24703</v>
      </c>
      <c r="Q242" t="s">
        <v>19</v>
      </c>
      <c r="R242">
        <v>34977</v>
      </c>
      <c r="S242" t="str">
        <f>VLOOKUP(L242&amp;TEXT(I242,"mmmm")&amp;YEAR(I242),'[1]Detalle C-Fecha'!$D$2:$E$15921,2,FALSE)</f>
        <v>CMQ_TTE - QUILMES TTE</v>
      </c>
    </row>
    <row r="243" spans="1:19" x14ac:dyDescent="0.3">
      <c r="A243">
        <v>28245</v>
      </c>
      <c r="B243" t="s">
        <v>28</v>
      </c>
      <c r="C243" t="s">
        <v>15</v>
      </c>
      <c r="D243" t="s">
        <v>16</v>
      </c>
      <c r="E243" t="s">
        <v>122</v>
      </c>
      <c r="F243" s="6" t="str">
        <f t="shared" si="3"/>
        <v>3MC</v>
      </c>
      <c r="G243" s="11">
        <v>46052</v>
      </c>
      <c r="H243" s="12">
        <v>0.63541666666666663</v>
      </c>
      <c r="I243" s="11">
        <v>46052</v>
      </c>
      <c r="J243" s="1">
        <v>46052</v>
      </c>
      <c r="K243" s="1">
        <v>46055</v>
      </c>
      <c r="L243" t="s">
        <v>59</v>
      </c>
      <c r="M243" t="s">
        <v>128</v>
      </c>
      <c r="N243" t="s">
        <v>21</v>
      </c>
      <c r="O243" t="s">
        <v>18</v>
      </c>
      <c r="P243">
        <v>24703</v>
      </c>
      <c r="Q243" t="s">
        <v>19</v>
      </c>
      <c r="R243">
        <v>35084</v>
      </c>
      <c r="S243" t="str">
        <f>VLOOKUP(L243&amp;TEXT(I243,"mmmm")&amp;YEAR(I243),'[1]Detalle C-Fecha'!$D$2:$E$15921,2,FALSE)</f>
        <v>CMQ_TTE - QUILMES TTE</v>
      </c>
    </row>
    <row r="244" spans="1:19" x14ac:dyDescent="0.3">
      <c r="A244">
        <v>28246</v>
      </c>
      <c r="B244" t="s">
        <v>28</v>
      </c>
      <c r="C244" t="s">
        <v>15</v>
      </c>
      <c r="D244" t="s">
        <v>16</v>
      </c>
      <c r="E244" t="s">
        <v>114</v>
      </c>
      <c r="F244" s="6" t="str">
        <f t="shared" si="3"/>
        <v>6MC</v>
      </c>
      <c r="G244" s="11">
        <v>46052</v>
      </c>
      <c r="H244" s="12">
        <v>0.63541666666666663</v>
      </c>
      <c r="I244" s="11">
        <v>46052</v>
      </c>
      <c r="J244" s="1">
        <v>46052</v>
      </c>
      <c r="K244" s="1">
        <v>46055</v>
      </c>
      <c r="L244" t="s">
        <v>59</v>
      </c>
      <c r="M244" t="s">
        <v>128</v>
      </c>
      <c r="N244" t="s">
        <v>21</v>
      </c>
      <c r="O244" t="s">
        <v>18</v>
      </c>
      <c r="P244">
        <v>24704</v>
      </c>
      <c r="Q244" t="s">
        <v>19</v>
      </c>
      <c r="R244">
        <v>34978</v>
      </c>
      <c r="S244" t="str">
        <f>VLOOKUP(L244&amp;TEXT(I244,"mmmm")&amp;YEAR(I244),'[1]Detalle C-Fecha'!$D$2:$E$15921,2,FALSE)</f>
        <v>CMQ_TTE - QUILMES TTE</v>
      </c>
    </row>
    <row r="245" spans="1:19" x14ac:dyDescent="0.3">
      <c r="A245">
        <v>28246</v>
      </c>
      <c r="B245" t="s">
        <v>28</v>
      </c>
      <c r="C245" t="s">
        <v>15</v>
      </c>
      <c r="D245" t="s">
        <v>16</v>
      </c>
      <c r="E245" t="s">
        <v>114</v>
      </c>
      <c r="F245" s="6" t="str">
        <f t="shared" si="3"/>
        <v>6MC</v>
      </c>
      <c r="G245" s="11">
        <v>46052</v>
      </c>
      <c r="H245" s="12">
        <v>0.63541666666666663</v>
      </c>
      <c r="I245" s="11">
        <v>46052</v>
      </c>
      <c r="J245" s="1">
        <v>46052</v>
      </c>
      <c r="K245" s="1">
        <v>46055</v>
      </c>
      <c r="L245" t="s">
        <v>59</v>
      </c>
      <c r="M245" t="s">
        <v>128</v>
      </c>
      <c r="N245" t="s">
        <v>21</v>
      </c>
      <c r="O245" t="s">
        <v>18</v>
      </c>
      <c r="P245">
        <v>24704</v>
      </c>
      <c r="Q245" t="s">
        <v>19</v>
      </c>
      <c r="R245">
        <v>35084</v>
      </c>
      <c r="S245" t="str">
        <f>VLOOKUP(L245&amp;TEXT(I245,"mmmm")&amp;YEAR(I245),'[1]Detalle C-Fecha'!$D$2:$E$15921,2,FALSE)</f>
        <v>CMQ_TTE - QUILMES TTE</v>
      </c>
    </row>
    <row r="246" spans="1:19" x14ac:dyDescent="0.3">
      <c r="A246">
        <v>28261</v>
      </c>
      <c r="B246" t="s">
        <v>28</v>
      </c>
      <c r="C246" t="s">
        <v>15</v>
      </c>
      <c r="D246" t="s">
        <v>16</v>
      </c>
      <c r="E246" t="s">
        <v>113</v>
      </c>
      <c r="F246" s="6" t="str">
        <f t="shared" si="3"/>
        <v>2MC</v>
      </c>
      <c r="G246" s="11">
        <v>46052</v>
      </c>
      <c r="H246" s="12">
        <v>0.67361111111111116</v>
      </c>
      <c r="I246" s="11">
        <v>46052</v>
      </c>
      <c r="J246" s="1">
        <v>46052</v>
      </c>
      <c r="K246" s="1">
        <v>46055</v>
      </c>
      <c r="L246" t="s">
        <v>105</v>
      </c>
      <c r="M246" t="s">
        <v>128</v>
      </c>
      <c r="N246" t="s">
        <v>21</v>
      </c>
      <c r="O246" t="s">
        <v>18</v>
      </c>
      <c r="P246">
        <v>24708</v>
      </c>
      <c r="Q246" t="s">
        <v>19</v>
      </c>
      <c r="R246">
        <v>34981</v>
      </c>
      <c r="S246" t="str">
        <f>VLOOKUP(L246&amp;TEXT(I246,"mmmm")&amp;YEAR(I246),'[1]Detalle C-Fecha'!$D$2:$E$15921,2,FALSE)</f>
        <v>CMQ_TTE - QUILMES TTE</v>
      </c>
    </row>
    <row r="247" spans="1:19" x14ac:dyDescent="0.3">
      <c r="A247">
        <v>28261</v>
      </c>
      <c r="B247" t="s">
        <v>28</v>
      </c>
      <c r="C247" t="s">
        <v>15</v>
      </c>
      <c r="D247" t="s">
        <v>16</v>
      </c>
      <c r="E247" t="s">
        <v>113</v>
      </c>
      <c r="F247" s="6" t="str">
        <f t="shared" si="3"/>
        <v>2MC</v>
      </c>
      <c r="G247" s="11">
        <v>46052</v>
      </c>
      <c r="H247" s="12">
        <v>0.67361111111111116</v>
      </c>
      <c r="I247" s="11">
        <v>46052</v>
      </c>
      <c r="J247" s="1">
        <v>46052</v>
      </c>
      <c r="K247" s="1">
        <v>46055</v>
      </c>
      <c r="L247" t="s">
        <v>105</v>
      </c>
      <c r="M247" t="s">
        <v>128</v>
      </c>
      <c r="N247" t="s">
        <v>21</v>
      </c>
      <c r="O247" t="s">
        <v>18</v>
      </c>
      <c r="P247">
        <v>24708</v>
      </c>
      <c r="Q247" t="s">
        <v>19</v>
      </c>
      <c r="R247">
        <v>35084</v>
      </c>
      <c r="S247" t="str">
        <f>VLOOKUP(L247&amp;TEXT(I247,"mmmm")&amp;YEAR(I247),'[1]Detalle C-Fecha'!$D$2:$E$15921,2,FALSE)</f>
        <v>CMQ_TTE - QUILMES TTE</v>
      </c>
    </row>
    <row r="248" spans="1:19" x14ac:dyDescent="0.3">
      <c r="A248">
        <v>28262</v>
      </c>
      <c r="B248" t="s">
        <v>28</v>
      </c>
      <c r="C248" t="s">
        <v>15</v>
      </c>
      <c r="D248" t="s">
        <v>16</v>
      </c>
      <c r="E248" t="s">
        <v>122</v>
      </c>
      <c r="F248" s="6" t="str">
        <f t="shared" si="3"/>
        <v>3MC</v>
      </c>
      <c r="G248" s="11">
        <v>46052</v>
      </c>
      <c r="H248" s="12">
        <v>0.67361111111111116</v>
      </c>
      <c r="I248" s="11">
        <v>46052</v>
      </c>
      <c r="J248" s="1">
        <v>46052</v>
      </c>
      <c r="K248" s="1">
        <v>46055</v>
      </c>
      <c r="L248" t="s">
        <v>105</v>
      </c>
      <c r="M248" t="s">
        <v>128</v>
      </c>
      <c r="N248" t="s">
        <v>21</v>
      </c>
      <c r="O248" t="s">
        <v>18</v>
      </c>
      <c r="P248">
        <v>24709</v>
      </c>
      <c r="Q248" t="s">
        <v>19</v>
      </c>
      <c r="R248">
        <v>34982</v>
      </c>
      <c r="S248" t="str">
        <f>VLOOKUP(L248&amp;TEXT(I248,"mmmm")&amp;YEAR(I248),'[1]Detalle C-Fecha'!$D$2:$E$15921,2,FALSE)</f>
        <v>CMQ_TTE - QUILMES TTE</v>
      </c>
    </row>
    <row r="249" spans="1:19" x14ac:dyDescent="0.3">
      <c r="A249">
        <v>28262</v>
      </c>
      <c r="B249" t="s">
        <v>28</v>
      </c>
      <c r="C249" t="s">
        <v>15</v>
      </c>
      <c r="D249" t="s">
        <v>16</v>
      </c>
      <c r="E249" t="s">
        <v>122</v>
      </c>
      <c r="F249" s="6" t="str">
        <f t="shared" si="3"/>
        <v>3MC</v>
      </c>
      <c r="G249" s="11">
        <v>46052</v>
      </c>
      <c r="H249" s="12">
        <v>0.67361111111111116</v>
      </c>
      <c r="I249" s="11">
        <v>46052</v>
      </c>
      <c r="J249" s="1">
        <v>46052</v>
      </c>
      <c r="K249" s="1">
        <v>46055</v>
      </c>
      <c r="L249" t="s">
        <v>105</v>
      </c>
      <c r="M249" t="s">
        <v>128</v>
      </c>
      <c r="N249" t="s">
        <v>21</v>
      </c>
      <c r="O249" t="s">
        <v>18</v>
      </c>
      <c r="P249">
        <v>24709</v>
      </c>
      <c r="Q249" t="s">
        <v>19</v>
      </c>
      <c r="R249">
        <v>35084</v>
      </c>
      <c r="S249" t="str">
        <f>VLOOKUP(L249&amp;TEXT(I249,"mmmm")&amp;YEAR(I249),'[1]Detalle C-Fecha'!$D$2:$E$15921,2,FALSE)</f>
        <v>CMQ_TTE - QUILMES TTE</v>
      </c>
    </row>
    <row r="250" spans="1:19" x14ac:dyDescent="0.3">
      <c r="A250">
        <v>28263</v>
      </c>
      <c r="B250" t="s">
        <v>28</v>
      </c>
      <c r="C250" t="s">
        <v>15</v>
      </c>
      <c r="D250" t="s">
        <v>16</v>
      </c>
      <c r="E250" t="s">
        <v>114</v>
      </c>
      <c r="F250" s="6" t="str">
        <f t="shared" si="3"/>
        <v>6MC</v>
      </c>
      <c r="G250" s="11">
        <v>46052</v>
      </c>
      <c r="H250" s="12">
        <v>0.67361111111111116</v>
      </c>
      <c r="I250" s="11">
        <v>46052</v>
      </c>
      <c r="J250" s="1">
        <v>46052</v>
      </c>
      <c r="K250" s="1">
        <v>46055</v>
      </c>
      <c r="L250" t="s">
        <v>105</v>
      </c>
      <c r="M250" t="s">
        <v>128</v>
      </c>
      <c r="N250" t="s">
        <v>21</v>
      </c>
      <c r="O250" t="s">
        <v>18</v>
      </c>
      <c r="P250">
        <v>24710</v>
      </c>
      <c r="Q250" t="s">
        <v>19</v>
      </c>
      <c r="R250">
        <v>34983</v>
      </c>
      <c r="S250" t="str">
        <f>VLOOKUP(L250&amp;TEXT(I250,"mmmm")&amp;YEAR(I250),'[1]Detalle C-Fecha'!$D$2:$E$15921,2,FALSE)</f>
        <v>CMQ_TTE - QUILMES TTE</v>
      </c>
    </row>
    <row r="251" spans="1:19" x14ac:dyDescent="0.3">
      <c r="A251">
        <v>28263</v>
      </c>
      <c r="B251" t="s">
        <v>28</v>
      </c>
      <c r="C251" t="s">
        <v>15</v>
      </c>
      <c r="D251" t="s">
        <v>16</v>
      </c>
      <c r="E251" t="s">
        <v>114</v>
      </c>
      <c r="F251" s="6" t="str">
        <f t="shared" si="3"/>
        <v>6MC</v>
      </c>
      <c r="G251" s="11">
        <v>46052</v>
      </c>
      <c r="H251" s="12">
        <v>0.67361111111111116</v>
      </c>
      <c r="I251" s="11">
        <v>46052</v>
      </c>
      <c r="J251" s="1">
        <v>46052</v>
      </c>
      <c r="K251" s="1">
        <v>46055</v>
      </c>
      <c r="L251" t="s">
        <v>105</v>
      </c>
      <c r="M251" t="s">
        <v>128</v>
      </c>
      <c r="N251" t="s">
        <v>21</v>
      </c>
      <c r="O251" t="s">
        <v>18</v>
      </c>
      <c r="P251">
        <v>24710</v>
      </c>
      <c r="Q251" t="s">
        <v>19</v>
      </c>
      <c r="R251">
        <v>35084</v>
      </c>
      <c r="S251" t="str">
        <f>VLOOKUP(L251&amp;TEXT(I251,"mmmm")&amp;YEAR(I251),'[1]Detalle C-Fecha'!$D$2:$E$15921,2,FALSE)</f>
        <v>CMQ_TTE - QUILMES TTE</v>
      </c>
    </row>
    <row r="252" spans="1:19" x14ac:dyDescent="0.3">
      <c r="A252">
        <v>28268</v>
      </c>
      <c r="B252" t="s">
        <v>28</v>
      </c>
      <c r="C252" t="s">
        <v>15</v>
      </c>
      <c r="D252" t="s">
        <v>16</v>
      </c>
      <c r="E252" t="s">
        <v>51</v>
      </c>
      <c r="F252" s="6" t="str">
        <f t="shared" si="3"/>
        <v>2MC</v>
      </c>
      <c r="G252" s="11">
        <v>46052</v>
      </c>
      <c r="H252" s="12">
        <v>0.84375</v>
      </c>
      <c r="I252" s="11">
        <v>46052</v>
      </c>
      <c r="J252" s="1">
        <v>46052</v>
      </c>
      <c r="K252" s="1">
        <v>46057</v>
      </c>
      <c r="L252" t="s">
        <v>66</v>
      </c>
      <c r="M252" t="s">
        <v>130</v>
      </c>
      <c r="N252" t="s">
        <v>21</v>
      </c>
      <c r="O252" t="s">
        <v>18</v>
      </c>
      <c r="P252">
        <v>24736</v>
      </c>
      <c r="Q252" t="s">
        <v>19</v>
      </c>
      <c r="R252">
        <v>35484</v>
      </c>
      <c r="S252" t="str">
        <f>VLOOKUP(L252&amp;TEXT(I252,"mmmm")&amp;YEAR(I252),'[1]Detalle C-Fecha'!$D$2:$E$15921,2,FALSE)</f>
        <v>CMQ_TTE - QUILMES TTE</v>
      </c>
    </row>
    <row r="253" spans="1:19" x14ac:dyDescent="0.3">
      <c r="A253">
        <v>28268</v>
      </c>
      <c r="B253" t="s">
        <v>28</v>
      </c>
      <c r="C253" t="s">
        <v>15</v>
      </c>
      <c r="D253" t="s">
        <v>16</v>
      </c>
      <c r="E253" t="s">
        <v>51</v>
      </c>
      <c r="F253" s="6" t="str">
        <f t="shared" si="3"/>
        <v>2MC</v>
      </c>
      <c r="G253" s="11">
        <v>46052</v>
      </c>
      <c r="H253" s="12">
        <v>0.84375</v>
      </c>
      <c r="I253" s="11">
        <v>46052</v>
      </c>
      <c r="J253" s="1">
        <v>46052</v>
      </c>
      <c r="K253" s="1">
        <v>46057</v>
      </c>
      <c r="L253" t="s">
        <v>66</v>
      </c>
      <c r="M253" t="s">
        <v>130</v>
      </c>
      <c r="N253" t="s">
        <v>21</v>
      </c>
      <c r="O253" t="s">
        <v>18</v>
      </c>
      <c r="P253">
        <v>24736</v>
      </c>
      <c r="Q253" t="s">
        <v>19</v>
      </c>
      <c r="R253">
        <v>35487</v>
      </c>
      <c r="S253" t="str">
        <f>VLOOKUP(L253&amp;TEXT(I253,"mmmm")&amp;YEAR(I253),'[1]Detalle C-Fecha'!$D$2:$E$15921,2,FALSE)</f>
        <v>CMQ_TTE - QUILMES TTE</v>
      </c>
    </row>
    <row r="254" spans="1:19" x14ac:dyDescent="0.3">
      <c r="A254">
        <v>28269</v>
      </c>
      <c r="B254" t="s">
        <v>28</v>
      </c>
      <c r="C254" t="s">
        <v>15</v>
      </c>
      <c r="D254" t="s">
        <v>16</v>
      </c>
      <c r="E254" t="s">
        <v>53</v>
      </c>
      <c r="F254" s="6" t="str">
        <f t="shared" si="3"/>
        <v>3MC</v>
      </c>
      <c r="G254" s="11">
        <v>46052</v>
      </c>
      <c r="H254" s="12">
        <v>0.84375</v>
      </c>
      <c r="I254" s="11">
        <v>46052</v>
      </c>
      <c r="J254" s="1">
        <v>46052</v>
      </c>
      <c r="K254" s="1">
        <v>46055</v>
      </c>
      <c r="L254" t="s">
        <v>66</v>
      </c>
      <c r="M254" t="s">
        <v>130</v>
      </c>
      <c r="N254" t="s">
        <v>21</v>
      </c>
      <c r="O254" t="s">
        <v>18</v>
      </c>
      <c r="P254">
        <v>24737</v>
      </c>
      <c r="Q254" t="s">
        <v>19</v>
      </c>
      <c r="R254">
        <v>34985</v>
      </c>
      <c r="S254" t="str">
        <f>VLOOKUP(L254&amp;TEXT(I254,"mmmm")&amp;YEAR(I254),'[1]Detalle C-Fecha'!$D$2:$E$15921,2,FALSE)</f>
        <v>CMQ_TTE - QUILMES TTE</v>
      </c>
    </row>
    <row r="255" spans="1:19" x14ac:dyDescent="0.3">
      <c r="A255">
        <v>28269</v>
      </c>
      <c r="B255" t="s">
        <v>28</v>
      </c>
      <c r="C255" t="s">
        <v>15</v>
      </c>
      <c r="D255" t="s">
        <v>16</v>
      </c>
      <c r="E255" t="s">
        <v>53</v>
      </c>
      <c r="F255" s="6" t="str">
        <f t="shared" si="3"/>
        <v>3MC</v>
      </c>
      <c r="G255" s="11">
        <v>46052</v>
      </c>
      <c r="H255" s="12">
        <v>0.84375</v>
      </c>
      <c r="I255" s="11">
        <v>46052</v>
      </c>
      <c r="J255" s="1">
        <v>46052</v>
      </c>
      <c r="K255" s="1">
        <v>46055</v>
      </c>
      <c r="L255" t="s">
        <v>66</v>
      </c>
      <c r="M255" t="s">
        <v>130</v>
      </c>
      <c r="N255" t="s">
        <v>21</v>
      </c>
      <c r="O255" t="s">
        <v>18</v>
      </c>
      <c r="P255">
        <v>24737</v>
      </c>
      <c r="Q255" t="s">
        <v>19</v>
      </c>
      <c r="R255">
        <v>35084</v>
      </c>
      <c r="S255" t="str">
        <f>VLOOKUP(L255&amp;TEXT(I255,"mmmm")&amp;YEAR(I255),'[1]Detalle C-Fecha'!$D$2:$E$15921,2,FALSE)</f>
        <v>CMQ_TTE - QUILMES TTE</v>
      </c>
    </row>
    <row r="256" spans="1:19" x14ac:dyDescent="0.3">
      <c r="A256">
        <v>28270</v>
      </c>
      <c r="B256" t="s">
        <v>28</v>
      </c>
      <c r="C256" t="s">
        <v>15</v>
      </c>
      <c r="D256" t="s">
        <v>16</v>
      </c>
      <c r="E256" t="s">
        <v>52</v>
      </c>
      <c r="F256" s="6" t="str">
        <f t="shared" si="3"/>
        <v>6MC</v>
      </c>
      <c r="G256" s="11">
        <v>46052</v>
      </c>
      <c r="H256" s="12">
        <v>0.84375</v>
      </c>
      <c r="I256" s="11">
        <v>46052</v>
      </c>
      <c r="J256" s="1">
        <v>46052</v>
      </c>
      <c r="K256" s="1">
        <v>46055</v>
      </c>
      <c r="L256" t="s">
        <v>66</v>
      </c>
      <c r="M256" t="s">
        <v>130</v>
      </c>
      <c r="N256" t="s">
        <v>21</v>
      </c>
      <c r="O256" t="s">
        <v>18</v>
      </c>
      <c r="P256">
        <v>24738</v>
      </c>
      <c r="Q256" t="s">
        <v>19</v>
      </c>
      <c r="R256">
        <v>34986</v>
      </c>
      <c r="S256" t="str">
        <f>VLOOKUP(L256&amp;TEXT(I256,"mmmm")&amp;YEAR(I256),'[1]Detalle C-Fecha'!$D$2:$E$15921,2,FALSE)</f>
        <v>CMQ_TTE - QUILMES TTE</v>
      </c>
    </row>
    <row r="257" spans="1:19" x14ac:dyDescent="0.3">
      <c r="A257">
        <v>28270</v>
      </c>
      <c r="B257" t="s">
        <v>28</v>
      </c>
      <c r="C257" t="s">
        <v>15</v>
      </c>
      <c r="D257" t="s">
        <v>16</v>
      </c>
      <c r="E257" t="s">
        <v>52</v>
      </c>
      <c r="F257" s="6" t="str">
        <f t="shared" ref="F257:F320" si="4">MID(E257,1,3)</f>
        <v>6MC</v>
      </c>
      <c r="G257" s="11">
        <v>46052</v>
      </c>
      <c r="H257" s="12">
        <v>0.84375</v>
      </c>
      <c r="I257" s="11">
        <v>46052</v>
      </c>
      <c r="J257" s="1">
        <v>46052</v>
      </c>
      <c r="K257" s="1">
        <v>46055</v>
      </c>
      <c r="L257" t="s">
        <v>66</v>
      </c>
      <c r="M257" t="s">
        <v>130</v>
      </c>
      <c r="N257" t="s">
        <v>21</v>
      </c>
      <c r="O257" t="s">
        <v>18</v>
      </c>
      <c r="P257">
        <v>24738</v>
      </c>
      <c r="Q257" t="s">
        <v>19</v>
      </c>
      <c r="R257">
        <v>35084</v>
      </c>
      <c r="S257" t="str">
        <f>VLOOKUP(L257&amp;TEXT(I257,"mmmm")&amp;YEAR(I257),'[1]Detalle C-Fecha'!$D$2:$E$15921,2,FALSE)</f>
        <v>CMQ_TTE - QUILMES TTE</v>
      </c>
    </row>
    <row r="258" spans="1:19" x14ac:dyDescent="0.3">
      <c r="A258">
        <v>28380</v>
      </c>
      <c r="B258" t="s">
        <v>28</v>
      </c>
      <c r="C258" t="s">
        <v>15</v>
      </c>
      <c r="D258" t="s">
        <v>16</v>
      </c>
      <c r="E258" t="s">
        <v>115</v>
      </c>
      <c r="F258" s="6" t="str">
        <f t="shared" si="4"/>
        <v>2ML</v>
      </c>
      <c r="G258" s="11">
        <v>46053</v>
      </c>
      <c r="H258" s="12">
        <v>0.40972222222222227</v>
      </c>
      <c r="I258" s="11">
        <v>46053</v>
      </c>
      <c r="J258" s="1">
        <v>46053</v>
      </c>
      <c r="K258" s="1">
        <v>46053</v>
      </c>
      <c r="L258" t="s">
        <v>55</v>
      </c>
      <c r="M258" t="s">
        <v>131</v>
      </c>
      <c r="N258" t="s">
        <v>17</v>
      </c>
      <c r="O258" t="s">
        <v>25</v>
      </c>
      <c r="P258">
        <v>24773</v>
      </c>
      <c r="Q258" t="s">
        <v>19</v>
      </c>
      <c r="R258">
        <v>34840</v>
      </c>
      <c r="S258" t="str">
        <f>VLOOKUP(L258&amp;TEXT(I258,"mmmm")&amp;YEAR(I258),'[1]Detalle C-Fecha'!$D$2:$E$15921,2,FALSE)</f>
        <v>Expreso - Servicios Troncales</v>
      </c>
    </row>
    <row r="259" spans="1:19" x14ac:dyDescent="0.3">
      <c r="A259">
        <v>28380</v>
      </c>
      <c r="B259" t="s">
        <v>28</v>
      </c>
      <c r="C259" t="s">
        <v>15</v>
      </c>
      <c r="D259" t="s">
        <v>16</v>
      </c>
      <c r="E259" t="s">
        <v>115</v>
      </c>
      <c r="F259" s="6" t="str">
        <f t="shared" si="4"/>
        <v>2ML</v>
      </c>
      <c r="G259" s="11">
        <v>46053</v>
      </c>
      <c r="H259" s="12">
        <v>0.40972222222222227</v>
      </c>
      <c r="I259" s="11">
        <v>46053</v>
      </c>
      <c r="J259" s="1">
        <v>46053</v>
      </c>
      <c r="K259" s="1">
        <v>46053</v>
      </c>
      <c r="L259" t="s">
        <v>55</v>
      </c>
      <c r="M259" t="s">
        <v>131</v>
      </c>
      <c r="N259" t="s">
        <v>17</v>
      </c>
      <c r="O259" t="s">
        <v>25</v>
      </c>
      <c r="P259">
        <v>24773</v>
      </c>
      <c r="Q259" t="s">
        <v>19</v>
      </c>
      <c r="R259">
        <v>34841</v>
      </c>
      <c r="S259" t="str">
        <f>VLOOKUP(L259&amp;TEXT(I259,"mmmm")&amp;YEAR(I259),'[1]Detalle C-Fecha'!$D$2:$E$15921,2,FALSE)</f>
        <v>Expreso - Servicios Troncales</v>
      </c>
    </row>
    <row r="260" spans="1:19" x14ac:dyDescent="0.3">
      <c r="A260">
        <v>28381</v>
      </c>
      <c r="B260" t="s">
        <v>28</v>
      </c>
      <c r="C260" t="s">
        <v>15</v>
      </c>
      <c r="D260" t="s">
        <v>16</v>
      </c>
      <c r="E260" t="s">
        <v>116</v>
      </c>
      <c r="F260" s="6" t="str">
        <f t="shared" si="4"/>
        <v>3ML</v>
      </c>
      <c r="G260" s="11">
        <v>46053</v>
      </c>
      <c r="H260" s="12">
        <v>0.40972222222222227</v>
      </c>
      <c r="I260" s="11">
        <v>46053</v>
      </c>
      <c r="J260" s="1">
        <v>46053</v>
      </c>
      <c r="K260" s="1">
        <v>46053</v>
      </c>
      <c r="L260" t="s">
        <v>55</v>
      </c>
      <c r="M260" t="s">
        <v>131</v>
      </c>
      <c r="N260" t="s">
        <v>17</v>
      </c>
      <c r="O260" t="s">
        <v>25</v>
      </c>
      <c r="P260">
        <v>24774</v>
      </c>
      <c r="Q260" t="s">
        <v>19</v>
      </c>
      <c r="R260">
        <v>34842</v>
      </c>
      <c r="S260" t="str">
        <f>VLOOKUP(L260&amp;TEXT(I260,"mmmm")&amp;YEAR(I260),'[1]Detalle C-Fecha'!$D$2:$E$15921,2,FALSE)</f>
        <v>Expreso - Servicios Troncales</v>
      </c>
    </row>
    <row r="261" spans="1:19" x14ac:dyDescent="0.3">
      <c r="A261">
        <v>28381</v>
      </c>
      <c r="B261" t="s">
        <v>28</v>
      </c>
      <c r="C261" t="s">
        <v>15</v>
      </c>
      <c r="D261" t="s">
        <v>16</v>
      </c>
      <c r="E261" t="s">
        <v>116</v>
      </c>
      <c r="F261" s="6" t="str">
        <f t="shared" si="4"/>
        <v>3ML</v>
      </c>
      <c r="G261" s="11">
        <v>46053</v>
      </c>
      <c r="H261" s="12">
        <v>0.40972222222222227</v>
      </c>
      <c r="I261" s="11">
        <v>46053</v>
      </c>
      <c r="J261" s="1">
        <v>46053</v>
      </c>
      <c r="K261" s="1">
        <v>46053</v>
      </c>
      <c r="L261" t="s">
        <v>55</v>
      </c>
      <c r="M261" t="s">
        <v>131</v>
      </c>
      <c r="N261" t="s">
        <v>17</v>
      </c>
      <c r="O261" t="s">
        <v>25</v>
      </c>
      <c r="P261">
        <v>24774</v>
      </c>
      <c r="Q261" t="s">
        <v>19</v>
      </c>
      <c r="R261">
        <v>34843</v>
      </c>
      <c r="S261" t="str">
        <f>VLOOKUP(L261&amp;TEXT(I261,"mmmm")&amp;YEAR(I261),'[1]Detalle C-Fecha'!$D$2:$E$15921,2,FALSE)</f>
        <v>Expreso - Servicios Troncales</v>
      </c>
    </row>
    <row r="262" spans="1:19" x14ac:dyDescent="0.3">
      <c r="A262">
        <v>28392</v>
      </c>
      <c r="B262" t="s">
        <v>28</v>
      </c>
      <c r="C262" t="s">
        <v>15</v>
      </c>
      <c r="D262" t="s">
        <v>16</v>
      </c>
      <c r="E262" t="s">
        <v>35</v>
      </c>
      <c r="F262" s="6" t="str">
        <f t="shared" si="4"/>
        <v>2ML</v>
      </c>
      <c r="G262" s="11">
        <v>46055</v>
      </c>
      <c r="H262" s="12">
        <v>0.39583333333333331</v>
      </c>
      <c r="I262" s="11">
        <v>46055</v>
      </c>
      <c r="K262" s="1">
        <v>46062</v>
      </c>
      <c r="L262" t="s">
        <v>101</v>
      </c>
      <c r="M262" t="s">
        <v>126</v>
      </c>
      <c r="N262" t="s">
        <v>21</v>
      </c>
      <c r="O262" t="s">
        <v>24</v>
      </c>
      <c r="P262">
        <v>24786</v>
      </c>
      <c r="Q262" t="s">
        <v>19</v>
      </c>
      <c r="R262">
        <v>35826</v>
      </c>
      <c r="S262" t="str">
        <f>VLOOKUP(L262&amp;TEXT(I262,"mmmm")&amp;YEAR(I262),'[1]Detalle C-Fecha'!$D$2:$E$15921,2,FALSE)</f>
        <v>ADA_CH - Danone Arg. S.A. - Chascomus</v>
      </c>
    </row>
    <row r="263" spans="1:19" x14ac:dyDescent="0.3">
      <c r="A263">
        <v>28392</v>
      </c>
      <c r="B263" t="s">
        <v>28</v>
      </c>
      <c r="C263" t="s">
        <v>15</v>
      </c>
      <c r="D263" t="s">
        <v>16</v>
      </c>
      <c r="E263" t="s">
        <v>35</v>
      </c>
      <c r="F263" s="6" t="str">
        <f t="shared" si="4"/>
        <v>2ML</v>
      </c>
      <c r="G263" s="11">
        <v>46055</v>
      </c>
      <c r="H263" s="12">
        <v>0.39583333333333331</v>
      </c>
      <c r="I263" s="11">
        <v>46055</v>
      </c>
      <c r="K263" s="1">
        <v>46062</v>
      </c>
      <c r="L263" t="s">
        <v>101</v>
      </c>
      <c r="M263" t="s">
        <v>126</v>
      </c>
      <c r="N263" t="s">
        <v>21</v>
      </c>
      <c r="O263" t="s">
        <v>24</v>
      </c>
      <c r="P263">
        <v>24786</v>
      </c>
      <c r="Q263" t="s">
        <v>19</v>
      </c>
      <c r="R263">
        <v>36047</v>
      </c>
      <c r="S263" t="str">
        <f>VLOOKUP(L263&amp;TEXT(I263,"mmmm")&amp;YEAR(I263),'[1]Detalle C-Fecha'!$D$2:$E$15921,2,FALSE)</f>
        <v>ADA_CH - Danone Arg. S.A. - Chascomus</v>
      </c>
    </row>
    <row r="264" spans="1:19" x14ac:dyDescent="0.3">
      <c r="A264">
        <v>28393</v>
      </c>
      <c r="B264" t="s">
        <v>28</v>
      </c>
      <c r="C264" t="s">
        <v>15</v>
      </c>
      <c r="D264" t="s">
        <v>16</v>
      </c>
      <c r="E264" t="s">
        <v>47</v>
      </c>
      <c r="F264" s="6" t="str">
        <f t="shared" si="4"/>
        <v>3ML</v>
      </c>
      <c r="G264" s="11">
        <v>46055</v>
      </c>
      <c r="H264" s="12">
        <v>0.39583333333333331</v>
      </c>
      <c r="I264" s="11">
        <v>46055</v>
      </c>
      <c r="K264" s="1">
        <v>46062</v>
      </c>
      <c r="L264" t="s">
        <v>101</v>
      </c>
      <c r="M264" t="s">
        <v>126</v>
      </c>
      <c r="N264" t="s">
        <v>21</v>
      </c>
      <c r="O264" t="s">
        <v>24</v>
      </c>
      <c r="P264">
        <v>24787</v>
      </c>
      <c r="Q264" t="s">
        <v>19</v>
      </c>
      <c r="R264">
        <v>35827</v>
      </c>
      <c r="S264" t="str">
        <f>VLOOKUP(L264&amp;TEXT(I264,"mmmm")&amp;YEAR(I264),'[1]Detalle C-Fecha'!$D$2:$E$15921,2,FALSE)</f>
        <v>ADA_CH - Danone Arg. S.A. - Chascomus</v>
      </c>
    </row>
    <row r="265" spans="1:19" x14ac:dyDescent="0.3">
      <c r="A265">
        <v>28393</v>
      </c>
      <c r="B265" t="s">
        <v>28</v>
      </c>
      <c r="C265" t="s">
        <v>15</v>
      </c>
      <c r="D265" t="s">
        <v>16</v>
      </c>
      <c r="E265" t="s">
        <v>47</v>
      </c>
      <c r="F265" s="6" t="str">
        <f t="shared" si="4"/>
        <v>3ML</v>
      </c>
      <c r="G265" s="11">
        <v>46055</v>
      </c>
      <c r="H265" s="12">
        <v>0.39583333333333331</v>
      </c>
      <c r="I265" s="11">
        <v>46055</v>
      </c>
      <c r="K265" s="1">
        <v>46062</v>
      </c>
      <c r="L265" t="s">
        <v>101</v>
      </c>
      <c r="M265" t="s">
        <v>126</v>
      </c>
      <c r="N265" t="s">
        <v>21</v>
      </c>
      <c r="O265" t="s">
        <v>24</v>
      </c>
      <c r="P265">
        <v>24787</v>
      </c>
      <c r="Q265" t="s">
        <v>19</v>
      </c>
      <c r="R265">
        <v>36047</v>
      </c>
      <c r="S265" t="str">
        <f>VLOOKUP(L265&amp;TEXT(I265,"mmmm")&amp;YEAR(I265),'[1]Detalle C-Fecha'!$D$2:$E$15921,2,FALSE)</f>
        <v>ADA_CH - Danone Arg. S.A. - Chascomus</v>
      </c>
    </row>
    <row r="266" spans="1:19" x14ac:dyDescent="0.3">
      <c r="A266">
        <v>28394</v>
      </c>
      <c r="B266" t="s">
        <v>28</v>
      </c>
      <c r="C266" t="s">
        <v>15</v>
      </c>
      <c r="D266" t="s">
        <v>16</v>
      </c>
      <c r="E266" t="s">
        <v>46</v>
      </c>
      <c r="F266" s="6" t="str">
        <f t="shared" si="4"/>
        <v>6ML</v>
      </c>
      <c r="G266" s="11">
        <v>46055</v>
      </c>
      <c r="H266" s="12">
        <v>0.39583333333333331</v>
      </c>
      <c r="I266" s="11">
        <v>46055</v>
      </c>
      <c r="K266" s="1">
        <v>46062</v>
      </c>
      <c r="L266" t="s">
        <v>101</v>
      </c>
      <c r="M266" t="s">
        <v>126</v>
      </c>
      <c r="N266" t="s">
        <v>21</v>
      </c>
      <c r="O266" t="s">
        <v>24</v>
      </c>
      <c r="P266">
        <v>24789</v>
      </c>
      <c r="Q266" t="s">
        <v>19</v>
      </c>
      <c r="R266">
        <v>35828</v>
      </c>
      <c r="S266" t="str">
        <f>VLOOKUP(L266&amp;TEXT(I266,"mmmm")&amp;YEAR(I266),'[1]Detalle C-Fecha'!$D$2:$E$15921,2,FALSE)</f>
        <v>ADA_CH - Danone Arg. S.A. - Chascomus</v>
      </c>
    </row>
    <row r="267" spans="1:19" x14ac:dyDescent="0.3">
      <c r="A267">
        <v>28394</v>
      </c>
      <c r="B267" t="s">
        <v>28</v>
      </c>
      <c r="C267" t="s">
        <v>15</v>
      </c>
      <c r="D267" t="s">
        <v>16</v>
      </c>
      <c r="E267" t="s">
        <v>46</v>
      </c>
      <c r="F267" s="6" t="str">
        <f t="shared" si="4"/>
        <v>6ML</v>
      </c>
      <c r="G267" s="11">
        <v>46055</v>
      </c>
      <c r="H267" s="12">
        <v>0.39583333333333331</v>
      </c>
      <c r="I267" s="11">
        <v>46055</v>
      </c>
      <c r="K267" s="1">
        <v>46062</v>
      </c>
      <c r="L267" t="s">
        <v>101</v>
      </c>
      <c r="M267" t="s">
        <v>126</v>
      </c>
      <c r="N267" t="s">
        <v>21</v>
      </c>
      <c r="O267" t="s">
        <v>24</v>
      </c>
      <c r="P267">
        <v>24789</v>
      </c>
      <c r="Q267" t="s">
        <v>19</v>
      </c>
      <c r="R267">
        <v>36047</v>
      </c>
      <c r="S267" t="str">
        <f>VLOOKUP(L267&amp;TEXT(I267,"mmmm")&amp;YEAR(I267),'[1]Detalle C-Fecha'!$D$2:$E$15921,2,FALSE)</f>
        <v>ADA_CH - Danone Arg. S.A. - Chascomus</v>
      </c>
    </row>
    <row r="268" spans="1:19" x14ac:dyDescent="0.3">
      <c r="A268">
        <v>28808</v>
      </c>
      <c r="B268" t="s">
        <v>28</v>
      </c>
      <c r="C268" t="s">
        <v>15</v>
      </c>
      <c r="D268" t="s">
        <v>16</v>
      </c>
      <c r="E268" t="s">
        <v>108</v>
      </c>
      <c r="F268" s="6" t="str">
        <f t="shared" si="4"/>
        <v>2MU</v>
      </c>
      <c r="G268" s="11">
        <v>46057</v>
      </c>
      <c r="H268" s="12">
        <v>0.48194444444444445</v>
      </c>
      <c r="I268" s="11">
        <v>46057</v>
      </c>
      <c r="J268" s="1">
        <v>46057</v>
      </c>
      <c r="K268" s="1">
        <v>46057</v>
      </c>
      <c r="L268" t="s">
        <v>102</v>
      </c>
      <c r="M268" t="s">
        <v>103</v>
      </c>
      <c r="N268" t="s">
        <v>17</v>
      </c>
      <c r="O268" t="s">
        <v>25</v>
      </c>
      <c r="P268">
        <v>24940</v>
      </c>
      <c r="Q268" t="s">
        <v>19</v>
      </c>
      <c r="R268">
        <v>36466</v>
      </c>
      <c r="S268" t="str">
        <f>VLOOKUP(L268&amp;TEXT(I268,"mmmm")&amp;YEAR(I268),'[1]Detalle C-Fecha'!$D$2:$E$15921,2,FALSE)</f>
        <v>SUC_MEN - Sucursal Mendoza</v>
      </c>
    </row>
    <row r="269" spans="1:19" x14ac:dyDescent="0.3">
      <c r="A269">
        <v>28808</v>
      </c>
      <c r="B269" t="s">
        <v>28</v>
      </c>
      <c r="C269" t="s">
        <v>15</v>
      </c>
      <c r="D269" t="s">
        <v>16</v>
      </c>
      <c r="E269" t="s">
        <v>108</v>
      </c>
      <c r="F269" s="6" t="str">
        <f t="shared" si="4"/>
        <v>2MU</v>
      </c>
      <c r="G269" s="11">
        <v>46057</v>
      </c>
      <c r="H269" s="12">
        <v>0.48194444444444445</v>
      </c>
      <c r="I269" s="11">
        <v>46057</v>
      </c>
      <c r="J269" s="1">
        <v>46057</v>
      </c>
      <c r="K269" s="1">
        <v>46057</v>
      </c>
      <c r="L269" t="s">
        <v>102</v>
      </c>
      <c r="M269" t="s">
        <v>103</v>
      </c>
      <c r="N269" t="s">
        <v>17</v>
      </c>
      <c r="O269" t="s">
        <v>25</v>
      </c>
      <c r="P269">
        <v>24940</v>
      </c>
      <c r="Q269" t="s">
        <v>19</v>
      </c>
      <c r="R269">
        <v>36467</v>
      </c>
      <c r="S269" t="str">
        <f>VLOOKUP(L269&amp;TEXT(I269,"mmmm")&amp;YEAR(I269),'[1]Detalle C-Fecha'!$D$2:$E$15921,2,FALSE)</f>
        <v>SUC_MEN - Sucursal Mendoza</v>
      </c>
    </row>
    <row r="270" spans="1:19" x14ac:dyDescent="0.3">
      <c r="A270">
        <v>28809</v>
      </c>
      <c r="B270" t="s">
        <v>28</v>
      </c>
      <c r="C270" t="s">
        <v>15</v>
      </c>
      <c r="D270" t="s">
        <v>16</v>
      </c>
      <c r="E270" t="s">
        <v>109</v>
      </c>
      <c r="F270" s="6" t="str">
        <f t="shared" si="4"/>
        <v>3MU</v>
      </c>
      <c r="G270" s="11">
        <v>46057</v>
      </c>
      <c r="H270" s="12">
        <v>0.48194444444444445</v>
      </c>
      <c r="I270" s="11">
        <v>46057</v>
      </c>
      <c r="J270" s="1">
        <v>46057</v>
      </c>
      <c r="K270" s="1">
        <v>46057</v>
      </c>
      <c r="L270" t="s">
        <v>102</v>
      </c>
      <c r="M270" t="s">
        <v>103</v>
      </c>
      <c r="N270" t="s">
        <v>17</v>
      </c>
      <c r="O270" t="s">
        <v>25</v>
      </c>
      <c r="P270">
        <v>24941</v>
      </c>
      <c r="Q270" t="s">
        <v>19</v>
      </c>
      <c r="R270">
        <v>36468</v>
      </c>
      <c r="S270" t="str">
        <f>VLOOKUP(L270&amp;TEXT(I270,"mmmm")&amp;YEAR(I270),'[1]Detalle C-Fecha'!$D$2:$E$15921,2,FALSE)</f>
        <v>SUC_MEN - Sucursal Mendoza</v>
      </c>
    </row>
    <row r="271" spans="1:19" x14ac:dyDescent="0.3">
      <c r="A271">
        <v>28809</v>
      </c>
      <c r="B271" t="s">
        <v>28</v>
      </c>
      <c r="C271" t="s">
        <v>15</v>
      </c>
      <c r="D271" t="s">
        <v>16</v>
      </c>
      <c r="E271" t="s">
        <v>109</v>
      </c>
      <c r="F271" s="6" t="str">
        <f t="shared" si="4"/>
        <v>3MU</v>
      </c>
      <c r="G271" s="11">
        <v>46057</v>
      </c>
      <c r="H271" s="12">
        <v>0.48194444444444445</v>
      </c>
      <c r="I271" s="11">
        <v>46057</v>
      </c>
      <c r="J271" s="1">
        <v>46057</v>
      </c>
      <c r="K271" s="1">
        <v>46057</v>
      </c>
      <c r="L271" t="s">
        <v>102</v>
      </c>
      <c r="M271" t="s">
        <v>103</v>
      </c>
      <c r="N271" t="s">
        <v>17</v>
      </c>
      <c r="O271" t="s">
        <v>25</v>
      </c>
      <c r="P271">
        <v>24941</v>
      </c>
      <c r="Q271" t="s">
        <v>19</v>
      </c>
      <c r="R271">
        <v>36469</v>
      </c>
      <c r="S271" t="str">
        <f>VLOOKUP(L271&amp;TEXT(I271,"mmmm")&amp;YEAR(I271),'[1]Detalle C-Fecha'!$D$2:$E$15921,2,FALSE)</f>
        <v>SUC_MEN - Sucursal Mendoza</v>
      </c>
    </row>
    <row r="272" spans="1:19" x14ac:dyDescent="0.3">
      <c r="A272">
        <v>28810</v>
      </c>
      <c r="B272" t="s">
        <v>28</v>
      </c>
      <c r="C272" t="s">
        <v>15</v>
      </c>
      <c r="D272" t="s">
        <v>16</v>
      </c>
      <c r="E272" t="s">
        <v>107</v>
      </c>
      <c r="F272" s="6" t="str">
        <f t="shared" si="4"/>
        <v>4MU</v>
      </c>
      <c r="G272" s="11">
        <v>46057</v>
      </c>
      <c r="H272" s="12">
        <v>0.4826388888888889</v>
      </c>
      <c r="I272" s="11">
        <v>46057</v>
      </c>
      <c r="J272" s="1">
        <v>46057</v>
      </c>
      <c r="K272" s="1">
        <v>46057</v>
      </c>
      <c r="L272" t="s">
        <v>102</v>
      </c>
      <c r="M272" t="s">
        <v>103</v>
      </c>
      <c r="N272" t="s">
        <v>17</v>
      </c>
      <c r="O272" t="s">
        <v>25</v>
      </c>
      <c r="P272">
        <v>24942</v>
      </c>
      <c r="Q272" t="s">
        <v>19</v>
      </c>
      <c r="R272">
        <v>36470</v>
      </c>
      <c r="S272" t="str">
        <f>VLOOKUP(L272&amp;TEXT(I272,"mmmm")&amp;YEAR(I272),'[1]Detalle C-Fecha'!$D$2:$E$15921,2,FALSE)</f>
        <v>SUC_MEN - Sucursal Mendoza</v>
      </c>
    </row>
    <row r="273" spans="1:19" x14ac:dyDescent="0.3">
      <c r="A273">
        <v>28870</v>
      </c>
      <c r="B273" t="s">
        <v>28</v>
      </c>
      <c r="C273" t="s">
        <v>15</v>
      </c>
      <c r="D273" t="s">
        <v>16</v>
      </c>
      <c r="E273" t="s">
        <v>35</v>
      </c>
      <c r="F273" s="6" t="str">
        <f t="shared" si="4"/>
        <v>2ML</v>
      </c>
      <c r="G273" s="11">
        <v>46059</v>
      </c>
      <c r="H273" s="12">
        <v>0.54166666666666663</v>
      </c>
      <c r="I273" s="11">
        <v>46059</v>
      </c>
      <c r="J273" s="1">
        <v>46059</v>
      </c>
      <c r="K273" s="1">
        <v>46059</v>
      </c>
      <c r="L273" t="s">
        <v>57</v>
      </c>
      <c r="M273" t="s">
        <v>126</v>
      </c>
      <c r="N273" t="s">
        <v>31</v>
      </c>
      <c r="O273" t="s">
        <v>25</v>
      </c>
      <c r="P273">
        <v>25010</v>
      </c>
      <c r="Q273" t="s">
        <v>19</v>
      </c>
      <c r="R273">
        <v>37151</v>
      </c>
      <c r="S273" t="str">
        <f>VLOOKUP(L273&amp;TEXT(I273,"mmmm")&amp;YEAR(I273),'[1]Detalle C-Fecha'!$D$2:$E$15921,2,FALSE)</f>
        <v>Expreso - Servicios Troncales</v>
      </c>
    </row>
    <row r="274" spans="1:19" x14ac:dyDescent="0.3">
      <c r="A274">
        <v>28870</v>
      </c>
      <c r="B274" t="s">
        <v>28</v>
      </c>
      <c r="C274" t="s">
        <v>15</v>
      </c>
      <c r="D274" t="s">
        <v>16</v>
      </c>
      <c r="E274" t="s">
        <v>35</v>
      </c>
      <c r="F274" s="6" t="str">
        <f t="shared" si="4"/>
        <v>2ML</v>
      </c>
      <c r="G274" s="11">
        <v>46059</v>
      </c>
      <c r="H274" s="12">
        <v>0.54166666666666663</v>
      </c>
      <c r="I274" s="11">
        <v>46059</v>
      </c>
      <c r="J274" s="1">
        <v>46059</v>
      </c>
      <c r="K274" s="1">
        <v>46059</v>
      </c>
      <c r="L274" t="s">
        <v>57</v>
      </c>
      <c r="M274" t="s">
        <v>126</v>
      </c>
      <c r="N274" t="s">
        <v>31</v>
      </c>
      <c r="O274" t="s">
        <v>25</v>
      </c>
      <c r="P274">
        <v>25010</v>
      </c>
      <c r="Q274" t="s">
        <v>19</v>
      </c>
      <c r="R274">
        <v>37152</v>
      </c>
      <c r="S274" t="str">
        <f>VLOOKUP(L274&amp;TEXT(I274,"mmmm")&amp;YEAR(I274),'[1]Detalle C-Fecha'!$D$2:$E$15921,2,FALSE)</f>
        <v>Expreso - Servicios Troncales</v>
      </c>
    </row>
    <row r="275" spans="1:19" x14ac:dyDescent="0.3">
      <c r="A275">
        <v>28871</v>
      </c>
      <c r="B275" t="s">
        <v>28</v>
      </c>
      <c r="C275" t="s">
        <v>15</v>
      </c>
      <c r="D275" t="s">
        <v>16</v>
      </c>
      <c r="E275" t="s">
        <v>47</v>
      </c>
      <c r="F275" s="6" t="str">
        <f t="shared" si="4"/>
        <v>3ML</v>
      </c>
      <c r="G275" s="11">
        <v>46059</v>
      </c>
      <c r="H275" s="12">
        <v>0.54166666666666663</v>
      </c>
      <c r="I275" s="11">
        <v>46059</v>
      </c>
      <c r="J275" s="1">
        <v>46059</v>
      </c>
      <c r="K275" s="1">
        <v>46059</v>
      </c>
      <c r="L275" t="s">
        <v>57</v>
      </c>
      <c r="M275" t="s">
        <v>126</v>
      </c>
      <c r="N275" t="s">
        <v>31</v>
      </c>
      <c r="O275" t="s">
        <v>25</v>
      </c>
      <c r="P275">
        <v>25011</v>
      </c>
      <c r="Q275" t="s">
        <v>19</v>
      </c>
      <c r="R275">
        <v>37153</v>
      </c>
      <c r="S275" t="str">
        <f>VLOOKUP(L275&amp;TEXT(I275,"mmmm")&amp;YEAR(I275),'[1]Detalle C-Fecha'!$D$2:$E$15921,2,FALSE)</f>
        <v>Expreso - Servicios Troncales</v>
      </c>
    </row>
    <row r="276" spans="1:19" x14ac:dyDescent="0.3">
      <c r="A276">
        <v>28871</v>
      </c>
      <c r="B276" t="s">
        <v>28</v>
      </c>
      <c r="C276" t="s">
        <v>15</v>
      </c>
      <c r="D276" t="s">
        <v>16</v>
      </c>
      <c r="E276" t="s">
        <v>47</v>
      </c>
      <c r="F276" s="6" t="str">
        <f t="shared" si="4"/>
        <v>3ML</v>
      </c>
      <c r="G276" s="11">
        <v>46059</v>
      </c>
      <c r="H276" s="12">
        <v>0.54166666666666663</v>
      </c>
      <c r="I276" s="11">
        <v>46059</v>
      </c>
      <c r="J276" s="1">
        <v>46059</v>
      </c>
      <c r="K276" s="1">
        <v>46059</v>
      </c>
      <c r="L276" t="s">
        <v>57</v>
      </c>
      <c r="M276" t="s">
        <v>126</v>
      </c>
      <c r="N276" t="s">
        <v>31</v>
      </c>
      <c r="O276" t="s">
        <v>25</v>
      </c>
      <c r="P276">
        <v>25011</v>
      </c>
      <c r="Q276" t="s">
        <v>19</v>
      </c>
      <c r="R276">
        <v>37155</v>
      </c>
      <c r="S276" t="str">
        <f>VLOOKUP(L276&amp;TEXT(I276,"mmmm")&amp;YEAR(I276),'[1]Detalle C-Fecha'!$D$2:$E$15921,2,FALSE)</f>
        <v>Expreso - Servicios Troncales</v>
      </c>
    </row>
    <row r="277" spans="1:19" x14ac:dyDescent="0.3">
      <c r="A277">
        <v>28872</v>
      </c>
      <c r="B277" t="s">
        <v>28</v>
      </c>
      <c r="C277" t="s">
        <v>15</v>
      </c>
      <c r="D277" t="s">
        <v>16</v>
      </c>
      <c r="E277" t="s">
        <v>137</v>
      </c>
      <c r="F277" s="6" t="str">
        <f t="shared" si="4"/>
        <v>7ML</v>
      </c>
      <c r="G277" s="11">
        <v>46059</v>
      </c>
      <c r="H277" s="12">
        <v>0.54166666666666663</v>
      </c>
      <c r="I277" s="11">
        <v>46059</v>
      </c>
      <c r="J277" s="1">
        <v>46059</v>
      </c>
      <c r="K277" s="1">
        <v>46059</v>
      </c>
      <c r="L277" t="s">
        <v>57</v>
      </c>
      <c r="M277" t="s">
        <v>126</v>
      </c>
      <c r="N277" t="s">
        <v>31</v>
      </c>
      <c r="O277" t="s">
        <v>25</v>
      </c>
      <c r="P277">
        <v>25012</v>
      </c>
      <c r="Q277" t="s">
        <v>19</v>
      </c>
      <c r="R277">
        <v>37156</v>
      </c>
      <c r="S277" t="str">
        <f>VLOOKUP(L277&amp;TEXT(I277,"mmmm")&amp;YEAR(I277),'[1]Detalle C-Fecha'!$D$2:$E$15921,2,FALSE)</f>
        <v>Expreso - Servicios Troncales</v>
      </c>
    </row>
    <row r="278" spans="1:19" x14ac:dyDescent="0.3">
      <c r="A278">
        <v>28872</v>
      </c>
      <c r="B278" t="s">
        <v>28</v>
      </c>
      <c r="C278" t="s">
        <v>15</v>
      </c>
      <c r="D278" t="s">
        <v>16</v>
      </c>
      <c r="E278" t="s">
        <v>137</v>
      </c>
      <c r="F278" s="6" t="str">
        <f t="shared" si="4"/>
        <v>7ML</v>
      </c>
      <c r="G278" s="11">
        <v>46059</v>
      </c>
      <c r="H278" s="12">
        <v>0.54166666666666663</v>
      </c>
      <c r="I278" s="11">
        <v>46059</v>
      </c>
      <c r="J278" s="1">
        <v>46059</v>
      </c>
      <c r="K278" s="1">
        <v>46059</v>
      </c>
      <c r="L278" t="s">
        <v>57</v>
      </c>
      <c r="M278" t="s">
        <v>126</v>
      </c>
      <c r="N278" t="s">
        <v>31</v>
      </c>
      <c r="O278" t="s">
        <v>25</v>
      </c>
      <c r="P278">
        <v>25012</v>
      </c>
      <c r="Q278" t="s">
        <v>19</v>
      </c>
      <c r="R278">
        <v>37159</v>
      </c>
      <c r="S278" t="str">
        <f>VLOOKUP(L278&amp;TEXT(I278,"mmmm")&amp;YEAR(I278),'[1]Detalle C-Fecha'!$D$2:$E$15921,2,FALSE)</f>
        <v>Expreso - Servicios Troncales</v>
      </c>
    </row>
    <row r="279" spans="1:19" x14ac:dyDescent="0.3">
      <c r="A279">
        <v>28878</v>
      </c>
      <c r="B279" t="s">
        <v>28</v>
      </c>
      <c r="C279" t="s">
        <v>15</v>
      </c>
      <c r="D279" t="s">
        <v>16</v>
      </c>
      <c r="E279" t="s">
        <v>140</v>
      </c>
      <c r="F279" s="6" t="str">
        <f t="shared" si="4"/>
        <v>4ML</v>
      </c>
      <c r="G279" s="11">
        <v>46059</v>
      </c>
      <c r="H279" s="12">
        <v>0.61388888888888882</v>
      </c>
      <c r="I279" s="11">
        <v>46059</v>
      </c>
      <c r="J279" s="1">
        <v>46059</v>
      </c>
      <c r="K279" s="1">
        <v>46059</v>
      </c>
      <c r="L279" t="s">
        <v>29</v>
      </c>
      <c r="M279" t="s">
        <v>142</v>
      </c>
      <c r="N279" t="s">
        <v>31</v>
      </c>
      <c r="O279" t="s">
        <v>25</v>
      </c>
      <c r="P279">
        <v>25025</v>
      </c>
      <c r="Q279" t="s">
        <v>19</v>
      </c>
      <c r="R279">
        <v>37168</v>
      </c>
      <c r="S279" t="str">
        <f>VLOOKUP(L279&amp;TEXT(I279,"mmmm")&amp;YEAR(I279),'[1]Detalle C-Fecha'!$D$2:$E$15921,2,FALSE)</f>
        <v>Expreso - Servicios Troncales</v>
      </c>
    </row>
    <row r="280" spans="1:19" x14ac:dyDescent="0.3">
      <c r="A280">
        <v>28878</v>
      </c>
      <c r="B280" t="s">
        <v>28</v>
      </c>
      <c r="C280" t="s">
        <v>15</v>
      </c>
      <c r="D280" t="s">
        <v>16</v>
      </c>
      <c r="E280" t="s">
        <v>140</v>
      </c>
      <c r="F280" s="6" t="str">
        <f t="shared" si="4"/>
        <v>4ML</v>
      </c>
      <c r="G280" s="11">
        <v>46059</v>
      </c>
      <c r="H280" s="12">
        <v>0.61388888888888882</v>
      </c>
      <c r="I280" s="11">
        <v>46059</v>
      </c>
      <c r="J280" s="1">
        <v>46059</v>
      </c>
      <c r="K280" s="1">
        <v>46059</v>
      </c>
      <c r="L280" t="s">
        <v>29</v>
      </c>
      <c r="M280" t="s">
        <v>142</v>
      </c>
      <c r="N280" t="s">
        <v>31</v>
      </c>
      <c r="O280" t="s">
        <v>25</v>
      </c>
      <c r="P280">
        <v>25025</v>
      </c>
      <c r="Q280" t="s">
        <v>19</v>
      </c>
      <c r="R280">
        <v>37169</v>
      </c>
      <c r="S280" t="str">
        <f>VLOOKUP(L280&amp;TEXT(I280,"mmmm")&amp;YEAR(I280),'[1]Detalle C-Fecha'!$D$2:$E$15921,2,FALSE)</f>
        <v>Expreso - Servicios Troncales</v>
      </c>
    </row>
    <row r="281" spans="1:19" x14ac:dyDescent="0.3">
      <c r="A281">
        <v>28879</v>
      </c>
      <c r="B281" t="s">
        <v>28</v>
      </c>
      <c r="C281" t="s">
        <v>15</v>
      </c>
      <c r="D281" t="s">
        <v>16</v>
      </c>
      <c r="E281" t="s">
        <v>141</v>
      </c>
      <c r="F281" s="6" t="str">
        <f t="shared" si="4"/>
        <v>5ML</v>
      </c>
      <c r="G281" s="11">
        <v>46059</v>
      </c>
      <c r="H281" s="12">
        <v>0.61388888888888882</v>
      </c>
      <c r="I281" s="11">
        <v>46059</v>
      </c>
      <c r="J281" s="1">
        <v>46059</v>
      </c>
      <c r="K281" s="1">
        <v>46059</v>
      </c>
      <c r="L281" t="s">
        <v>29</v>
      </c>
      <c r="M281" t="s">
        <v>142</v>
      </c>
      <c r="N281" t="s">
        <v>31</v>
      </c>
      <c r="O281" t="s">
        <v>25</v>
      </c>
      <c r="P281">
        <v>25026</v>
      </c>
      <c r="Q281" t="s">
        <v>19</v>
      </c>
      <c r="R281">
        <v>37170</v>
      </c>
      <c r="S281" t="str">
        <f>VLOOKUP(L281&amp;TEXT(I281,"mmmm")&amp;YEAR(I281),'[1]Detalle C-Fecha'!$D$2:$E$15921,2,FALSE)</f>
        <v>Expreso - Servicios Troncales</v>
      </c>
    </row>
    <row r="282" spans="1:19" x14ac:dyDescent="0.3">
      <c r="A282">
        <v>28879</v>
      </c>
      <c r="B282" t="s">
        <v>28</v>
      </c>
      <c r="C282" t="s">
        <v>15</v>
      </c>
      <c r="D282" t="s">
        <v>16</v>
      </c>
      <c r="E282" t="s">
        <v>141</v>
      </c>
      <c r="F282" s="6" t="str">
        <f t="shared" si="4"/>
        <v>5ML</v>
      </c>
      <c r="G282" s="11">
        <v>46059</v>
      </c>
      <c r="H282" s="12">
        <v>0.61388888888888882</v>
      </c>
      <c r="I282" s="11">
        <v>46059</v>
      </c>
      <c r="J282" s="1">
        <v>46059</v>
      </c>
      <c r="K282" s="1">
        <v>46059</v>
      </c>
      <c r="L282" t="s">
        <v>29</v>
      </c>
      <c r="M282" t="s">
        <v>142</v>
      </c>
      <c r="N282" t="s">
        <v>31</v>
      </c>
      <c r="O282" t="s">
        <v>25</v>
      </c>
      <c r="P282">
        <v>25026</v>
      </c>
      <c r="Q282" t="s">
        <v>19</v>
      </c>
      <c r="R282">
        <v>37171</v>
      </c>
      <c r="S282" t="str">
        <f>VLOOKUP(L282&amp;TEXT(I282,"mmmm")&amp;YEAR(I282),'[1]Detalle C-Fecha'!$D$2:$E$15921,2,FALSE)</f>
        <v>Expreso - Servicios Troncales</v>
      </c>
    </row>
    <row r="283" spans="1:19" x14ac:dyDescent="0.3">
      <c r="A283">
        <v>29144</v>
      </c>
      <c r="B283" t="s">
        <v>28</v>
      </c>
      <c r="C283" t="s">
        <v>15</v>
      </c>
      <c r="D283" t="s">
        <v>16</v>
      </c>
      <c r="E283" t="s">
        <v>51</v>
      </c>
      <c r="F283" s="6" t="str">
        <f t="shared" si="4"/>
        <v>2MC</v>
      </c>
      <c r="G283" s="11">
        <v>46064</v>
      </c>
      <c r="H283" s="12">
        <v>0.45347222222222222</v>
      </c>
      <c r="I283" s="11">
        <v>46064</v>
      </c>
      <c r="J283" s="1">
        <v>46064</v>
      </c>
      <c r="K283" s="1">
        <v>46064</v>
      </c>
      <c r="L283" t="s">
        <v>41</v>
      </c>
      <c r="M283">
        <v>1318</v>
      </c>
      <c r="N283" t="s">
        <v>17</v>
      </c>
      <c r="O283" t="s">
        <v>24</v>
      </c>
      <c r="P283">
        <v>25152</v>
      </c>
      <c r="Q283" t="s">
        <v>19</v>
      </c>
      <c r="R283">
        <v>36718</v>
      </c>
      <c r="S283" t="str">
        <f>VLOOKUP(L283&amp;TEXT(I283,"mmmm")&amp;YEAR(I283),'[1]Detalle C-Fecha'!$D$2:$E$15921,2,FALSE)</f>
        <v>CENCO_MZ - Cencosud SA - Mendoza</v>
      </c>
    </row>
    <row r="284" spans="1:19" x14ac:dyDescent="0.3">
      <c r="A284">
        <v>29144</v>
      </c>
      <c r="B284" t="s">
        <v>28</v>
      </c>
      <c r="C284" t="s">
        <v>15</v>
      </c>
      <c r="D284" t="s">
        <v>16</v>
      </c>
      <c r="E284" t="s">
        <v>51</v>
      </c>
      <c r="F284" s="6" t="str">
        <f t="shared" si="4"/>
        <v>2MC</v>
      </c>
      <c r="G284" s="11">
        <v>46064</v>
      </c>
      <c r="H284" s="12">
        <v>0.45347222222222222</v>
      </c>
      <c r="I284" s="11">
        <v>46064</v>
      </c>
      <c r="J284" s="1">
        <v>46064</v>
      </c>
      <c r="K284" s="1">
        <v>46064</v>
      </c>
      <c r="L284" t="s">
        <v>41</v>
      </c>
      <c r="M284">
        <v>1318</v>
      </c>
      <c r="N284" t="s">
        <v>17</v>
      </c>
      <c r="O284" t="s">
        <v>24</v>
      </c>
      <c r="P284">
        <v>25152</v>
      </c>
      <c r="Q284" t="s">
        <v>19</v>
      </c>
      <c r="R284">
        <v>36734</v>
      </c>
      <c r="S284" t="str">
        <f>VLOOKUP(L284&amp;TEXT(I284,"mmmm")&amp;YEAR(I284),'[1]Detalle C-Fecha'!$D$2:$E$15921,2,FALSE)</f>
        <v>CENCO_MZ - Cencosud SA - Mendoza</v>
      </c>
    </row>
    <row r="285" spans="1:19" x14ac:dyDescent="0.3">
      <c r="A285">
        <v>29145</v>
      </c>
      <c r="B285" t="s">
        <v>28</v>
      </c>
      <c r="C285" t="s">
        <v>15</v>
      </c>
      <c r="D285" t="s">
        <v>16</v>
      </c>
      <c r="E285" t="s">
        <v>53</v>
      </c>
      <c r="F285" s="6" t="str">
        <f t="shared" si="4"/>
        <v>3MC</v>
      </c>
      <c r="G285" s="11">
        <v>46064</v>
      </c>
      <c r="H285" s="12">
        <v>0.45347222222222222</v>
      </c>
      <c r="I285" s="11">
        <v>46064</v>
      </c>
      <c r="J285" s="1">
        <v>46064</v>
      </c>
      <c r="K285" s="1">
        <v>46064</v>
      </c>
      <c r="L285" t="s">
        <v>41</v>
      </c>
      <c r="M285">
        <v>1318</v>
      </c>
      <c r="N285" t="s">
        <v>17</v>
      </c>
      <c r="O285" t="s">
        <v>24</v>
      </c>
      <c r="P285">
        <v>25153</v>
      </c>
      <c r="Q285" t="s">
        <v>19</v>
      </c>
      <c r="R285">
        <v>36719</v>
      </c>
      <c r="S285" t="str">
        <f>VLOOKUP(L285&amp;TEXT(I285,"mmmm")&amp;YEAR(I285),'[1]Detalle C-Fecha'!$D$2:$E$15921,2,FALSE)</f>
        <v>CENCO_MZ - Cencosud SA - Mendoza</v>
      </c>
    </row>
    <row r="286" spans="1:19" x14ac:dyDescent="0.3">
      <c r="A286">
        <v>29146</v>
      </c>
      <c r="B286" t="s">
        <v>28</v>
      </c>
      <c r="C286" t="s">
        <v>15</v>
      </c>
      <c r="D286" t="s">
        <v>16</v>
      </c>
      <c r="E286" t="s">
        <v>52</v>
      </c>
      <c r="F286" s="6" t="str">
        <f t="shared" si="4"/>
        <v>6MC</v>
      </c>
      <c r="G286" s="11">
        <v>46064</v>
      </c>
      <c r="H286" s="12">
        <v>0.45347222222222222</v>
      </c>
      <c r="I286" s="11">
        <v>46064</v>
      </c>
      <c r="J286" s="1">
        <v>46064</v>
      </c>
      <c r="K286" s="1">
        <v>46064</v>
      </c>
      <c r="L286" t="s">
        <v>41</v>
      </c>
      <c r="M286">
        <v>1318</v>
      </c>
      <c r="N286" t="s">
        <v>17</v>
      </c>
      <c r="O286" t="s">
        <v>24</v>
      </c>
      <c r="P286">
        <v>25154</v>
      </c>
      <c r="Q286" t="s">
        <v>19</v>
      </c>
      <c r="R286">
        <v>36720</v>
      </c>
      <c r="S286" t="str">
        <f>VLOOKUP(L286&amp;TEXT(I286,"mmmm")&amp;YEAR(I286),'[1]Detalle C-Fecha'!$D$2:$E$15921,2,FALSE)</f>
        <v>CENCO_MZ - Cencosud SA - Mendoza</v>
      </c>
    </row>
    <row r="287" spans="1:19" x14ac:dyDescent="0.3">
      <c r="A287">
        <v>29148</v>
      </c>
      <c r="B287" t="s">
        <v>28</v>
      </c>
      <c r="C287" t="s">
        <v>15</v>
      </c>
      <c r="D287" t="s">
        <v>16</v>
      </c>
      <c r="E287" t="s">
        <v>143</v>
      </c>
      <c r="F287" s="6" t="str">
        <f t="shared" si="4"/>
        <v>7MC</v>
      </c>
      <c r="G287" s="11">
        <v>46064</v>
      </c>
      <c r="H287" s="12">
        <v>0.4680555555555555</v>
      </c>
      <c r="I287" s="11">
        <v>46064</v>
      </c>
      <c r="J287" s="1">
        <v>46064</v>
      </c>
      <c r="K287" s="1">
        <v>46064</v>
      </c>
      <c r="L287" t="s">
        <v>41</v>
      </c>
      <c r="M287">
        <v>1318</v>
      </c>
      <c r="N287" t="s">
        <v>17</v>
      </c>
      <c r="O287" t="s">
        <v>24</v>
      </c>
      <c r="P287">
        <v>25162</v>
      </c>
      <c r="Q287" t="s">
        <v>19</v>
      </c>
      <c r="R287">
        <v>36723</v>
      </c>
      <c r="S287" t="str">
        <f>VLOOKUP(L287&amp;TEXT(I287,"mmmm")&amp;YEAR(I287),'[1]Detalle C-Fecha'!$D$2:$E$15921,2,FALSE)</f>
        <v>CENCO_MZ - Cencosud SA - Mendoza</v>
      </c>
    </row>
    <row r="288" spans="1:19" x14ac:dyDescent="0.3">
      <c r="A288">
        <v>29148</v>
      </c>
      <c r="B288" t="s">
        <v>28</v>
      </c>
      <c r="C288" t="s">
        <v>15</v>
      </c>
      <c r="D288" t="s">
        <v>16</v>
      </c>
      <c r="E288" t="s">
        <v>143</v>
      </c>
      <c r="F288" s="6" t="str">
        <f t="shared" si="4"/>
        <v>7MC</v>
      </c>
      <c r="G288" s="11">
        <v>46064</v>
      </c>
      <c r="H288" s="12">
        <v>0.4680555555555555</v>
      </c>
      <c r="I288" s="11">
        <v>46064</v>
      </c>
      <c r="J288" s="1">
        <v>46064</v>
      </c>
      <c r="K288" s="1">
        <v>46064</v>
      </c>
      <c r="L288" t="s">
        <v>41</v>
      </c>
      <c r="M288">
        <v>1318</v>
      </c>
      <c r="N288" t="s">
        <v>17</v>
      </c>
      <c r="O288" t="s">
        <v>24</v>
      </c>
      <c r="P288">
        <v>25162</v>
      </c>
      <c r="Q288" t="s">
        <v>19</v>
      </c>
      <c r="R288">
        <v>36735</v>
      </c>
      <c r="S288" t="str">
        <f>VLOOKUP(L288&amp;TEXT(I288,"mmmm")&amp;YEAR(I288),'[1]Detalle C-Fecha'!$D$2:$E$15921,2,FALSE)</f>
        <v>CENCO_MZ - Cencosud SA - Mendoza</v>
      </c>
    </row>
    <row r="289" spans="1:19" x14ac:dyDescent="0.3">
      <c r="A289">
        <v>29149</v>
      </c>
      <c r="B289" t="s">
        <v>28</v>
      </c>
      <c r="C289" t="s">
        <v>15</v>
      </c>
      <c r="D289" t="s">
        <v>16</v>
      </c>
      <c r="E289" t="s">
        <v>144</v>
      </c>
      <c r="F289" s="6" t="str">
        <f t="shared" si="4"/>
        <v>8MC</v>
      </c>
      <c r="G289" s="11">
        <v>46064</v>
      </c>
      <c r="H289" s="12">
        <v>0.4680555555555555</v>
      </c>
      <c r="I289" s="11">
        <v>46064</v>
      </c>
      <c r="J289" s="1">
        <v>46064</v>
      </c>
      <c r="K289" s="1">
        <v>46064</v>
      </c>
      <c r="L289" t="s">
        <v>41</v>
      </c>
      <c r="M289">
        <v>1318</v>
      </c>
      <c r="N289" t="s">
        <v>17</v>
      </c>
      <c r="O289" t="s">
        <v>24</v>
      </c>
      <c r="P289">
        <v>25163</v>
      </c>
      <c r="Q289" t="s">
        <v>19</v>
      </c>
      <c r="R289">
        <v>36724</v>
      </c>
      <c r="S289" t="str">
        <f>VLOOKUP(L289&amp;TEXT(I289,"mmmm")&amp;YEAR(I289),'[1]Detalle C-Fecha'!$D$2:$E$15921,2,FALSE)</f>
        <v>CENCO_MZ - Cencosud SA - Mendoza</v>
      </c>
    </row>
    <row r="290" spans="1:19" x14ac:dyDescent="0.3">
      <c r="A290">
        <v>29149</v>
      </c>
      <c r="B290" t="s">
        <v>28</v>
      </c>
      <c r="C290" t="s">
        <v>15</v>
      </c>
      <c r="D290" t="s">
        <v>16</v>
      </c>
      <c r="E290" t="s">
        <v>144</v>
      </c>
      <c r="F290" s="6" t="str">
        <f t="shared" si="4"/>
        <v>8MC</v>
      </c>
      <c r="G290" s="11">
        <v>46064</v>
      </c>
      <c r="H290" s="12">
        <v>0.4680555555555555</v>
      </c>
      <c r="I290" s="11">
        <v>46064</v>
      </c>
      <c r="J290" s="1">
        <v>46064</v>
      </c>
      <c r="K290" s="1">
        <v>46064</v>
      </c>
      <c r="L290" t="s">
        <v>41</v>
      </c>
      <c r="M290">
        <v>1318</v>
      </c>
      <c r="N290" t="s">
        <v>17</v>
      </c>
      <c r="O290" t="s">
        <v>24</v>
      </c>
      <c r="P290">
        <v>25163</v>
      </c>
      <c r="Q290" t="s">
        <v>19</v>
      </c>
      <c r="R290">
        <v>36737</v>
      </c>
      <c r="S290" t="str">
        <f>VLOOKUP(L290&amp;TEXT(I290,"mmmm")&amp;YEAR(I290),'[1]Detalle C-Fecha'!$D$2:$E$15921,2,FALSE)</f>
        <v>CENCO_MZ - Cencosud SA - Mendoza</v>
      </c>
    </row>
    <row r="291" spans="1:19" x14ac:dyDescent="0.3">
      <c r="A291">
        <v>29211</v>
      </c>
      <c r="B291" t="s">
        <v>28</v>
      </c>
      <c r="C291" t="s">
        <v>15</v>
      </c>
      <c r="D291" t="s">
        <v>16</v>
      </c>
      <c r="E291" t="s">
        <v>113</v>
      </c>
      <c r="F291" s="6" t="str">
        <f t="shared" si="4"/>
        <v>2MC</v>
      </c>
      <c r="G291" s="11">
        <v>46065</v>
      </c>
      <c r="H291" s="12">
        <v>0.80555555555555547</v>
      </c>
      <c r="I291" s="11">
        <v>46065</v>
      </c>
      <c r="J291" s="1">
        <v>46065</v>
      </c>
      <c r="K291" s="1">
        <v>46067</v>
      </c>
      <c r="L291" t="s">
        <v>90</v>
      </c>
      <c r="M291" t="s">
        <v>128</v>
      </c>
      <c r="N291" t="s">
        <v>21</v>
      </c>
      <c r="O291" t="s">
        <v>18</v>
      </c>
      <c r="P291">
        <v>25216</v>
      </c>
      <c r="Q291" t="s">
        <v>19</v>
      </c>
      <c r="R291">
        <v>36202</v>
      </c>
      <c r="S291" t="str">
        <f>VLOOKUP(L291&amp;TEXT(I291,"mmmm")&amp;YEAR(I291),'[1]Detalle C-Fecha'!$D$2:$E$15921,2,FALSE)</f>
        <v>CMQ_TTE - QUILMES TTE</v>
      </c>
    </row>
    <row r="292" spans="1:19" x14ac:dyDescent="0.3">
      <c r="A292">
        <v>29211</v>
      </c>
      <c r="B292" t="s">
        <v>28</v>
      </c>
      <c r="C292" t="s">
        <v>15</v>
      </c>
      <c r="D292" t="s">
        <v>16</v>
      </c>
      <c r="E292" t="s">
        <v>113</v>
      </c>
      <c r="F292" s="6" t="str">
        <f t="shared" si="4"/>
        <v>2MC</v>
      </c>
      <c r="G292" s="11">
        <v>46065</v>
      </c>
      <c r="H292" s="12">
        <v>0.80555555555555547</v>
      </c>
      <c r="I292" s="11">
        <v>46065</v>
      </c>
      <c r="J292" s="1">
        <v>46065</v>
      </c>
      <c r="K292" s="1">
        <v>46067</v>
      </c>
      <c r="L292" t="s">
        <v>90</v>
      </c>
      <c r="M292" t="s">
        <v>128</v>
      </c>
      <c r="N292" t="s">
        <v>21</v>
      </c>
      <c r="O292" t="s">
        <v>18</v>
      </c>
      <c r="P292">
        <v>25216</v>
      </c>
      <c r="Q292" t="s">
        <v>19</v>
      </c>
      <c r="R292">
        <v>36369</v>
      </c>
      <c r="S292" t="str">
        <f>VLOOKUP(L292&amp;TEXT(I292,"mmmm")&amp;YEAR(I292),'[1]Detalle C-Fecha'!$D$2:$E$15921,2,FALSE)</f>
        <v>CMQ_TTE - QUILMES TTE</v>
      </c>
    </row>
    <row r="293" spans="1:19" x14ac:dyDescent="0.3">
      <c r="A293">
        <v>29212</v>
      </c>
      <c r="B293" t="s">
        <v>28</v>
      </c>
      <c r="C293" t="s">
        <v>15</v>
      </c>
      <c r="D293" t="s">
        <v>16</v>
      </c>
      <c r="E293" t="s">
        <v>122</v>
      </c>
      <c r="F293" s="6" t="str">
        <f t="shared" si="4"/>
        <v>3MC</v>
      </c>
      <c r="G293" s="11">
        <v>46065</v>
      </c>
      <c r="H293" s="12">
        <v>0.80555555555555547</v>
      </c>
      <c r="I293" s="11">
        <v>46065</v>
      </c>
      <c r="J293" s="1">
        <v>46065</v>
      </c>
      <c r="K293" s="1">
        <v>46067</v>
      </c>
      <c r="L293" t="s">
        <v>90</v>
      </c>
      <c r="M293" t="s">
        <v>128</v>
      </c>
      <c r="N293" t="s">
        <v>21</v>
      </c>
      <c r="O293" t="s">
        <v>18</v>
      </c>
      <c r="P293">
        <v>25217</v>
      </c>
      <c r="Q293" t="s">
        <v>19</v>
      </c>
      <c r="R293">
        <v>36203</v>
      </c>
      <c r="S293" t="str">
        <f>VLOOKUP(L293&amp;TEXT(I293,"mmmm")&amp;YEAR(I293),'[1]Detalle C-Fecha'!$D$2:$E$15921,2,FALSE)</f>
        <v>CMQ_TTE - QUILMES TTE</v>
      </c>
    </row>
    <row r="294" spans="1:19" x14ac:dyDescent="0.3">
      <c r="A294">
        <v>29212</v>
      </c>
      <c r="B294" t="s">
        <v>28</v>
      </c>
      <c r="C294" t="s">
        <v>15</v>
      </c>
      <c r="D294" t="s">
        <v>16</v>
      </c>
      <c r="E294" t="s">
        <v>122</v>
      </c>
      <c r="F294" s="6" t="str">
        <f t="shared" si="4"/>
        <v>3MC</v>
      </c>
      <c r="G294" s="11">
        <v>46065</v>
      </c>
      <c r="H294" s="12">
        <v>0.80555555555555547</v>
      </c>
      <c r="I294" s="11">
        <v>46065</v>
      </c>
      <c r="J294" s="1">
        <v>46065</v>
      </c>
      <c r="K294" s="1">
        <v>46067</v>
      </c>
      <c r="L294" t="s">
        <v>90</v>
      </c>
      <c r="M294" t="s">
        <v>128</v>
      </c>
      <c r="N294" t="s">
        <v>21</v>
      </c>
      <c r="O294" t="s">
        <v>18</v>
      </c>
      <c r="P294">
        <v>25217</v>
      </c>
      <c r="Q294" t="s">
        <v>19</v>
      </c>
      <c r="R294">
        <v>36369</v>
      </c>
      <c r="S294" t="str">
        <f>VLOOKUP(L294&amp;TEXT(I294,"mmmm")&amp;YEAR(I294),'[1]Detalle C-Fecha'!$D$2:$E$15921,2,FALSE)</f>
        <v>CMQ_TTE - QUILMES TTE</v>
      </c>
    </row>
    <row r="295" spans="1:19" x14ac:dyDescent="0.3">
      <c r="A295">
        <v>29213</v>
      </c>
      <c r="B295" t="s">
        <v>28</v>
      </c>
      <c r="C295" t="s">
        <v>15</v>
      </c>
      <c r="D295" t="s">
        <v>16</v>
      </c>
      <c r="E295" t="s">
        <v>114</v>
      </c>
      <c r="F295" s="6" t="str">
        <f t="shared" si="4"/>
        <v>6MC</v>
      </c>
      <c r="G295" s="11">
        <v>46065</v>
      </c>
      <c r="H295" s="12">
        <v>0.80555555555555547</v>
      </c>
      <c r="I295" s="11">
        <v>46065</v>
      </c>
      <c r="J295" s="1">
        <v>46065</v>
      </c>
      <c r="K295" s="1">
        <v>46067</v>
      </c>
      <c r="L295" t="s">
        <v>90</v>
      </c>
      <c r="M295" t="s">
        <v>128</v>
      </c>
      <c r="N295" t="s">
        <v>21</v>
      </c>
      <c r="O295" t="s">
        <v>18</v>
      </c>
      <c r="P295">
        <v>25218</v>
      </c>
      <c r="Q295" t="s">
        <v>19</v>
      </c>
      <c r="R295">
        <v>36204</v>
      </c>
      <c r="S295" t="str">
        <f>VLOOKUP(L295&amp;TEXT(I295,"mmmm")&amp;YEAR(I295),'[1]Detalle C-Fecha'!$D$2:$E$15921,2,FALSE)</f>
        <v>CMQ_TTE - QUILMES TTE</v>
      </c>
    </row>
    <row r="296" spans="1:19" x14ac:dyDescent="0.3">
      <c r="A296">
        <v>29213</v>
      </c>
      <c r="B296" t="s">
        <v>28</v>
      </c>
      <c r="C296" t="s">
        <v>15</v>
      </c>
      <c r="D296" t="s">
        <v>16</v>
      </c>
      <c r="E296" t="s">
        <v>114</v>
      </c>
      <c r="F296" s="6" t="str">
        <f t="shared" si="4"/>
        <v>6MC</v>
      </c>
      <c r="G296" s="11">
        <v>46065</v>
      </c>
      <c r="H296" s="12">
        <v>0.80555555555555547</v>
      </c>
      <c r="I296" s="11">
        <v>46065</v>
      </c>
      <c r="J296" s="1">
        <v>46065</v>
      </c>
      <c r="K296" s="1">
        <v>46067</v>
      </c>
      <c r="L296" t="s">
        <v>90</v>
      </c>
      <c r="M296" t="s">
        <v>128</v>
      </c>
      <c r="N296" t="s">
        <v>21</v>
      </c>
      <c r="O296" t="s">
        <v>18</v>
      </c>
      <c r="P296">
        <v>25218</v>
      </c>
      <c r="Q296" t="s">
        <v>19</v>
      </c>
      <c r="R296">
        <v>36369</v>
      </c>
      <c r="S296" t="str">
        <f>VLOOKUP(L296&amp;TEXT(I296,"mmmm")&amp;YEAR(I296),'[1]Detalle C-Fecha'!$D$2:$E$15921,2,FALSE)</f>
        <v>CMQ_TTE - QUILMES TTE</v>
      </c>
    </row>
    <row r="297" spans="1:19" x14ac:dyDescent="0.3">
      <c r="A297">
        <v>29216</v>
      </c>
      <c r="B297" t="s">
        <v>28</v>
      </c>
      <c r="C297" t="s">
        <v>15</v>
      </c>
      <c r="D297" t="s">
        <v>16</v>
      </c>
      <c r="E297" t="s">
        <v>51</v>
      </c>
      <c r="F297" s="6" t="str">
        <f t="shared" si="4"/>
        <v>2MC</v>
      </c>
      <c r="G297" s="11">
        <v>46065</v>
      </c>
      <c r="H297" s="12">
        <v>0.80625000000000002</v>
      </c>
      <c r="I297" s="11">
        <v>46065</v>
      </c>
      <c r="J297" s="1">
        <v>46065</v>
      </c>
      <c r="K297" s="1">
        <v>46067</v>
      </c>
      <c r="L297" t="s">
        <v>66</v>
      </c>
      <c r="M297" t="s">
        <v>130</v>
      </c>
      <c r="N297" t="s">
        <v>21</v>
      </c>
      <c r="O297" t="s">
        <v>18</v>
      </c>
      <c r="P297">
        <v>25221</v>
      </c>
      <c r="Q297" t="s">
        <v>19</v>
      </c>
      <c r="R297">
        <v>36207</v>
      </c>
      <c r="S297" t="str">
        <f>VLOOKUP(L297&amp;TEXT(I297,"mmmm")&amp;YEAR(I297),'[1]Detalle C-Fecha'!$D$2:$E$15921,2,FALSE)</f>
        <v>CMQ_TTE - QUILMES TTE</v>
      </c>
    </row>
    <row r="298" spans="1:19" x14ac:dyDescent="0.3">
      <c r="A298">
        <v>29216</v>
      </c>
      <c r="B298" t="s">
        <v>28</v>
      </c>
      <c r="C298" t="s">
        <v>15</v>
      </c>
      <c r="D298" t="s">
        <v>16</v>
      </c>
      <c r="E298" t="s">
        <v>51</v>
      </c>
      <c r="F298" s="6" t="str">
        <f t="shared" si="4"/>
        <v>2MC</v>
      </c>
      <c r="G298" s="11">
        <v>46065</v>
      </c>
      <c r="H298" s="12">
        <v>0.80625000000000002</v>
      </c>
      <c r="I298" s="11">
        <v>46065</v>
      </c>
      <c r="J298" s="1">
        <v>46065</v>
      </c>
      <c r="K298" s="1">
        <v>46067</v>
      </c>
      <c r="L298" t="s">
        <v>66</v>
      </c>
      <c r="M298" t="s">
        <v>130</v>
      </c>
      <c r="N298" t="s">
        <v>21</v>
      </c>
      <c r="O298" t="s">
        <v>18</v>
      </c>
      <c r="P298">
        <v>25221</v>
      </c>
      <c r="Q298" t="s">
        <v>19</v>
      </c>
      <c r="R298">
        <v>36369</v>
      </c>
      <c r="S298" t="str">
        <f>VLOOKUP(L298&amp;TEXT(I298,"mmmm")&amp;YEAR(I298),'[1]Detalle C-Fecha'!$D$2:$E$15921,2,FALSE)</f>
        <v>CMQ_TTE - QUILMES TTE</v>
      </c>
    </row>
    <row r="299" spans="1:19" x14ac:dyDescent="0.3">
      <c r="A299">
        <v>29217</v>
      </c>
      <c r="B299" t="s">
        <v>28</v>
      </c>
      <c r="C299" t="s">
        <v>15</v>
      </c>
      <c r="D299" t="s">
        <v>16</v>
      </c>
      <c r="E299" t="s">
        <v>53</v>
      </c>
      <c r="F299" s="6" t="str">
        <f t="shared" si="4"/>
        <v>3MC</v>
      </c>
      <c r="G299" s="11">
        <v>46065</v>
      </c>
      <c r="H299" s="12">
        <v>0.80625000000000002</v>
      </c>
      <c r="I299" s="11">
        <v>46065</v>
      </c>
      <c r="J299" s="1">
        <v>46065</v>
      </c>
      <c r="K299" s="1">
        <v>46067</v>
      </c>
      <c r="L299" t="s">
        <v>66</v>
      </c>
      <c r="M299" t="s">
        <v>130</v>
      </c>
      <c r="N299" t="s">
        <v>21</v>
      </c>
      <c r="O299" t="s">
        <v>18</v>
      </c>
      <c r="P299">
        <v>25222</v>
      </c>
      <c r="Q299" t="s">
        <v>19</v>
      </c>
      <c r="R299">
        <v>36208</v>
      </c>
      <c r="S299" t="str">
        <f>VLOOKUP(L299&amp;TEXT(I299,"mmmm")&amp;YEAR(I299),'[1]Detalle C-Fecha'!$D$2:$E$15921,2,FALSE)</f>
        <v>CMQ_TTE - QUILMES TTE</v>
      </c>
    </row>
    <row r="300" spans="1:19" x14ac:dyDescent="0.3">
      <c r="A300">
        <v>29217</v>
      </c>
      <c r="B300" t="s">
        <v>28</v>
      </c>
      <c r="C300" t="s">
        <v>15</v>
      </c>
      <c r="D300" t="s">
        <v>16</v>
      </c>
      <c r="E300" t="s">
        <v>53</v>
      </c>
      <c r="F300" s="6" t="str">
        <f t="shared" si="4"/>
        <v>3MC</v>
      </c>
      <c r="G300" s="11">
        <v>46065</v>
      </c>
      <c r="H300" s="12">
        <v>0.80625000000000002</v>
      </c>
      <c r="I300" s="11">
        <v>46065</v>
      </c>
      <c r="J300" s="1">
        <v>46065</v>
      </c>
      <c r="K300" s="1">
        <v>46067</v>
      </c>
      <c r="L300" t="s">
        <v>66</v>
      </c>
      <c r="M300" t="s">
        <v>130</v>
      </c>
      <c r="N300" t="s">
        <v>21</v>
      </c>
      <c r="O300" t="s">
        <v>18</v>
      </c>
      <c r="P300">
        <v>25222</v>
      </c>
      <c r="Q300" t="s">
        <v>19</v>
      </c>
      <c r="R300">
        <v>36369</v>
      </c>
      <c r="S300" t="str">
        <f>VLOOKUP(L300&amp;TEXT(I300,"mmmm")&amp;YEAR(I300),'[1]Detalle C-Fecha'!$D$2:$E$15921,2,FALSE)</f>
        <v>CMQ_TTE - QUILMES TTE</v>
      </c>
    </row>
    <row r="301" spans="1:19" x14ac:dyDescent="0.3">
      <c r="A301">
        <v>29218</v>
      </c>
      <c r="B301" t="s">
        <v>28</v>
      </c>
      <c r="C301" t="s">
        <v>15</v>
      </c>
      <c r="D301" t="s">
        <v>16</v>
      </c>
      <c r="E301" t="s">
        <v>52</v>
      </c>
      <c r="F301" s="6" t="str">
        <f t="shared" si="4"/>
        <v>6MC</v>
      </c>
      <c r="G301" s="11">
        <v>46065</v>
      </c>
      <c r="H301" s="12">
        <v>0.80625000000000002</v>
      </c>
      <c r="I301" s="11">
        <v>46065</v>
      </c>
      <c r="J301" s="1">
        <v>46065</v>
      </c>
      <c r="K301" s="1">
        <v>46067</v>
      </c>
      <c r="L301" t="s">
        <v>66</v>
      </c>
      <c r="M301" t="s">
        <v>130</v>
      </c>
      <c r="N301" t="s">
        <v>21</v>
      </c>
      <c r="O301" t="s">
        <v>18</v>
      </c>
      <c r="P301">
        <v>25223</v>
      </c>
      <c r="Q301" t="s">
        <v>19</v>
      </c>
      <c r="R301">
        <v>36209</v>
      </c>
      <c r="S301" t="str">
        <f>VLOOKUP(L301&amp;TEXT(I301,"mmmm")&amp;YEAR(I301),'[1]Detalle C-Fecha'!$D$2:$E$15921,2,FALSE)</f>
        <v>CMQ_TTE - QUILMES TTE</v>
      </c>
    </row>
    <row r="302" spans="1:19" x14ac:dyDescent="0.3">
      <c r="A302">
        <v>29218</v>
      </c>
      <c r="B302" t="s">
        <v>28</v>
      </c>
      <c r="C302" t="s">
        <v>15</v>
      </c>
      <c r="D302" t="s">
        <v>16</v>
      </c>
      <c r="E302" t="s">
        <v>52</v>
      </c>
      <c r="F302" s="6" t="str">
        <f t="shared" si="4"/>
        <v>6MC</v>
      </c>
      <c r="G302" s="11">
        <v>46065</v>
      </c>
      <c r="H302" s="12">
        <v>0.80625000000000002</v>
      </c>
      <c r="I302" s="11">
        <v>46065</v>
      </c>
      <c r="J302" s="1">
        <v>46065</v>
      </c>
      <c r="K302" s="1">
        <v>46067</v>
      </c>
      <c r="L302" t="s">
        <v>66</v>
      </c>
      <c r="M302" t="s">
        <v>130</v>
      </c>
      <c r="N302" t="s">
        <v>21</v>
      </c>
      <c r="O302" t="s">
        <v>18</v>
      </c>
      <c r="P302">
        <v>25223</v>
      </c>
      <c r="Q302" t="s">
        <v>19</v>
      </c>
      <c r="R302">
        <v>36369</v>
      </c>
      <c r="S302" t="str">
        <f>VLOOKUP(L302&amp;TEXT(I302,"mmmm")&amp;YEAR(I302),'[1]Detalle C-Fecha'!$D$2:$E$15921,2,FALSE)</f>
        <v>CMQ_TTE - QUILMES TTE</v>
      </c>
    </row>
    <row r="303" spans="1:19" x14ac:dyDescent="0.3">
      <c r="A303">
        <v>29236</v>
      </c>
      <c r="B303" t="s">
        <v>28</v>
      </c>
      <c r="C303" t="s">
        <v>15</v>
      </c>
      <c r="D303" t="s">
        <v>16</v>
      </c>
      <c r="E303" t="s">
        <v>108</v>
      </c>
      <c r="F303" s="6" t="str">
        <f t="shared" si="4"/>
        <v>2MU</v>
      </c>
      <c r="G303" s="11">
        <v>46066</v>
      </c>
      <c r="H303" s="12">
        <v>0.4597222222222222</v>
      </c>
      <c r="I303" s="11">
        <v>46066</v>
      </c>
      <c r="J303" s="1">
        <v>46066</v>
      </c>
      <c r="K303" s="1">
        <v>46067</v>
      </c>
      <c r="L303" t="s">
        <v>94</v>
      </c>
      <c r="M303" t="s">
        <v>95</v>
      </c>
      <c r="N303" t="s">
        <v>21</v>
      </c>
      <c r="O303" t="s">
        <v>18</v>
      </c>
      <c r="P303">
        <v>25246</v>
      </c>
      <c r="Q303" t="s">
        <v>19</v>
      </c>
      <c r="R303">
        <v>36256</v>
      </c>
      <c r="S303" t="str">
        <f>VLOOKUP(L303&amp;TEXT(I303,"mmmm")&amp;YEAR(I303),'[1]Detalle C-Fecha'!$D$2:$E$15921,2,FALSE)</f>
        <v>LlaveLay</v>
      </c>
    </row>
    <row r="304" spans="1:19" x14ac:dyDescent="0.3">
      <c r="A304">
        <v>29236</v>
      </c>
      <c r="B304" t="s">
        <v>28</v>
      </c>
      <c r="C304" t="s">
        <v>15</v>
      </c>
      <c r="D304" t="s">
        <v>16</v>
      </c>
      <c r="E304" t="s">
        <v>108</v>
      </c>
      <c r="F304" s="6" t="str">
        <f t="shared" si="4"/>
        <v>2MU</v>
      </c>
      <c r="G304" s="11">
        <v>46066</v>
      </c>
      <c r="H304" s="12">
        <v>0.4597222222222222</v>
      </c>
      <c r="I304" s="11">
        <v>46066</v>
      </c>
      <c r="J304" s="1">
        <v>46066</v>
      </c>
      <c r="K304" s="1">
        <v>46067</v>
      </c>
      <c r="L304" t="s">
        <v>94</v>
      </c>
      <c r="M304" t="s">
        <v>95</v>
      </c>
      <c r="N304" t="s">
        <v>21</v>
      </c>
      <c r="O304" t="s">
        <v>18</v>
      </c>
      <c r="P304">
        <v>25246</v>
      </c>
      <c r="Q304" t="s">
        <v>19</v>
      </c>
      <c r="R304">
        <v>36369</v>
      </c>
      <c r="S304" t="str">
        <f>VLOOKUP(L304&amp;TEXT(I304,"mmmm")&amp;YEAR(I304),'[1]Detalle C-Fecha'!$D$2:$E$15921,2,FALSE)</f>
        <v>LlaveLay</v>
      </c>
    </row>
    <row r="305" spans="1:19" x14ac:dyDescent="0.3">
      <c r="A305">
        <v>29237</v>
      </c>
      <c r="B305" t="s">
        <v>28</v>
      </c>
      <c r="C305" t="s">
        <v>15</v>
      </c>
      <c r="D305" t="s">
        <v>16</v>
      </c>
      <c r="E305" t="s">
        <v>107</v>
      </c>
      <c r="F305" s="6" t="str">
        <f t="shared" si="4"/>
        <v>4MU</v>
      </c>
      <c r="G305" s="11">
        <v>46066</v>
      </c>
      <c r="H305" s="12">
        <v>0.4597222222222222</v>
      </c>
      <c r="I305" s="11">
        <v>46066</v>
      </c>
      <c r="J305" s="1">
        <v>46066</v>
      </c>
      <c r="K305" s="1">
        <v>46067</v>
      </c>
      <c r="L305" t="s">
        <v>94</v>
      </c>
      <c r="M305" t="s">
        <v>95</v>
      </c>
      <c r="N305" t="s">
        <v>21</v>
      </c>
      <c r="O305" t="s">
        <v>18</v>
      </c>
      <c r="P305">
        <v>25247</v>
      </c>
      <c r="Q305" t="s">
        <v>19</v>
      </c>
      <c r="R305">
        <v>36257</v>
      </c>
      <c r="S305" t="str">
        <f>VLOOKUP(L305&amp;TEXT(I305,"mmmm")&amp;YEAR(I305),'[1]Detalle C-Fecha'!$D$2:$E$15921,2,FALSE)</f>
        <v>LlaveLay</v>
      </c>
    </row>
    <row r="306" spans="1:19" x14ac:dyDescent="0.3">
      <c r="A306">
        <v>29237</v>
      </c>
      <c r="B306" t="s">
        <v>28</v>
      </c>
      <c r="C306" t="s">
        <v>15</v>
      </c>
      <c r="D306" t="s">
        <v>16</v>
      </c>
      <c r="E306" t="s">
        <v>107</v>
      </c>
      <c r="F306" s="6" t="str">
        <f t="shared" si="4"/>
        <v>4MU</v>
      </c>
      <c r="G306" s="11">
        <v>46066</v>
      </c>
      <c r="H306" s="12">
        <v>0.4597222222222222</v>
      </c>
      <c r="I306" s="11">
        <v>46066</v>
      </c>
      <c r="J306" s="1">
        <v>46066</v>
      </c>
      <c r="K306" s="1">
        <v>46067</v>
      </c>
      <c r="L306" t="s">
        <v>94</v>
      </c>
      <c r="M306" t="s">
        <v>95</v>
      </c>
      <c r="N306" t="s">
        <v>21</v>
      </c>
      <c r="O306" t="s">
        <v>18</v>
      </c>
      <c r="P306">
        <v>25247</v>
      </c>
      <c r="Q306" t="s">
        <v>19</v>
      </c>
      <c r="R306">
        <v>36369</v>
      </c>
      <c r="S306" t="str">
        <f>VLOOKUP(L306&amp;TEXT(I306,"mmmm")&amp;YEAR(I306),'[1]Detalle C-Fecha'!$D$2:$E$15921,2,FALSE)</f>
        <v>LlaveLay</v>
      </c>
    </row>
    <row r="307" spans="1:19" x14ac:dyDescent="0.3">
      <c r="A307">
        <v>29238</v>
      </c>
      <c r="B307" t="s">
        <v>28</v>
      </c>
      <c r="C307" t="s">
        <v>15</v>
      </c>
      <c r="D307" t="s">
        <v>16</v>
      </c>
      <c r="E307" t="s">
        <v>110</v>
      </c>
      <c r="F307" s="6" t="str">
        <f t="shared" si="4"/>
        <v>5MU</v>
      </c>
      <c r="G307" s="11">
        <v>46066</v>
      </c>
      <c r="H307" s="12">
        <v>0.4597222222222222</v>
      </c>
      <c r="I307" s="11">
        <v>46066</v>
      </c>
      <c r="J307" s="1">
        <v>46066</v>
      </c>
      <c r="K307" s="1">
        <v>46067</v>
      </c>
      <c r="L307" t="s">
        <v>94</v>
      </c>
      <c r="M307" t="s">
        <v>95</v>
      </c>
      <c r="N307" t="s">
        <v>21</v>
      </c>
      <c r="O307" t="s">
        <v>18</v>
      </c>
      <c r="P307">
        <v>25248</v>
      </c>
      <c r="Q307" t="s">
        <v>19</v>
      </c>
      <c r="R307">
        <v>36258</v>
      </c>
      <c r="S307" t="str">
        <f>VLOOKUP(L307&amp;TEXT(I307,"mmmm")&amp;YEAR(I307),'[1]Detalle C-Fecha'!$D$2:$E$15921,2,FALSE)</f>
        <v>LlaveLay</v>
      </c>
    </row>
    <row r="308" spans="1:19" x14ac:dyDescent="0.3">
      <c r="A308">
        <v>29238</v>
      </c>
      <c r="B308" t="s">
        <v>28</v>
      </c>
      <c r="C308" t="s">
        <v>15</v>
      </c>
      <c r="D308" t="s">
        <v>16</v>
      </c>
      <c r="E308" t="s">
        <v>110</v>
      </c>
      <c r="F308" s="6" t="str">
        <f t="shared" si="4"/>
        <v>5MU</v>
      </c>
      <c r="G308" s="11">
        <v>46066</v>
      </c>
      <c r="H308" s="12">
        <v>0.4597222222222222</v>
      </c>
      <c r="I308" s="11">
        <v>46066</v>
      </c>
      <c r="J308" s="1">
        <v>46066</v>
      </c>
      <c r="K308" s="1">
        <v>46067</v>
      </c>
      <c r="L308" t="s">
        <v>94</v>
      </c>
      <c r="M308" t="s">
        <v>95</v>
      </c>
      <c r="N308" t="s">
        <v>21</v>
      </c>
      <c r="O308" t="s">
        <v>18</v>
      </c>
      <c r="P308">
        <v>25248</v>
      </c>
      <c r="Q308" t="s">
        <v>19</v>
      </c>
      <c r="R308">
        <v>36369</v>
      </c>
      <c r="S308" t="str">
        <f>VLOOKUP(L308&amp;TEXT(I308,"mmmm")&amp;YEAR(I308),'[1]Detalle C-Fecha'!$D$2:$E$15921,2,FALSE)</f>
        <v>LlaveLay</v>
      </c>
    </row>
    <row r="309" spans="1:19" x14ac:dyDescent="0.3">
      <c r="A309">
        <v>29244</v>
      </c>
      <c r="B309" t="s">
        <v>28</v>
      </c>
      <c r="C309" t="s">
        <v>15</v>
      </c>
      <c r="D309" t="s">
        <v>16</v>
      </c>
      <c r="E309" t="s">
        <v>51</v>
      </c>
      <c r="F309" s="6" t="str">
        <f t="shared" si="4"/>
        <v>2MC</v>
      </c>
      <c r="G309" s="11">
        <v>46066</v>
      </c>
      <c r="H309" s="12">
        <v>0.64583333333333337</v>
      </c>
      <c r="I309" s="11">
        <v>46066</v>
      </c>
      <c r="J309" s="1">
        <v>46066</v>
      </c>
      <c r="K309" s="1">
        <v>46067</v>
      </c>
      <c r="L309" t="s">
        <v>100</v>
      </c>
      <c r="M309">
        <v>1318</v>
      </c>
      <c r="N309" t="s">
        <v>21</v>
      </c>
      <c r="O309" t="s">
        <v>24</v>
      </c>
      <c r="P309">
        <v>25255</v>
      </c>
      <c r="Q309" t="s">
        <v>19</v>
      </c>
      <c r="R309">
        <v>36261</v>
      </c>
      <c r="S309" t="str">
        <f>VLOOKUP(L309&amp;TEXT(I309,"mmmm")&amp;YEAR(I309),'[1]Detalle C-Fecha'!$D$2:$E$15921,2,FALSE)</f>
        <v>CCUDyAZA</v>
      </c>
    </row>
    <row r="310" spans="1:19" x14ac:dyDescent="0.3">
      <c r="A310">
        <v>29244</v>
      </c>
      <c r="B310" t="s">
        <v>28</v>
      </c>
      <c r="C310" t="s">
        <v>15</v>
      </c>
      <c r="D310" t="s">
        <v>16</v>
      </c>
      <c r="E310" t="s">
        <v>51</v>
      </c>
      <c r="F310" s="6" t="str">
        <f t="shared" si="4"/>
        <v>2MC</v>
      </c>
      <c r="G310" s="11">
        <v>46066</v>
      </c>
      <c r="H310" s="12">
        <v>0.64583333333333337</v>
      </c>
      <c r="I310" s="11">
        <v>46066</v>
      </c>
      <c r="J310" s="1">
        <v>46066</v>
      </c>
      <c r="K310" s="1">
        <v>46067</v>
      </c>
      <c r="L310" t="s">
        <v>100</v>
      </c>
      <c r="M310">
        <v>1318</v>
      </c>
      <c r="N310" t="s">
        <v>21</v>
      </c>
      <c r="O310" t="s">
        <v>24</v>
      </c>
      <c r="P310">
        <v>25255</v>
      </c>
      <c r="Q310" t="s">
        <v>19</v>
      </c>
      <c r="R310">
        <v>36370</v>
      </c>
      <c r="S310" t="str">
        <f>VLOOKUP(L310&amp;TEXT(I310,"mmmm")&amp;YEAR(I310),'[1]Detalle C-Fecha'!$D$2:$E$15921,2,FALSE)</f>
        <v>CCUDyAZA</v>
      </c>
    </row>
    <row r="311" spans="1:19" x14ac:dyDescent="0.3">
      <c r="A311">
        <v>29245</v>
      </c>
      <c r="B311" t="s">
        <v>28</v>
      </c>
      <c r="C311" t="s">
        <v>15</v>
      </c>
      <c r="D311" t="s">
        <v>16</v>
      </c>
      <c r="E311" t="s">
        <v>53</v>
      </c>
      <c r="F311" s="6" t="str">
        <f t="shared" si="4"/>
        <v>3MC</v>
      </c>
      <c r="G311" s="11">
        <v>46066</v>
      </c>
      <c r="H311" s="12">
        <v>0.64583333333333337</v>
      </c>
      <c r="I311" s="11">
        <v>46066</v>
      </c>
      <c r="J311" s="1">
        <v>46066</v>
      </c>
      <c r="K311" s="1">
        <v>46067</v>
      </c>
      <c r="L311" t="s">
        <v>100</v>
      </c>
      <c r="M311">
        <v>1318</v>
      </c>
      <c r="N311" t="s">
        <v>21</v>
      </c>
      <c r="O311" t="s">
        <v>24</v>
      </c>
      <c r="P311">
        <v>25256</v>
      </c>
      <c r="Q311" t="s">
        <v>19</v>
      </c>
      <c r="R311">
        <v>36262</v>
      </c>
      <c r="S311" t="str">
        <f>VLOOKUP(L311&amp;TEXT(I311,"mmmm")&amp;YEAR(I311),'[1]Detalle C-Fecha'!$D$2:$E$15921,2,FALSE)</f>
        <v>CCUDyAZA</v>
      </c>
    </row>
    <row r="312" spans="1:19" x14ac:dyDescent="0.3">
      <c r="A312">
        <v>29245</v>
      </c>
      <c r="B312" t="s">
        <v>28</v>
      </c>
      <c r="C312" t="s">
        <v>15</v>
      </c>
      <c r="D312" t="s">
        <v>16</v>
      </c>
      <c r="E312" t="s">
        <v>53</v>
      </c>
      <c r="F312" s="6" t="str">
        <f t="shared" si="4"/>
        <v>3MC</v>
      </c>
      <c r="G312" s="11">
        <v>46066</v>
      </c>
      <c r="H312" s="12">
        <v>0.64583333333333337</v>
      </c>
      <c r="I312" s="11">
        <v>46066</v>
      </c>
      <c r="J312" s="1">
        <v>46066</v>
      </c>
      <c r="K312" s="1">
        <v>46067</v>
      </c>
      <c r="L312" t="s">
        <v>100</v>
      </c>
      <c r="M312">
        <v>1318</v>
      </c>
      <c r="N312" t="s">
        <v>21</v>
      </c>
      <c r="O312" t="s">
        <v>24</v>
      </c>
      <c r="P312">
        <v>25256</v>
      </c>
      <c r="Q312" t="s">
        <v>19</v>
      </c>
      <c r="R312">
        <v>36370</v>
      </c>
      <c r="S312" t="str">
        <f>VLOOKUP(L312&amp;TEXT(I312,"mmmm")&amp;YEAR(I312),'[1]Detalle C-Fecha'!$D$2:$E$15921,2,FALSE)</f>
        <v>CCUDyAZA</v>
      </c>
    </row>
    <row r="313" spans="1:19" x14ac:dyDescent="0.3">
      <c r="A313">
        <v>29246</v>
      </c>
      <c r="B313" t="s">
        <v>28</v>
      </c>
      <c r="C313" t="s">
        <v>15</v>
      </c>
      <c r="D313" t="s">
        <v>16</v>
      </c>
      <c r="E313" t="s">
        <v>52</v>
      </c>
      <c r="F313" s="6" t="str">
        <f t="shared" si="4"/>
        <v>6MC</v>
      </c>
      <c r="G313" s="11">
        <v>46066</v>
      </c>
      <c r="H313" s="12">
        <v>0.64583333333333337</v>
      </c>
      <c r="I313" s="11">
        <v>46066</v>
      </c>
      <c r="J313" s="1">
        <v>46066</v>
      </c>
      <c r="K313" s="1">
        <v>46067</v>
      </c>
      <c r="L313" t="s">
        <v>100</v>
      </c>
      <c r="M313">
        <v>1318</v>
      </c>
      <c r="N313" t="s">
        <v>21</v>
      </c>
      <c r="O313" t="s">
        <v>24</v>
      </c>
      <c r="P313">
        <v>25257</v>
      </c>
      <c r="Q313" t="s">
        <v>19</v>
      </c>
      <c r="R313">
        <v>36263</v>
      </c>
      <c r="S313" t="str">
        <f>VLOOKUP(L313&amp;TEXT(I313,"mmmm")&amp;YEAR(I313),'[1]Detalle C-Fecha'!$D$2:$E$15921,2,FALSE)</f>
        <v>CCUDyAZA</v>
      </c>
    </row>
    <row r="314" spans="1:19" x14ac:dyDescent="0.3">
      <c r="A314">
        <v>29246</v>
      </c>
      <c r="B314" t="s">
        <v>28</v>
      </c>
      <c r="C314" t="s">
        <v>15</v>
      </c>
      <c r="D314" t="s">
        <v>16</v>
      </c>
      <c r="E314" t="s">
        <v>52</v>
      </c>
      <c r="F314" s="6" t="str">
        <f t="shared" si="4"/>
        <v>6MC</v>
      </c>
      <c r="G314" s="11">
        <v>46066</v>
      </c>
      <c r="H314" s="12">
        <v>0.64583333333333337</v>
      </c>
      <c r="I314" s="11">
        <v>46066</v>
      </c>
      <c r="J314" s="1">
        <v>46066</v>
      </c>
      <c r="K314" s="1">
        <v>46067</v>
      </c>
      <c r="L314" t="s">
        <v>100</v>
      </c>
      <c r="M314">
        <v>1318</v>
      </c>
      <c r="N314" t="s">
        <v>21</v>
      </c>
      <c r="O314" t="s">
        <v>24</v>
      </c>
      <c r="P314">
        <v>25257</v>
      </c>
      <c r="Q314" t="s">
        <v>19</v>
      </c>
      <c r="R314">
        <v>36370</v>
      </c>
      <c r="S314" t="str">
        <f>VLOOKUP(L314&amp;TEXT(I314,"mmmm")&amp;YEAR(I314),'[1]Detalle C-Fecha'!$D$2:$E$15921,2,FALSE)</f>
        <v>CCUDyAZA</v>
      </c>
    </row>
    <row r="315" spans="1:19" x14ac:dyDescent="0.3">
      <c r="A315">
        <v>29321</v>
      </c>
      <c r="B315" t="s">
        <v>28</v>
      </c>
      <c r="C315" t="s">
        <v>15</v>
      </c>
      <c r="D315" t="s">
        <v>16</v>
      </c>
      <c r="E315" t="s">
        <v>52</v>
      </c>
      <c r="F315" s="6" t="str">
        <f t="shared" si="4"/>
        <v>6MC</v>
      </c>
      <c r="G315" s="11">
        <v>46071</v>
      </c>
      <c r="H315" s="12">
        <v>0.41875000000000001</v>
      </c>
      <c r="I315" s="11">
        <v>46071</v>
      </c>
      <c r="J315" s="1">
        <v>46071</v>
      </c>
      <c r="K315" s="1">
        <v>46071</v>
      </c>
      <c r="L315" t="s">
        <v>97</v>
      </c>
      <c r="M315">
        <v>1318</v>
      </c>
      <c r="N315" t="s">
        <v>21</v>
      </c>
      <c r="O315" t="s">
        <v>27</v>
      </c>
      <c r="P315">
        <v>25292</v>
      </c>
      <c r="Q315" t="s">
        <v>19</v>
      </c>
      <c r="R315">
        <v>36515</v>
      </c>
      <c r="S315" t="str">
        <f>VLOOKUP(L315&amp;TEXT(I315,"mmmm")&amp;YEAR(I315),'[1]Detalle C-Fecha'!$D$2:$E$15921,2,FALSE)</f>
        <v>Papelera - Papelera del Plata S.A.</v>
      </c>
    </row>
    <row r="316" spans="1:19" x14ac:dyDescent="0.3">
      <c r="A316">
        <v>29321</v>
      </c>
      <c r="B316" t="s">
        <v>28</v>
      </c>
      <c r="C316" t="s">
        <v>15</v>
      </c>
      <c r="D316" t="s">
        <v>16</v>
      </c>
      <c r="E316" t="s">
        <v>52</v>
      </c>
      <c r="F316" s="6" t="str">
        <f t="shared" si="4"/>
        <v>6MC</v>
      </c>
      <c r="G316" s="11">
        <v>46071</v>
      </c>
      <c r="H316" s="12">
        <v>0.41875000000000001</v>
      </c>
      <c r="I316" s="11">
        <v>46071</v>
      </c>
      <c r="J316" s="1">
        <v>46071</v>
      </c>
      <c r="K316" s="1">
        <v>46071</v>
      </c>
      <c r="L316" t="s">
        <v>97</v>
      </c>
      <c r="M316">
        <v>1318</v>
      </c>
      <c r="N316" t="s">
        <v>21</v>
      </c>
      <c r="O316" t="s">
        <v>27</v>
      </c>
      <c r="P316">
        <v>25292</v>
      </c>
      <c r="Q316" t="s">
        <v>19</v>
      </c>
      <c r="R316">
        <v>36602</v>
      </c>
      <c r="S316" t="str">
        <f>VLOOKUP(L316&amp;TEXT(I316,"mmmm")&amp;YEAR(I316),'[1]Detalle C-Fecha'!$D$2:$E$15921,2,FALSE)</f>
        <v>Papelera - Papelera del Plata S.A.</v>
      </c>
    </row>
    <row r="317" spans="1:19" x14ac:dyDescent="0.3">
      <c r="A317">
        <v>29322</v>
      </c>
      <c r="B317" t="s">
        <v>28</v>
      </c>
      <c r="C317" t="s">
        <v>15</v>
      </c>
      <c r="D317" t="s">
        <v>16</v>
      </c>
      <c r="E317" t="s">
        <v>53</v>
      </c>
      <c r="F317" s="6" t="str">
        <f t="shared" si="4"/>
        <v>3MC</v>
      </c>
      <c r="G317" s="11">
        <v>46071</v>
      </c>
      <c r="H317" s="12">
        <v>0.41875000000000001</v>
      </c>
      <c r="I317" s="11">
        <v>46071</v>
      </c>
      <c r="J317" s="1">
        <v>46071</v>
      </c>
      <c r="K317" s="1">
        <v>46071</v>
      </c>
      <c r="L317" t="s">
        <v>97</v>
      </c>
      <c r="M317">
        <v>1318</v>
      </c>
      <c r="N317" t="s">
        <v>21</v>
      </c>
      <c r="O317" t="s">
        <v>27</v>
      </c>
      <c r="P317">
        <v>25291</v>
      </c>
      <c r="Q317" t="s">
        <v>19</v>
      </c>
      <c r="R317">
        <v>36516</v>
      </c>
      <c r="S317" t="str">
        <f>VLOOKUP(L317&amp;TEXT(I317,"mmmm")&amp;YEAR(I317),'[1]Detalle C-Fecha'!$D$2:$E$15921,2,FALSE)</f>
        <v>Papelera - Papelera del Plata S.A.</v>
      </c>
    </row>
    <row r="318" spans="1:19" x14ac:dyDescent="0.3">
      <c r="A318">
        <v>29322</v>
      </c>
      <c r="B318" t="s">
        <v>28</v>
      </c>
      <c r="C318" t="s">
        <v>15</v>
      </c>
      <c r="D318" t="s">
        <v>16</v>
      </c>
      <c r="E318" t="s">
        <v>53</v>
      </c>
      <c r="F318" s="6" t="str">
        <f t="shared" si="4"/>
        <v>3MC</v>
      </c>
      <c r="G318" s="11">
        <v>46071</v>
      </c>
      <c r="H318" s="12">
        <v>0.41875000000000001</v>
      </c>
      <c r="I318" s="11">
        <v>46071</v>
      </c>
      <c r="J318" s="1">
        <v>46071</v>
      </c>
      <c r="K318" s="1">
        <v>46071</v>
      </c>
      <c r="L318" t="s">
        <v>97</v>
      </c>
      <c r="M318">
        <v>1318</v>
      </c>
      <c r="N318" t="s">
        <v>21</v>
      </c>
      <c r="O318" t="s">
        <v>27</v>
      </c>
      <c r="P318">
        <v>25291</v>
      </c>
      <c r="Q318" t="s">
        <v>19</v>
      </c>
      <c r="R318">
        <v>36602</v>
      </c>
      <c r="S318" t="str">
        <f>VLOOKUP(L318&amp;TEXT(I318,"mmmm")&amp;YEAR(I318),'[1]Detalle C-Fecha'!$D$2:$E$15921,2,FALSE)</f>
        <v>Papelera - Papelera del Plata S.A.</v>
      </c>
    </row>
    <row r="319" spans="1:19" x14ac:dyDescent="0.3">
      <c r="A319">
        <v>29323</v>
      </c>
      <c r="B319" t="s">
        <v>28</v>
      </c>
      <c r="C319" t="s">
        <v>15</v>
      </c>
      <c r="D319" t="s">
        <v>16</v>
      </c>
      <c r="E319" t="s">
        <v>51</v>
      </c>
      <c r="F319" s="6" t="str">
        <f t="shared" si="4"/>
        <v>2MC</v>
      </c>
      <c r="G319" s="11">
        <v>46071</v>
      </c>
      <c r="H319" s="12">
        <v>0.41875000000000001</v>
      </c>
      <c r="I319" s="11">
        <v>46071</v>
      </c>
      <c r="J319" s="1">
        <v>46071</v>
      </c>
      <c r="K319" s="1">
        <v>46071</v>
      </c>
      <c r="L319" t="s">
        <v>97</v>
      </c>
      <c r="M319">
        <v>1318</v>
      </c>
      <c r="N319" t="s">
        <v>21</v>
      </c>
      <c r="O319" t="s">
        <v>27</v>
      </c>
      <c r="P319">
        <v>25290</v>
      </c>
      <c r="Q319" t="s">
        <v>19</v>
      </c>
      <c r="R319">
        <v>36517</v>
      </c>
      <c r="S319" t="str">
        <f>VLOOKUP(L319&amp;TEXT(I319,"mmmm")&amp;YEAR(I319),'[1]Detalle C-Fecha'!$D$2:$E$15921,2,FALSE)</f>
        <v>Papelera - Papelera del Plata S.A.</v>
      </c>
    </row>
    <row r="320" spans="1:19" x14ac:dyDescent="0.3">
      <c r="A320">
        <v>29323</v>
      </c>
      <c r="B320" t="s">
        <v>28</v>
      </c>
      <c r="C320" t="s">
        <v>15</v>
      </c>
      <c r="D320" t="s">
        <v>16</v>
      </c>
      <c r="E320" t="s">
        <v>51</v>
      </c>
      <c r="F320" s="6" t="str">
        <f t="shared" si="4"/>
        <v>2MC</v>
      </c>
      <c r="G320" s="11">
        <v>46071</v>
      </c>
      <c r="H320" s="12">
        <v>0.41875000000000001</v>
      </c>
      <c r="I320" s="11">
        <v>46071</v>
      </c>
      <c r="J320" s="1">
        <v>46071</v>
      </c>
      <c r="K320" s="1">
        <v>46071</v>
      </c>
      <c r="L320" t="s">
        <v>97</v>
      </c>
      <c r="M320">
        <v>1318</v>
      </c>
      <c r="N320" t="s">
        <v>21</v>
      </c>
      <c r="O320" t="s">
        <v>27</v>
      </c>
      <c r="P320">
        <v>25290</v>
      </c>
      <c r="Q320" t="s">
        <v>19</v>
      </c>
      <c r="R320">
        <v>36602</v>
      </c>
      <c r="S320" t="str">
        <f>VLOOKUP(L320&amp;TEXT(I320,"mmmm")&amp;YEAR(I320),'[1]Detalle C-Fecha'!$D$2:$E$15921,2,FALSE)</f>
        <v>Papelera - Papelera del Plata S.A.</v>
      </c>
    </row>
    <row r="321" spans="1:19" x14ac:dyDescent="0.3">
      <c r="A321">
        <v>29499</v>
      </c>
      <c r="B321" t="s">
        <v>28</v>
      </c>
      <c r="C321" t="s">
        <v>15</v>
      </c>
      <c r="D321" t="s">
        <v>16</v>
      </c>
      <c r="E321" t="s">
        <v>35</v>
      </c>
      <c r="F321" s="6" t="str">
        <f t="shared" ref="F321:F384" si="5">MID(E321,1,3)</f>
        <v>2ML</v>
      </c>
      <c r="G321" s="11">
        <v>46076</v>
      </c>
      <c r="H321" s="12">
        <v>0.67569444444444438</v>
      </c>
      <c r="I321" s="11">
        <v>46076</v>
      </c>
      <c r="J321" s="1">
        <v>46076</v>
      </c>
      <c r="K321" s="1">
        <v>46076</v>
      </c>
      <c r="L321" t="s">
        <v>145</v>
      </c>
      <c r="M321" t="s">
        <v>146</v>
      </c>
      <c r="N321" t="s">
        <v>17</v>
      </c>
      <c r="O321" t="s">
        <v>24</v>
      </c>
      <c r="P321">
        <v>25432</v>
      </c>
      <c r="Q321" t="s">
        <v>19</v>
      </c>
      <c r="R321">
        <v>36959</v>
      </c>
      <c r="S321" t="str">
        <f>VLOOKUP(L321&amp;TEXT(I321,"mmmm")&amp;YEAR(I321),'[1]Detalle C-Fecha'!$D$2:$E$15921,2,FALSE)</f>
        <v>CENCOMLD - Cencosud SA - Mendoza</v>
      </c>
    </row>
    <row r="322" spans="1:19" x14ac:dyDescent="0.3">
      <c r="A322">
        <v>29499</v>
      </c>
      <c r="B322" t="s">
        <v>28</v>
      </c>
      <c r="C322" t="s">
        <v>15</v>
      </c>
      <c r="D322" t="s">
        <v>16</v>
      </c>
      <c r="E322" t="s">
        <v>35</v>
      </c>
      <c r="F322" s="6" t="str">
        <f t="shared" si="5"/>
        <v>2ML</v>
      </c>
      <c r="G322" s="11">
        <v>46076</v>
      </c>
      <c r="H322" s="12">
        <v>0.67569444444444438</v>
      </c>
      <c r="I322" s="11">
        <v>46076</v>
      </c>
      <c r="J322" s="1">
        <v>46076</v>
      </c>
      <c r="K322" s="1">
        <v>46076</v>
      </c>
      <c r="L322" t="s">
        <v>145</v>
      </c>
      <c r="M322" t="s">
        <v>146</v>
      </c>
      <c r="N322" t="s">
        <v>17</v>
      </c>
      <c r="O322" t="s">
        <v>24</v>
      </c>
      <c r="P322">
        <v>25432</v>
      </c>
      <c r="Q322" t="s">
        <v>19</v>
      </c>
      <c r="R322">
        <v>36960</v>
      </c>
      <c r="S322" t="str">
        <f>VLOOKUP(L322&amp;TEXT(I322,"mmmm")&amp;YEAR(I322),'[1]Detalle C-Fecha'!$D$2:$E$15921,2,FALSE)</f>
        <v>CENCOMLD - Cencosud SA - Mendoza</v>
      </c>
    </row>
    <row r="323" spans="1:19" x14ac:dyDescent="0.3">
      <c r="A323">
        <v>29500</v>
      </c>
      <c r="B323" t="s">
        <v>28</v>
      </c>
      <c r="C323" t="s">
        <v>15</v>
      </c>
      <c r="D323" t="s">
        <v>16</v>
      </c>
      <c r="E323" t="s">
        <v>47</v>
      </c>
      <c r="F323" s="6" t="str">
        <f t="shared" si="5"/>
        <v>3ML</v>
      </c>
      <c r="G323" s="11">
        <v>46076</v>
      </c>
      <c r="H323" s="12">
        <v>0.67569444444444438</v>
      </c>
      <c r="I323" s="11">
        <v>46076</v>
      </c>
      <c r="J323" s="1">
        <v>46076</v>
      </c>
      <c r="K323" s="1">
        <v>46076</v>
      </c>
      <c r="L323" t="s">
        <v>145</v>
      </c>
      <c r="M323" t="s">
        <v>146</v>
      </c>
      <c r="N323" t="s">
        <v>17</v>
      </c>
      <c r="O323" t="s">
        <v>24</v>
      </c>
      <c r="P323">
        <v>25433</v>
      </c>
      <c r="Q323" t="s">
        <v>19</v>
      </c>
      <c r="R323">
        <v>36961</v>
      </c>
      <c r="S323" t="str">
        <f>VLOOKUP(L323&amp;TEXT(I323,"mmmm")&amp;YEAR(I323),'[1]Detalle C-Fecha'!$D$2:$E$15921,2,FALSE)</f>
        <v>CENCOMLD - Cencosud SA - Mendoza</v>
      </c>
    </row>
    <row r="324" spans="1:19" x14ac:dyDescent="0.3">
      <c r="A324">
        <v>29500</v>
      </c>
      <c r="B324" t="s">
        <v>28</v>
      </c>
      <c r="C324" t="s">
        <v>15</v>
      </c>
      <c r="D324" t="s">
        <v>16</v>
      </c>
      <c r="E324" t="s">
        <v>47</v>
      </c>
      <c r="F324" s="6" t="str">
        <f t="shared" si="5"/>
        <v>3ML</v>
      </c>
      <c r="G324" s="11">
        <v>46076</v>
      </c>
      <c r="H324" s="12">
        <v>0.67569444444444438</v>
      </c>
      <c r="I324" s="11">
        <v>46076</v>
      </c>
      <c r="J324" s="1">
        <v>46076</v>
      </c>
      <c r="K324" s="1">
        <v>46076</v>
      </c>
      <c r="L324" t="s">
        <v>145</v>
      </c>
      <c r="M324" t="s">
        <v>146</v>
      </c>
      <c r="N324" t="s">
        <v>17</v>
      </c>
      <c r="O324" t="s">
        <v>24</v>
      </c>
      <c r="P324">
        <v>25433</v>
      </c>
      <c r="Q324" t="s">
        <v>19</v>
      </c>
      <c r="R324">
        <v>36962</v>
      </c>
      <c r="S324" t="str">
        <f>VLOOKUP(L324&amp;TEXT(I324,"mmmm")&amp;YEAR(I324),'[1]Detalle C-Fecha'!$D$2:$E$15921,2,FALSE)</f>
        <v>CENCOMLD - Cencosud SA - Mendoza</v>
      </c>
    </row>
    <row r="325" spans="1:19" x14ac:dyDescent="0.3">
      <c r="A325">
        <v>29501</v>
      </c>
      <c r="B325" t="s">
        <v>28</v>
      </c>
      <c r="C325" t="s">
        <v>15</v>
      </c>
      <c r="D325" t="s">
        <v>16</v>
      </c>
      <c r="E325" t="s">
        <v>46</v>
      </c>
      <c r="F325" s="6" t="str">
        <f t="shared" si="5"/>
        <v>6ML</v>
      </c>
      <c r="G325" s="11">
        <v>46076</v>
      </c>
      <c r="H325" s="12">
        <v>0.67569444444444438</v>
      </c>
      <c r="I325" s="11">
        <v>46076</v>
      </c>
      <c r="J325" s="1">
        <v>46077</v>
      </c>
      <c r="K325" s="1">
        <v>46077</v>
      </c>
      <c r="L325" t="s">
        <v>145</v>
      </c>
      <c r="M325" t="s">
        <v>146</v>
      </c>
      <c r="N325" t="s">
        <v>17</v>
      </c>
      <c r="O325" t="s">
        <v>24</v>
      </c>
      <c r="P325">
        <v>25434</v>
      </c>
      <c r="Q325" t="s">
        <v>19</v>
      </c>
      <c r="R325">
        <v>36963</v>
      </c>
      <c r="S325" t="str">
        <f>VLOOKUP(L325&amp;TEXT(I325,"mmmm")&amp;YEAR(I325),'[1]Detalle C-Fecha'!$D$2:$E$15921,2,FALSE)</f>
        <v>CENCOMLD - Cencosud SA - Mendoza</v>
      </c>
    </row>
    <row r="326" spans="1:19" x14ac:dyDescent="0.3">
      <c r="A326">
        <v>29501</v>
      </c>
      <c r="B326" t="s">
        <v>28</v>
      </c>
      <c r="C326" t="s">
        <v>15</v>
      </c>
      <c r="D326" t="s">
        <v>16</v>
      </c>
      <c r="E326" t="s">
        <v>46</v>
      </c>
      <c r="F326" s="6" t="str">
        <f t="shared" si="5"/>
        <v>6ML</v>
      </c>
      <c r="G326" s="11">
        <v>46076</v>
      </c>
      <c r="H326" s="12">
        <v>0.67569444444444438</v>
      </c>
      <c r="I326" s="11">
        <v>46076</v>
      </c>
      <c r="J326" s="1">
        <v>46077</v>
      </c>
      <c r="K326" s="1">
        <v>46077</v>
      </c>
      <c r="L326" t="s">
        <v>145</v>
      </c>
      <c r="M326" t="s">
        <v>146</v>
      </c>
      <c r="N326" t="s">
        <v>17</v>
      </c>
      <c r="O326" t="s">
        <v>24</v>
      </c>
      <c r="P326">
        <v>25434</v>
      </c>
      <c r="Q326" t="s">
        <v>19</v>
      </c>
      <c r="R326">
        <v>36964</v>
      </c>
      <c r="S326" t="str">
        <f>VLOOKUP(L326&amp;TEXT(I326,"mmmm")&amp;YEAR(I326),'[1]Detalle C-Fecha'!$D$2:$E$15921,2,FALSE)</f>
        <v>CENCOMLD - Cencosud SA - Mendoza</v>
      </c>
    </row>
    <row r="327" spans="1:19" x14ac:dyDescent="0.3">
      <c r="A327">
        <v>29848</v>
      </c>
      <c r="B327" t="s">
        <v>28</v>
      </c>
      <c r="C327" t="s">
        <v>15</v>
      </c>
      <c r="D327" t="s">
        <v>16</v>
      </c>
      <c r="E327" t="s">
        <v>35</v>
      </c>
      <c r="F327" s="6" t="str">
        <f t="shared" si="5"/>
        <v>2ML</v>
      </c>
      <c r="G327" s="11">
        <v>46081</v>
      </c>
      <c r="H327" s="12">
        <v>0.39583333333333331</v>
      </c>
      <c r="I327" s="11">
        <v>46079</v>
      </c>
      <c r="J327" s="1">
        <v>46079</v>
      </c>
      <c r="K327" s="1">
        <v>46079</v>
      </c>
      <c r="L327" t="s">
        <v>147</v>
      </c>
      <c r="M327" t="s">
        <v>126</v>
      </c>
      <c r="N327" t="s">
        <v>31</v>
      </c>
      <c r="O327" t="s">
        <v>25</v>
      </c>
      <c r="P327">
        <v>25696</v>
      </c>
      <c r="Q327" t="s">
        <v>19</v>
      </c>
      <c r="R327">
        <v>37089</v>
      </c>
      <c r="S327" t="str">
        <f>VLOOKUP(L327&amp;TEXT(I327,"mmmm")&amp;YEAR(I327),'[1]Detalle C-Fecha'!$D$2:$E$15921,2,FALSE)</f>
        <v>Expreso - Servicios Troncales</v>
      </c>
    </row>
    <row r="328" spans="1:19" x14ac:dyDescent="0.3">
      <c r="A328">
        <v>29848</v>
      </c>
      <c r="B328" t="s">
        <v>28</v>
      </c>
      <c r="C328" t="s">
        <v>15</v>
      </c>
      <c r="D328" t="s">
        <v>16</v>
      </c>
      <c r="E328" t="s">
        <v>35</v>
      </c>
      <c r="F328" s="6" t="str">
        <f t="shared" si="5"/>
        <v>2ML</v>
      </c>
      <c r="G328" s="11">
        <v>46081</v>
      </c>
      <c r="H328" s="12">
        <v>0.39583333333333331</v>
      </c>
      <c r="I328" s="11">
        <v>46079</v>
      </c>
      <c r="J328" s="1">
        <v>46079</v>
      </c>
      <c r="K328" s="1">
        <v>46079</v>
      </c>
      <c r="L328" t="s">
        <v>147</v>
      </c>
      <c r="M328" t="s">
        <v>126</v>
      </c>
      <c r="N328" t="s">
        <v>31</v>
      </c>
      <c r="O328" t="s">
        <v>25</v>
      </c>
      <c r="P328">
        <v>25696</v>
      </c>
      <c r="Q328" t="s">
        <v>19</v>
      </c>
      <c r="R328">
        <v>37090</v>
      </c>
      <c r="S328" t="str">
        <f>VLOOKUP(L328&amp;TEXT(I328,"mmmm")&amp;YEAR(I328),'[1]Detalle C-Fecha'!$D$2:$E$15921,2,FALSE)</f>
        <v>Expreso - Servicios Troncales</v>
      </c>
    </row>
    <row r="329" spans="1:19" x14ac:dyDescent="0.3">
      <c r="A329">
        <v>29849</v>
      </c>
      <c r="B329" t="s">
        <v>28</v>
      </c>
      <c r="C329" t="s">
        <v>15</v>
      </c>
      <c r="D329" t="s">
        <v>16</v>
      </c>
      <c r="E329" t="s">
        <v>47</v>
      </c>
      <c r="F329" s="6" t="str">
        <f t="shared" si="5"/>
        <v>3ML</v>
      </c>
      <c r="G329" s="11">
        <v>46081</v>
      </c>
      <c r="H329" s="12">
        <v>0.39583333333333331</v>
      </c>
      <c r="I329" s="11">
        <v>46081</v>
      </c>
      <c r="J329" s="1">
        <v>46081</v>
      </c>
      <c r="K329" s="1">
        <v>46081</v>
      </c>
      <c r="L329" t="s">
        <v>147</v>
      </c>
      <c r="M329" t="s">
        <v>126</v>
      </c>
      <c r="N329" t="s">
        <v>31</v>
      </c>
      <c r="O329" t="s">
        <v>25</v>
      </c>
      <c r="P329">
        <v>25695</v>
      </c>
      <c r="Q329" t="s">
        <v>19</v>
      </c>
      <c r="R329">
        <v>37091</v>
      </c>
      <c r="S329" t="str">
        <f>VLOOKUP(L329&amp;TEXT(I329,"mmmm")&amp;YEAR(I329),'[1]Detalle C-Fecha'!$D$2:$E$15921,2,FALSE)</f>
        <v>Expreso - Servicios Troncales</v>
      </c>
    </row>
    <row r="330" spans="1:19" x14ac:dyDescent="0.3">
      <c r="A330">
        <v>29849</v>
      </c>
      <c r="B330" t="s">
        <v>28</v>
      </c>
      <c r="C330" t="s">
        <v>15</v>
      </c>
      <c r="D330" t="s">
        <v>16</v>
      </c>
      <c r="E330" t="s">
        <v>47</v>
      </c>
      <c r="F330" s="6" t="str">
        <f t="shared" si="5"/>
        <v>3ML</v>
      </c>
      <c r="G330" s="11">
        <v>46081</v>
      </c>
      <c r="H330" s="12">
        <v>0.39583333333333331</v>
      </c>
      <c r="I330" s="11">
        <v>46081</v>
      </c>
      <c r="J330" s="1">
        <v>46081</v>
      </c>
      <c r="K330" s="1">
        <v>46081</v>
      </c>
      <c r="L330" t="s">
        <v>147</v>
      </c>
      <c r="M330" t="s">
        <v>126</v>
      </c>
      <c r="N330" t="s">
        <v>31</v>
      </c>
      <c r="O330" t="s">
        <v>25</v>
      </c>
      <c r="P330">
        <v>25695</v>
      </c>
      <c r="Q330" t="s">
        <v>19</v>
      </c>
      <c r="R330">
        <v>37092</v>
      </c>
      <c r="S330" t="str">
        <f>VLOOKUP(L330&amp;TEXT(I330,"mmmm")&amp;YEAR(I330),'[1]Detalle C-Fecha'!$D$2:$E$15921,2,FALSE)</f>
        <v>Expreso - Servicios Troncales</v>
      </c>
    </row>
    <row r="331" spans="1:19" x14ac:dyDescent="0.3">
      <c r="A331">
        <v>29850</v>
      </c>
      <c r="B331" t="s">
        <v>28</v>
      </c>
      <c r="C331" t="s">
        <v>15</v>
      </c>
      <c r="D331" t="s">
        <v>16</v>
      </c>
      <c r="E331" t="s">
        <v>137</v>
      </c>
      <c r="F331" s="6" t="str">
        <f t="shared" si="5"/>
        <v>7ML</v>
      </c>
      <c r="G331" s="11">
        <v>46081</v>
      </c>
      <c r="H331" s="12">
        <v>0.39583333333333331</v>
      </c>
      <c r="I331" s="11">
        <v>46081</v>
      </c>
      <c r="J331" s="1">
        <v>46081</v>
      </c>
      <c r="K331" s="1">
        <v>46081</v>
      </c>
      <c r="L331" t="s">
        <v>147</v>
      </c>
      <c r="M331" t="s">
        <v>126</v>
      </c>
      <c r="N331" t="s">
        <v>31</v>
      </c>
      <c r="O331" t="s">
        <v>25</v>
      </c>
      <c r="P331">
        <v>25694</v>
      </c>
      <c r="Q331" t="s">
        <v>19</v>
      </c>
      <c r="R331">
        <v>37093</v>
      </c>
      <c r="S331" t="str">
        <f>VLOOKUP(L331&amp;TEXT(I331,"mmmm")&amp;YEAR(I331),'[1]Detalle C-Fecha'!$D$2:$E$15921,2,FALSE)</f>
        <v>Expreso - Servicios Troncales</v>
      </c>
    </row>
    <row r="332" spans="1:19" x14ac:dyDescent="0.3">
      <c r="A332">
        <v>29850</v>
      </c>
      <c r="B332" t="s">
        <v>28</v>
      </c>
      <c r="C332" t="s">
        <v>15</v>
      </c>
      <c r="D332" t="s">
        <v>16</v>
      </c>
      <c r="E332" t="s">
        <v>137</v>
      </c>
      <c r="F332" s="6" t="str">
        <f t="shared" si="5"/>
        <v>7ML</v>
      </c>
      <c r="G332" s="11">
        <v>46081</v>
      </c>
      <c r="H332" s="12">
        <v>0.39583333333333331</v>
      </c>
      <c r="I332" s="11">
        <v>46081</v>
      </c>
      <c r="J332" s="1">
        <v>46081</v>
      </c>
      <c r="K332" s="1">
        <v>46081</v>
      </c>
      <c r="L332" t="s">
        <v>147</v>
      </c>
      <c r="M332" t="s">
        <v>126</v>
      </c>
      <c r="N332" t="s">
        <v>31</v>
      </c>
      <c r="O332" t="s">
        <v>25</v>
      </c>
      <c r="P332">
        <v>25694</v>
      </c>
      <c r="Q332" t="s">
        <v>19</v>
      </c>
      <c r="R332">
        <v>37096</v>
      </c>
      <c r="S332" t="str">
        <f>VLOOKUP(L332&amp;TEXT(I332,"mmmm")&amp;YEAR(I332),'[1]Detalle C-Fecha'!$D$2:$E$15921,2,FALSE)</f>
        <v>Expreso - Servicios Troncales</v>
      </c>
    </row>
    <row r="333" spans="1:19" x14ac:dyDescent="0.3">
      <c r="A333">
        <v>29851</v>
      </c>
      <c r="B333" t="s">
        <v>28</v>
      </c>
      <c r="C333" t="s">
        <v>15</v>
      </c>
      <c r="D333" t="s">
        <v>16</v>
      </c>
      <c r="E333" t="s">
        <v>46</v>
      </c>
      <c r="F333" s="6" t="str">
        <f t="shared" si="5"/>
        <v>6ML</v>
      </c>
      <c r="G333" s="11">
        <v>46081</v>
      </c>
      <c r="H333" s="12">
        <v>0.39652777777777781</v>
      </c>
      <c r="I333" s="11">
        <v>46081</v>
      </c>
      <c r="J333" s="1">
        <v>46081</v>
      </c>
      <c r="K333" s="1">
        <v>46081</v>
      </c>
      <c r="L333" t="s">
        <v>147</v>
      </c>
      <c r="M333" t="s">
        <v>126</v>
      </c>
      <c r="N333" t="s">
        <v>31</v>
      </c>
      <c r="O333" t="s">
        <v>25</v>
      </c>
      <c r="P333">
        <v>25693</v>
      </c>
      <c r="Q333" t="s">
        <v>19</v>
      </c>
      <c r="R333">
        <v>37097</v>
      </c>
      <c r="S333" t="str">
        <f>VLOOKUP(L333&amp;TEXT(I333,"mmmm")&amp;YEAR(I333),'[1]Detalle C-Fecha'!$D$2:$E$15921,2,FALSE)</f>
        <v>Expreso - Servicios Troncales</v>
      </c>
    </row>
    <row r="334" spans="1:19" x14ac:dyDescent="0.3">
      <c r="A334">
        <v>29851</v>
      </c>
      <c r="B334" t="s">
        <v>28</v>
      </c>
      <c r="C334" t="s">
        <v>15</v>
      </c>
      <c r="D334" t="s">
        <v>16</v>
      </c>
      <c r="E334" t="s">
        <v>46</v>
      </c>
      <c r="F334" s="6" t="str">
        <f t="shared" si="5"/>
        <v>6ML</v>
      </c>
      <c r="G334" s="11">
        <v>46081</v>
      </c>
      <c r="H334" s="12">
        <v>0.39652777777777781</v>
      </c>
      <c r="I334" s="11">
        <v>46081</v>
      </c>
      <c r="J334" s="1">
        <v>46081</v>
      </c>
      <c r="K334" s="1">
        <v>46081</v>
      </c>
      <c r="L334" t="s">
        <v>147</v>
      </c>
      <c r="M334" t="s">
        <v>126</v>
      </c>
      <c r="N334" t="s">
        <v>31</v>
      </c>
      <c r="O334" t="s">
        <v>25</v>
      </c>
      <c r="P334">
        <v>25693</v>
      </c>
      <c r="Q334" t="s">
        <v>19</v>
      </c>
      <c r="R334">
        <v>37098</v>
      </c>
      <c r="S334" t="str">
        <f>VLOOKUP(L334&amp;TEXT(I334,"mmmm")&amp;YEAR(I334),'[1]Detalle C-Fecha'!$D$2:$E$15921,2,FALSE)</f>
        <v>Expreso - Servicios Troncales</v>
      </c>
    </row>
    <row r="335" spans="1:19" x14ac:dyDescent="0.3">
      <c r="A335">
        <v>29852</v>
      </c>
      <c r="B335" t="s">
        <v>28</v>
      </c>
      <c r="C335" t="s">
        <v>15</v>
      </c>
      <c r="D335" t="s">
        <v>16</v>
      </c>
      <c r="E335" t="s">
        <v>46</v>
      </c>
      <c r="F335" s="6" t="str">
        <f t="shared" si="5"/>
        <v>6ML</v>
      </c>
      <c r="G335" s="11">
        <v>46081</v>
      </c>
      <c r="H335" s="12">
        <v>0.39652777777777781</v>
      </c>
      <c r="I335" s="11">
        <v>46081</v>
      </c>
      <c r="J335" s="1">
        <v>46081</v>
      </c>
      <c r="K335" s="1">
        <v>46081</v>
      </c>
      <c r="L335" t="s">
        <v>147</v>
      </c>
      <c r="M335" t="s">
        <v>126</v>
      </c>
      <c r="N335" t="s">
        <v>31</v>
      </c>
      <c r="O335" t="s">
        <v>25</v>
      </c>
      <c r="P335">
        <v>25692</v>
      </c>
      <c r="Q335" t="s">
        <v>19</v>
      </c>
      <c r="R335">
        <v>37099</v>
      </c>
      <c r="S335" t="str">
        <f>VLOOKUP(L335&amp;TEXT(I335,"mmmm")&amp;YEAR(I335),'[1]Detalle C-Fecha'!$D$2:$E$15921,2,FALSE)</f>
        <v>Expreso - Servicios Troncales</v>
      </c>
    </row>
    <row r="336" spans="1:19" x14ac:dyDescent="0.3">
      <c r="A336">
        <v>29852</v>
      </c>
      <c r="B336" t="s">
        <v>28</v>
      </c>
      <c r="C336" t="s">
        <v>15</v>
      </c>
      <c r="D336" t="s">
        <v>16</v>
      </c>
      <c r="E336" t="s">
        <v>46</v>
      </c>
      <c r="F336" s="6" t="str">
        <f t="shared" si="5"/>
        <v>6ML</v>
      </c>
      <c r="G336" s="11">
        <v>46081</v>
      </c>
      <c r="H336" s="12">
        <v>0.39652777777777781</v>
      </c>
      <c r="I336" s="11">
        <v>46081</v>
      </c>
      <c r="J336" s="1">
        <v>46081</v>
      </c>
      <c r="K336" s="1">
        <v>46081</v>
      </c>
      <c r="L336" t="s">
        <v>147</v>
      </c>
      <c r="M336" t="s">
        <v>126</v>
      </c>
      <c r="N336" t="s">
        <v>31</v>
      </c>
      <c r="O336" t="s">
        <v>25</v>
      </c>
      <c r="P336">
        <v>25692</v>
      </c>
      <c r="Q336" t="s">
        <v>19</v>
      </c>
      <c r="R336">
        <v>37100</v>
      </c>
      <c r="S336" t="str">
        <f>VLOOKUP(L336&amp;TEXT(I336,"mmmm")&amp;YEAR(I336),'[1]Detalle C-Fecha'!$D$2:$E$15921,2,FALSE)</f>
        <v>Expreso - Servicios Troncales</v>
      </c>
    </row>
    <row r="337" spans="1:19" x14ac:dyDescent="0.3">
      <c r="A337">
        <v>29871</v>
      </c>
      <c r="B337" t="s">
        <v>28</v>
      </c>
      <c r="C337" t="s">
        <v>15</v>
      </c>
      <c r="D337" t="s">
        <v>16</v>
      </c>
      <c r="E337" t="s">
        <v>115</v>
      </c>
      <c r="F337" s="6" t="str">
        <f t="shared" si="5"/>
        <v>2ML</v>
      </c>
      <c r="G337" s="11">
        <v>46083</v>
      </c>
      <c r="H337" s="12">
        <v>0.40763888888888888</v>
      </c>
      <c r="I337" s="11">
        <v>46080</v>
      </c>
      <c r="J337" s="1">
        <v>46080</v>
      </c>
      <c r="K337" s="1">
        <v>46080</v>
      </c>
      <c r="L337" t="s">
        <v>148</v>
      </c>
      <c r="M337" t="s">
        <v>149</v>
      </c>
      <c r="N337" t="s">
        <v>17</v>
      </c>
      <c r="O337" t="s">
        <v>25</v>
      </c>
      <c r="P337">
        <v>25728</v>
      </c>
      <c r="Q337" t="s">
        <v>19</v>
      </c>
      <c r="R337">
        <v>37231</v>
      </c>
      <c r="S337" t="str">
        <f>VLOOKUP(L337&amp;TEXT(I337,"mmmm")&amp;YEAR(I337),'[1]Detalle C-Fecha'!$D$2:$E$15921,2,FALSE)</f>
        <v>Expreso - Servicios Troncales</v>
      </c>
    </row>
    <row r="338" spans="1:19" x14ac:dyDescent="0.3">
      <c r="A338">
        <v>29871</v>
      </c>
      <c r="B338" t="s">
        <v>28</v>
      </c>
      <c r="C338" t="s">
        <v>15</v>
      </c>
      <c r="D338" t="s">
        <v>16</v>
      </c>
      <c r="E338" t="s">
        <v>115</v>
      </c>
      <c r="F338" s="6" t="str">
        <f t="shared" si="5"/>
        <v>2ML</v>
      </c>
      <c r="G338" s="11">
        <v>46083</v>
      </c>
      <c r="H338" s="12">
        <v>0.40763888888888888</v>
      </c>
      <c r="I338" s="11">
        <v>46080</v>
      </c>
      <c r="J338" s="1">
        <v>46080</v>
      </c>
      <c r="K338" s="1">
        <v>46080</v>
      </c>
      <c r="L338" t="s">
        <v>148</v>
      </c>
      <c r="M338" t="s">
        <v>149</v>
      </c>
      <c r="N338" t="s">
        <v>17</v>
      </c>
      <c r="O338" t="s">
        <v>25</v>
      </c>
      <c r="P338">
        <v>25728</v>
      </c>
      <c r="Q338" t="s">
        <v>19</v>
      </c>
      <c r="R338">
        <v>37232</v>
      </c>
      <c r="S338" t="str">
        <f>VLOOKUP(L338&amp;TEXT(I338,"mmmm")&amp;YEAR(I338),'[1]Detalle C-Fecha'!$D$2:$E$15921,2,FALSE)</f>
        <v>Expreso - Servicios Troncales</v>
      </c>
    </row>
    <row r="339" spans="1:19" x14ac:dyDescent="0.3">
      <c r="A339">
        <v>29872</v>
      </c>
      <c r="B339" t="s">
        <v>28</v>
      </c>
      <c r="C339" t="s">
        <v>15</v>
      </c>
      <c r="D339" t="s">
        <v>16</v>
      </c>
      <c r="E339" t="s">
        <v>116</v>
      </c>
      <c r="F339" s="6" t="str">
        <f t="shared" si="5"/>
        <v>3ML</v>
      </c>
      <c r="G339" s="11">
        <v>46083</v>
      </c>
      <c r="H339" s="12">
        <v>0.40763888888888888</v>
      </c>
      <c r="I339" s="11">
        <v>46080</v>
      </c>
      <c r="J339" s="1">
        <v>46080</v>
      </c>
      <c r="K339" s="1">
        <v>46080</v>
      </c>
      <c r="L339" t="s">
        <v>148</v>
      </c>
      <c r="M339" t="s">
        <v>149</v>
      </c>
      <c r="N339" t="s">
        <v>17</v>
      </c>
      <c r="O339" t="s">
        <v>25</v>
      </c>
      <c r="P339">
        <v>25731</v>
      </c>
      <c r="Q339" t="s">
        <v>19</v>
      </c>
      <c r="R339">
        <v>38656</v>
      </c>
      <c r="S339" t="str">
        <f>VLOOKUP(L339&amp;TEXT(I339,"mmmm")&amp;YEAR(I339),'[1]Detalle C-Fecha'!$D$2:$E$15921,2,FALSE)</f>
        <v>Expreso - Servicios Troncales</v>
      </c>
    </row>
    <row r="340" spans="1:19" x14ac:dyDescent="0.3">
      <c r="A340">
        <v>29872</v>
      </c>
      <c r="B340" t="s">
        <v>28</v>
      </c>
      <c r="C340" t="s">
        <v>15</v>
      </c>
      <c r="D340" t="s">
        <v>16</v>
      </c>
      <c r="E340" t="s">
        <v>116</v>
      </c>
      <c r="F340" s="6" t="str">
        <f t="shared" si="5"/>
        <v>3ML</v>
      </c>
      <c r="G340" s="11">
        <v>46083</v>
      </c>
      <c r="H340" s="12">
        <v>0.40763888888888888</v>
      </c>
      <c r="I340" s="11">
        <v>46080</v>
      </c>
      <c r="J340" s="1">
        <v>46080</v>
      </c>
      <c r="K340" s="1">
        <v>46080</v>
      </c>
      <c r="L340" t="s">
        <v>148</v>
      </c>
      <c r="M340" t="s">
        <v>149</v>
      </c>
      <c r="N340" t="s">
        <v>17</v>
      </c>
      <c r="O340" t="s">
        <v>25</v>
      </c>
      <c r="P340">
        <v>25731</v>
      </c>
      <c r="Q340" t="s">
        <v>19</v>
      </c>
      <c r="R340">
        <v>38658</v>
      </c>
      <c r="S340" t="str">
        <f>VLOOKUP(L340&amp;TEXT(I340,"mmmm")&amp;YEAR(I340),'[1]Detalle C-Fecha'!$D$2:$E$15921,2,FALSE)</f>
        <v>Expreso - Servicios Troncales</v>
      </c>
    </row>
    <row r="341" spans="1:19" x14ac:dyDescent="0.3">
      <c r="A341">
        <v>29873</v>
      </c>
      <c r="B341" t="s">
        <v>28</v>
      </c>
      <c r="C341" t="s">
        <v>15</v>
      </c>
      <c r="D341" t="s">
        <v>16</v>
      </c>
      <c r="E341" t="s">
        <v>117</v>
      </c>
      <c r="F341" s="6" t="str">
        <f t="shared" si="5"/>
        <v>6ML</v>
      </c>
      <c r="G341" s="11">
        <v>46083</v>
      </c>
      <c r="H341" s="12">
        <v>0.40763888888888888</v>
      </c>
      <c r="I341" s="11">
        <v>46080</v>
      </c>
      <c r="J341" s="1">
        <v>46080</v>
      </c>
      <c r="K341" s="1">
        <v>46080</v>
      </c>
      <c r="L341" t="s">
        <v>148</v>
      </c>
      <c r="M341" t="s">
        <v>149</v>
      </c>
      <c r="N341" t="s">
        <v>17</v>
      </c>
      <c r="O341" t="s">
        <v>25</v>
      </c>
      <c r="P341">
        <v>25733</v>
      </c>
      <c r="Q341" t="s">
        <v>19</v>
      </c>
      <c r="R341">
        <v>37233</v>
      </c>
      <c r="S341" t="str">
        <f>VLOOKUP(L341&amp;TEXT(I341,"mmmm")&amp;YEAR(I341),'[1]Detalle C-Fecha'!$D$2:$E$15921,2,FALSE)</f>
        <v>Expreso - Servicios Troncales</v>
      </c>
    </row>
    <row r="342" spans="1:19" x14ac:dyDescent="0.3">
      <c r="A342">
        <v>29873</v>
      </c>
      <c r="B342" t="s">
        <v>28</v>
      </c>
      <c r="C342" t="s">
        <v>15</v>
      </c>
      <c r="D342" t="s">
        <v>16</v>
      </c>
      <c r="E342" t="s">
        <v>117</v>
      </c>
      <c r="F342" s="6" t="str">
        <f t="shared" si="5"/>
        <v>6ML</v>
      </c>
      <c r="G342" s="11">
        <v>46083</v>
      </c>
      <c r="H342" s="12">
        <v>0.40763888888888888</v>
      </c>
      <c r="I342" s="11">
        <v>46080</v>
      </c>
      <c r="J342" s="1">
        <v>46080</v>
      </c>
      <c r="K342" s="1">
        <v>46080</v>
      </c>
      <c r="L342" t="s">
        <v>148</v>
      </c>
      <c r="M342" t="s">
        <v>149</v>
      </c>
      <c r="N342" t="s">
        <v>17</v>
      </c>
      <c r="O342" t="s">
        <v>25</v>
      </c>
      <c r="P342">
        <v>25733</v>
      </c>
      <c r="Q342" t="s">
        <v>19</v>
      </c>
      <c r="R342">
        <v>37234</v>
      </c>
      <c r="S342" t="str">
        <f>VLOOKUP(L342&amp;TEXT(I342,"mmmm")&amp;YEAR(I342),'[1]Detalle C-Fecha'!$D$2:$E$15921,2,FALSE)</f>
        <v>Expreso - Servicios Troncales</v>
      </c>
    </row>
    <row r="343" spans="1:19" x14ac:dyDescent="0.3">
      <c r="A343">
        <v>30094</v>
      </c>
      <c r="B343" t="s">
        <v>28</v>
      </c>
      <c r="C343" t="s">
        <v>15</v>
      </c>
      <c r="D343" t="s">
        <v>16</v>
      </c>
      <c r="E343" t="s">
        <v>51</v>
      </c>
      <c r="F343" s="6" t="str">
        <f t="shared" si="5"/>
        <v>2MC</v>
      </c>
      <c r="G343" s="11">
        <v>46086</v>
      </c>
      <c r="H343" s="12">
        <v>0.42986111111111108</v>
      </c>
      <c r="I343" s="11">
        <v>46086</v>
      </c>
      <c r="J343" s="1">
        <v>46086</v>
      </c>
      <c r="K343" s="1">
        <v>46086</v>
      </c>
      <c r="L343" t="s">
        <v>150</v>
      </c>
      <c r="M343">
        <v>1318</v>
      </c>
      <c r="N343" t="s">
        <v>31</v>
      </c>
      <c r="O343" t="s">
        <v>25</v>
      </c>
      <c r="P343">
        <v>25858</v>
      </c>
      <c r="Q343" t="s">
        <v>19</v>
      </c>
      <c r="R343">
        <v>37385</v>
      </c>
      <c r="S343" t="str">
        <f>VLOOKUP(L343&amp;TEXT(I343,"mmmm")&amp;YEAR(I343),'[1]Detalle C-Fecha'!$D$2:$E$15921,2,FALSE)</f>
        <v>SUC_REA - Sucursal Realicó</v>
      </c>
    </row>
    <row r="344" spans="1:19" x14ac:dyDescent="0.3">
      <c r="A344">
        <v>30094</v>
      </c>
      <c r="B344" t="s">
        <v>28</v>
      </c>
      <c r="C344" t="s">
        <v>15</v>
      </c>
      <c r="D344" t="s">
        <v>16</v>
      </c>
      <c r="E344" t="s">
        <v>51</v>
      </c>
      <c r="F344" s="6" t="str">
        <f t="shared" si="5"/>
        <v>2MC</v>
      </c>
      <c r="G344" s="11">
        <v>46086</v>
      </c>
      <c r="H344" s="12">
        <v>0.42986111111111108</v>
      </c>
      <c r="I344" s="11">
        <v>46086</v>
      </c>
      <c r="J344" s="1">
        <v>46086</v>
      </c>
      <c r="K344" s="1">
        <v>46086</v>
      </c>
      <c r="L344" t="s">
        <v>150</v>
      </c>
      <c r="M344">
        <v>1318</v>
      </c>
      <c r="N344" t="s">
        <v>31</v>
      </c>
      <c r="O344" t="s">
        <v>25</v>
      </c>
      <c r="P344">
        <v>25858</v>
      </c>
      <c r="Q344" t="s">
        <v>19</v>
      </c>
      <c r="R344">
        <v>37386</v>
      </c>
      <c r="S344" t="str">
        <f>VLOOKUP(L344&amp;TEXT(I344,"mmmm")&amp;YEAR(I344),'[1]Detalle C-Fecha'!$D$2:$E$15921,2,FALSE)</f>
        <v>SUC_REA - Sucursal Realicó</v>
      </c>
    </row>
    <row r="345" spans="1:19" x14ac:dyDescent="0.3">
      <c r="A345">
        <v>30095</v>
      </c>
      <c r="B345" t="s">
        <v>28</v>
      </c>
      <c r="C345" t="s">
        <v>15</v>
      </c>
      <c r="D345" t="s">
        <v>16</v>
      </c>
      <c r="E345" t="s">
        <v>53</v>
      </c>
      <c r="F345" s="6" t="str">
        <f t="shared" si="5"/>
        <v>3MC</v>
      </c>
      <c r="G345" s="11">
        <v>46086</v>
      </c>
      <c r="H345" s="12">
        <v>0.42986111111111108</v>
      </c>
      <c r="I345" s="11">
        <v>46086</v>
      </c>
      <c r="J345" s="1">
        <v>46086</v>
      </c>
      <c r="K345" s="1">
        <v>46086</v>
      </c>
      <c r="L345" t="s">
        <v>150</v>
      </c>
      <c r="M345">
        <v>1318</v>
      </c>
      <c r="N345" t="s">
        <v>31</v>
      </c>
      <c r="O345" t="s">
        <v>25</v>
      </c>
      <c r="P345">
        <v>25859</v>
      </c>
      <c r="Q345" t="s">
        <v>19</v>
      </c>
      <c r="R345">
        <v>37387</v>
      </c>
      <c r="S345" t="str">
        <f>VLOOKUP(L345&amp;TEXT(I345,"mmmm")&amp;YEAR(I345),'[1]Detalle C-Fecha'!$D$2:$E$15921,2,FALSE)</f>
        <v>SUC_REA - Sucursal Realicó</v>
      </c>
    </row>
    <row r="346" spans="1:19" x14ac:dyDescent="0.3">
      <c r="A346">
        <v>30095</v>
      </c>
      <c r="B346" t="s">
        <v>28</v>
      </c>
      <c r="C346" t="s">
        <v>15</v>
      </c>
      <c r="D346" t="s">
        <v>16</v>
      </c>
      <c r="E346" t="s">
        <v>53</v>
      </c>
      <c r="F346" s="6" t="str">
        <f t="shared" si="5"/>
        <v>3MC</v>
      </c>
      <c r="G346" s="11">
        <v>46086</v>
      </c>
      <c r="H346" s="12">
        <v>0.42986111111111108</v>
      </c>
      <c r="I346" s="11">
        <v>46086</v>
      </c>
      <c r="J346" s="1">
        <v>46086</v>
      </c>
      <c r="K346" s="1">
        <v>46086</v>
      </c>
      <c r="L346" t="s">
        <v>150</v>
      </c>
      <c r="M346">
        <v>1318</v>
      </c>
      <c r="N346" t="s">
        <v>31</v>
      </c>
      <c r="O346" t="s">
        <v>25</v>
      </c>
      <c r="P346">
        <v>25859</v>
      </c>
      <c r="Q346" t="s">
        <v>19</v>
      </c>
      <c r="R346">
        <v>37398</v>
      </c>
      <c r="S346" t="str">
        <f>VLOOKUP(L346&amp;TEXT(I346,"mmmm")&amp;YEAR(I346),'[1]Detalle C-Fecha'!$D$2:$E$15921,2,FALSE)</f>
        <v>SUC_REA - Sucursal Realicó</v>
      </c>
    </row>
    <row r="347" spans="1:19" x14ac:dyDescent="0.3">
      <c r="A347">
        <v>30096</v>
      </c>
      <c r="B347" t="s">
        <v>28</v>
      </c>
      <c r="C347" t="s">
        <v>15</v>
      </c>
      <c r="D347" t="s">
        <v>16</v>
      </c>
      <c r="E347" t="s">
        <v>143</v>
      </c>
      <c r="F347" s="6" t="str">
        <f t="shared" si="5"/>
        <v>7MC</v>
      </c>
      <c r="G347" s="11">
        <v>46086</v>
      </c>
      <c r="H347" s="12">
        <v>0.42986111111111108</v>
      </c>
      <c r="I347" s="11">
        <v>46086</v>
      </c>
      <c r="J347" s="1">
        <v>46086</v>
      </c>
      <c r="K347" s="1">
        <v>46086</v>
      </c>
      <c r="L347" t="s">
        <v>150</v>
      </c>
      <c r="M347">
        <v>1318</v>
      </c>
      <c r="N347" t="s">
        <v>31</v>
      </c>
      <c r="O347" t="s">
        <v>25</v>
      </c>
      <c r="P347">
        <v>25860</v>
      </c>
      <c r="Q347" t="s">
        <v>19</v>
      </c>
      <c r="R347">
        <v>37399</v>
      </c>
      <c r="S347" t="str">
        <f>VLOOKUP(L347&amp;TEXT(I347,"mmmm")&amp;YEAR(I347),'[1]Detalle C-Fecha'!$D$2:$E$15921,2,FALSE)</f>
        <v>SUC_REA - Sucursal Realicó</v>
      </c>
    </row>
    <row r="348" spans="1:19" x14ac:dyDescent="0.3">
      <c r="A348">
        <v>30096</v>
      </c>
      <c r="B348" t="s">
        <v>28</v>
      </c>
      <c r="C348" t="s">
        <v>15</v>
      </c>
      <c r="D348" t="s">
        <v>16</v>
      </c>
      <c r="E348" t="s">
        <v>143</v>
      </c>
      <c r="F348" s="6" t="str">
        <f t="shared" si="5"/>
        <v>7MC</v>
      </c>
      <c r="G348" s="11">
        <v>46086</v>
      </c>
      <c r="H348" s="12">
        <v>0.42986111111111108</v>
      </c>
      <c r="I348" s="11">
        <v>46086</v>
      </c>
      <c r="J348" s="1">
        <v>46086</v>
      </c>
      <c r="K348" s="1">
        <v>46086</v>
      </c>
      <c r="L348" t="s">
        <v>150</v>
      </c>
      <c r="M348">
        <v>1318</v>
      </c>
      <c r="N348" t="s">
        <v>31</v>
      </c>
      <c r="O348" t="s">
        <v>25</v>
      </c>
      <c r="P348">
        <v>25860</v>
      </c>
      <c r="Q348" t="s">
        <v>19</v>
      </c>
      <c r="R348">
        <v>37400</v>
      </c>
      <c r="S348" t="str">
        <f>VLOOKUP(L348&amp;TEXT(I348,"mmmm")&amp;YEAR(I348),'[1]Detalle C-Fecha'!$D$2:$E$15921,2,FALSE)</f>
        <v>SUC_REA - Sucursal Realicó</v>
      </c>
    </row>
    <row r="349" spans="1:19" x14ac:dyDescent="0.3">
      <c r="A349">
        <v>30109</v>
      </c>
      <c r="B349" t="s">
        <v>28</v>
      </c>
      <c r="C349" t="s">
        <v>15</v>
      </c>
      <c r="D349" t="s">
        <v>16</v>
      </c>
      <c r="E349" t="s">
        <v>51</v>
      </c>
      <c r="F349" s="6" t="str">
        <f t="shared" si="5"/>
        <v>2MC</v>
      </c>
      <c r="G349" s="11">
        <v>46086</v>
      </c>
      <c r="H349" s="12">
        <v>0.58263888888888882</v>
      </c>
      <c r="I349" s="11">
        <v>46086</v>
      </c>
      <c r="J349" s="1">
        <v>46086</v>
      </c>
      <c r="K349" s="1">
        <v>46086</v>
      </c>
      <c r="L349" t="s">
        <v>152</v>
      </c>
      <c r="M349" t="s">
        <v>127</v>
      </c>
      <c r="N349" t="s">
        <v>17</v>
      </c>
      <c r="O349" t="s">
        <v>24</v>
      </c>
      <c r="P349">
        <v>25871</v>
      </c>
      <c r="Q349" t="s">
        <v>19</v>
      </c>
      <c r="R349">
        <v>37443</v>
      </c>
      <c r="S349" t="str">
        <f>VLOOKUP(L349&amp;TEXT(I349,"mmmm")&amp;YEAR(I349),'[1]Detalle C-Fecha'!$D$2:$E$15921,2,FALSE)</f>
        <v>CCU_MZA - Comp. Cerv. Unidas - MZA</v>
      </c>
    </row>
    <row r="350" spans="1:19" x14ac:dyDescent="0.3">
      <c r="A350">
        <v>30109</v>
      </c>
      <c r="B350" t="s">
        <v>28</v>
      </c>
      <c r="C350" t="s">
        <v>15</v>
      </c>
      <c r="D350" t="s">
        <v>16</v>
      </c>
      <c r="E350" t="s">
        <v>51</v>
      </c>
      <c r="F350" s="6" t="str">
        <f t="shared" si="5"/>
        <v>2MC</v>
      </c>
      <c r="G350" s="11">
        <v>46086</v>
      </c>
      <c r="H350" s="12">
        <v>0.58263888888888882</v>
      </c>
      <c r="I350" s="11">
        <v>46086</v>
      </c>
      <c r="J350" s="1">
        <v>46086</v>
      </c>
      <c r="K350" s="1">
        <v>46086</v>
      </c>
      <c r="L350" t="s">
        <v>152</v>
      </c>
      <c r="M350" t="s">
        <v>127</v>
      </c>
      <c r="N350" t="s">
        <v>17</v>
      </c>
      <c r="O350" t="s">
        <v>24</v>
      </c>
      <c r="P350">
        <v>25871</v>
      </c>
      <c r="Q350" t="s">
        <v>19</v>
      </c>
      <c r="R350">
        <v>37444</v>
      </c>
      <c r="S350" t="str">
        <f>VLOOKUP(L350&amp;TEXT(I350,"mmmm")&amp;YEAR(I350),'[1]Detalle C-Fecha'!$D$2:$E$15921,2,FALSE)</f>
        <v>CCU_MZA - Comp. Cerv. Unidas - MZA</v>
      </c>
    </row>
    <row r="351" spans="1:19" x14ac:dyDescent="0.3">
      <c r="A351">
        <v>30110</v>
      </c>
      <c r="B351" t="s">
        <v>28</v>
      </c>
      <c r="C351" t="s">
        <v>15</v>
      </c>
      <c r="D351" t="s">
        <v>16</v>
      </c>
      <c r="E351" t="s">
        <v>53</v>
      </c>
      <c r="F351" s="6" t="str">
        <f t="shared" si="5"/>
        <v>3MC</v>
      </c>
      <c r="G351" s="11">
        <v>46086</v>
      </c>
      <c r="H351" s="12">
        <v>0.58263888888888882</v>
      </c>
      <c r="I351" s="11">
        <v>46086</v>
      </c>
      <c r="J351" s="1">
        <v>46086</v>
      </c>
      <c r="K351" s="1">
        <v>46086</v>
      </c>
      <c r="L351" t="s">
        <v>152</v>
      </c>
      <c r="M351" t="s">
        <v>127</v>
      </c>
      <c r="N351" t="s">
        <v>17</v>
      </c>
      <c r="O351" t="s">
        <v>24</v>
      </c>
      <c r="P351">
        <v>25872</v>
      </c>
      <c r="Q351" t="s">
        <v>19</v>
      </c>
      <c r="R351">
        <v>37445</v>
      </c>
      <c r="S351" t="str">
        <f>VLOOKUP(L351&amp;TEXT(I351,"mmmm")&amp;YEAR(I351),'[1]Detalle C-Fecha'!$D$2:$E$15921,2,FALSE)</f>
        <v>CCU_MZA - Comp. Cerv. Unidas - MZA</v>
      </c>
    </row>
    <row r="352" spans="1:19" x14ac:dyDescent="0.3">
      <c r="A352">
        <v>30110</v>
      </c>
      <c r="B352" t="s">
        <v>28</v>
      </c>
      <c r="C352" t="s">
        <v>15</v>
      </c>
      <c r="D352" t="s">
        <v>16</v>
      </c>
      <c r="E352" t="s">
        <v>53</v>
      </c>
      <c r="F352" s="6" t="str">
        <f t="shared" si="5"/>
        <v>3MC</v>
      </c>
      <c r="G352" s="11">
        <v>46086</v>
      </c>
      <c r="H352" s="12">
        <v>0.58263888888888882</v>
      </c>
      <c r="I352" s="11">
        <v>46086</v>
      </c>
      <c r="J352" s="1">
        <v>46086</v>
      </c>
      <c r="K352" s="1">
        <v>46086</v>
      </c>
      <c r="L352" t="s">
        <v>152</v>
      </c>
      <c r="M352" t="s">
        <v>127</v>
      </c>
      <c r="N352" t="s">
        <v>17</v>
      </c>
      <c r="O352" t="s">
        <v>24</v>
      </c>
      <c r="P352">
        <v>25872</v>
      </c>
      <c r="Q352" t="s">
        <v>19</v>
      </c>
      <c r="R352">
        <v>37446</v>
      </c>
      <c r="S352" t="str">
        <f>VLOOKUP(L352&amp;TEXT(I352,"mmmm")&amp;YEAR(I352),'[1]Detalle C-Fecha'!$D$2:$E$15921,2,FALSE)</f>
        <v>CCU_MZA - Comp. Cerv. Unidas - MZA</v>
      </c>
    </row>
    <row r="353" spans="1:19" x14ac:dyDescent="0.3">
      <c r="A353">
        <v>30111</v>
      </c>
      <c r="B353" t="s">
        <v>28</v>
      </c>
      <c r="C353" t="s">
        <v>15</v>
      </c>
      <c r="D353" t="s">
        <v>16</v>
      </c>
      <c r="E353" t="s">
        <v>112</v>
      </c>
      <c r="F353" s="6" t="str">
        <f t="shared" si="5"/>
        <v>6MC</v>
      </c>
      <c r="G353" s="11">
        <v>46086</v>
      </c>
      <c r="H353" s="12">
        <v>0.58263888888888882</v>
      </c>
      <c r="I353" s="11">
        <v>46086</v>
      </c>
      <c r="J353" s="1">
        <v>46086</v>
      </c>
      <c r="K353" s="1">
        <v>46086</v>
      </c>
      <c r="L353" t="s">
        <v>152</v>
      </c>
      <c r="M353" t="s">
        <v>127</v>
      </c>
      <c r="N353" t="s">
        <v>17</v>
      </c>
      <c r="O353" t="s">
        <v>24</v>
      </c>
      <c r="P353">
        <v>25874</v>
      </c>
      <c r="Q353" t="s">
        <v>19</v>
      </c>
      <c r="R353">
        <v>37447</v>
      </c>
      <c r="S353" t="str">
        <f>VLOOKUP(L353&amp;TEXT(I353,"mmmm")&amp;YEAR(I353),'[1]Detalle C-Fecha'!$D$2:$E$15921,2,FALSE)</f>
        <v>CCU_MZA - Comp. Cerv. Unidas - MZA</v>
      </c>
    </row>
    <row r="354" spans="1:19" x14ac:dyDescent="0.3">
      <c r="A354">
        <v>30111</v>
      </c>
      <c r="B354" t="s">
        <v>28</v>
      </c>
      <c r="C354" t="s">
        <v>15</v>
      </c>
      <c r="D354" t="s">
        <v>16</v>
      </c>
      <c r="E354" t="s">
        <v>112</v>
      </c>
      <c r="F354" s="6" t="str">
        <f t="shared" si="5"/>
        <v>6MC</v>
      </c>
      <c r="G354" s="11">
        <v>46086</v>
      </c>
      <c r="H354" s="12">
        <v>0.58263888888888882</v>
      </c>
      <c r="I354" s="11">
        <v>46086</v>
      </c>
      <c r="J354" s="1">
        <v>46086</v>
      </c>
      <c r="K354" s="1">
        <v>46086</v>
      </c>
      <c r="L354" t="s">
        <v>152</v>
      </c>
      <c r="M354" t="s">
        <v>127</v>
      </c>
      <c r="N354" t="s">
        <v>17</v>
      </c>
      <c r="O354" t="s">
        <v>24</v>
      </c>
      <c r="P354">
        <v>25874</v>
      </c>
      <c r="Q354" t="s">
        <v>19</v>
      </c>
      <c r="R354">
        <v>37448</v>
      </c>
      <c r="S354" t="str">
        <f>VLOOKUP(L354&amp;TEXT(I354,"mmmm")&amp;YEAR(I354),'[1]Detalle C-Fecha'!$D$2:$E$15921,2,FALSE)</f>
        <v>CCU_MZA - Comp. Cerv. Unidas - MZA</v>
      </c>
    </row>
    <row r="355" spans="1:19" x14ac:dyDescent="0.3">
      <c r="A355">
        <v>30143</v>
      </c>
      <c r="B355" t="s">
        <v>28</v>
      </c>
      <c r="C355" t="s">
        <v>15</v>
      </c>
      <c r="D355" t="s">
        <v>16</v>
      </c>
      <c r="E355" t="s">
        <v>51</v>
      </c>
      <c r="F355" s="6" t="str">
        <f t="shared" si="5"/>
        <v>2MC</v>
      </c>
      <c r="G355" s="11">
        <v>46086</v>
      </c>
      <c r="H355" s="12">
        <v>0.87916666666666676</v>
      </c>
      <c r="I355" s="11">
        <v>46086</v>
      </c>
      <c r="J355" s="1">
        <v>46086</v>
      </c>
      <c r="K355" s="1">
        <v>46086</v>
      </c>
      <c r="L355" t="s">
        <v>153</v>
      </c>
      <c r="M355" t="s">
        <v>130</v>
      </c>
      <c r="N355" t="s">
        <v>21</v>
      </c>
      <c r="O355" t="s">
        <v>18</v>
      </c>
      <c r="P355">
        <v>25896</v>
      </c>
      <c r="Q355" t="s">
        <v>19</v>
      </c>
      <c r="R355">
        <v>37574</v>
      </c>
      <c r="S355" t="str">
        <f>VLOOKUP(L355&amp;TEXT(I355,"mmmm")&amp;YEAR(I355),'[1]Detalle C-Fecha'!$D$2:$E$15921,2,FALSE)</f>
        <v>CMQ_TTE - QUILMES TTE</v>
      </c>
    </row>
    <row r="356" spans="1:19" x14ac:dyDescent="0.3">
      <c r="A356">
        <v>30143</v>
      </c>
      <c r="B356" t="s">
        <v>28</v>
      </c>
      <c r="C356" t="s">
        <v>15</v>
      </c>
      <c r="D356" t="s">
        <v>16</v>
      </c>
      <c r="E356" t="s">
        <v>51</v>
      </c>
      <c r="F356" s="6" t="str">
        <f t="shared" si="5"/>
        <v>2MC</v>
      </c>
      <c r="G356" s="11">
        <v>46086</v>
      </c>
      <c r="H356" s="12">
        <v>0.87916666666666676</v>
      </c>
      <c r="I356" s="11">
        <v>46086</v>
      </c>
      <c r="J356" s="1">
        <v>46086</v>
      </c>
      <c r="K356" s="1">
        <v>46086</v>
      </c>
      <c r="L356" t="s">
        <v>153</v>
      </c>
      <c r="M356" t="s">
        <v>130</v>
      </c>
      <c r="N356" t="s">
        <v>21</v>
      </c>
      <c r="O356" t="s">
        <v>18</v>
      </c>
      <c r="P356">
        <v>25896</v>
      </c>
      <c r="Q356" t="s">
        <v>19</v>
      </c>
      <c r="R356">
        <v>37652</v>
      </c>
      <c r="S356" t="str">
        <f>VLOOKUP(L356&amp;TEXT(I356,"mmmm")&amp;YEAR(I356),'[1]Detalle C-Fecha'!$D$2:$E$15921,2,FALSE)</f>
        <v>CMQ_TTE - QUILMES TTE</v>
      </c>
    </row>
    <row r="357" spans="1:19" x14ac:dyDescent="0.3">
      <c r="A357">
        <v>30144</v>
      </c>
      <c r="B357" t="s">
        <v>28</v>
      </c>
      <c r="C357" t="s">
        <v>15</v>
      </c>
      <c r="D357" t="s">
        <v>16</v>
      </c>
      <c r="E357" t="s">
        <v>53</v>
      </c>
      <c r="F357" s="6" t="str">
        <f t="shared" si="5"/>
        <v>3MC</v>
      </c>
      <c r="G357" s="11">
        <v>46086</v>
      </c>
      <c r="H357" s="12">
        <v>0.87916666666666676</v>
      </c>
      <c r="I357" s="11">
        <v>46086</v>
      </c>
      <c r="J357" s="1">
        <v>46086</v>
      </c>
      <c r="K357" s="1">
        <v>46086</v>
      </c>
      <c r="L357" t="s">
        <v>153</v>
      </c>
      <c r="M357" t="s">
        <v>130</v>
      </c>
      <c r="N357" t="s">
        <v>21</v>
      </c>
      <c r="O357" t="s">
        <v>18</v>
      </c>
      <c r="P357">
        <v>25897</v>
      </c>
      <c r="Q357" t="s">
        <v>19</v>
      </c>
      <c r="R357">
        <v>37575</v>
      </c>
      <c r="S357" t="str">
        <f>VLOOKUP(L357&amp;TEXT(I357,"mmmm")&amp;YEAR(I357),'[1]Detalle C-Fecha'!$D$2:$E$15921,2,FALSE)</f>
        <v>CMQ_TTE - QUILMES TTE</v>
      </c>
    </row>
    <row r="358" spans="1:19" x14ac:dyDescent="0.3">
      <c r="A358">
        <v>30144</v>
      </c>
      <c r="B358" t="s">
        <v>28</v>
      </c>
      <c r="C358" t="s">
        <v>15</v>
      </c>
      <c r="D358" t="s">
        <v>16</v>
      </c>
      <c r="E358" t="s">
        <v>53</v>
      </c>
      <c r="F358" s="6" t="str">
        <f t="shared" si="5"/>
        <v>3MC</v>
      </c>
      <c r="G358" s="11">
        <v>46086</v>
      </c>
      <c r="H358" s="12">
        <v>0.87916666666666676</v>
      </c>
      <c r="I358" s="11">
        <v>46086</v>
      </c>
      <c r="J358" s="1">
        <v>46086</v>
      </c>
      <c r="K358" s="1">
        <v>46086</v>
      </c>
      <c r="L358" t="s">
        <v>153</v>
      </c>
      <c r="M358" t="s">
        <v>130</v>
      </c>
      <c r="N358" t="s">
        <v>21</v>
      </c>
      <c r="O358" t="s">
        <v>18</v>
      </c>
      <c r="P358">
        <v>25897</v>
      </c>
      <c r="Q358" t="s">
        <v>19</v>
      </c>
      <c r="R358">
        <v>37652</v>
      </c>
      <c r="S358" t="str">
        <f>VLOOKUP(L358&amp;TEXT(I358,"mmmm")&amp;YEAR(I358),'[1]Detalle C-Fecha'!$D$2:$E$15921,2,FALSE)</f>
        <v>CMQ_TTE - QUILMES TTE</v>
      </c>
    </row>
    <row r="359" spans="1:19" x14ac:dyDescent="0.3">
      <c r="A359">
        <v>30145</v>
      </c>
      <c r="B359" t="s">
        <v>28</v>
      </c>
      <c r="C359" t="s">
        <v>15</v>
      </c>
      <c r="D359" t="s">
        <v>16</v>
      </c>
      <c r="E359" t="s">
        <v>52</v>
      </c>
      <c r="F359" s="6" t="str">
        <f t="shared" si="5"/>
        <v>6MC</v>
      </c>
      <c r="G359" s="11">
        <v>46086</v>
      </c>
      <c r="H359" s="12">
        <v>0.87916666666666676</v>
      </c>
      <c r="I359" s="11">
        <v>46086</v>
      </c>
      <c r="J359" s="1">
        <v>46086</v>
      </c>
      <c r="K359" s="1">
        <v>46086</v>
      </c>
      <c r="L359" t="s">
        <v>153</v>
      </c>
      <c r="M359" t="s">
        <v>130</v>
      </c>
      <c r="N359" t="s">
        <v>21</v>
      </c>
      <c r="O359" t="s">
        <v>18</v>
      </c>
      <c r="P359">
        <v>25898</v>
      </c>
      <c r="Q359" t="s">
        <v>19</v>
      </c>
      <c r="R359">
        <v>37576</v>
      </c>
      <c r="S359" t="str">
        <f>VLOOKUP(L359&amp;TEXT(I359,"mmmm")&amp;YEAR(I359),'[1]Detalle C-Fecha'!$D$2:$E$15921,2,FALSE)</f>
        <v>CMQ_TTE - QUILMES TTE</v>
      </c>
    </row>
    <row r="360" spans="1:19" x14ac:dyDescent="0.3">
      <c r="A360">
        <v>30145</v>
      </c>
      <c r="B360" t="s">
        <v>28</v>
      </c>
      <c r="C360" t="s">
        <v>15</v>
      </c>
      <c r="D360" t="s">
        <v>16</v>
      </c>
      <c r="E360" t="s">
        <v>52</v>
      </c>
      <c r="F360" s="6" t="str">
        <f t="shared" si="5"/>
        <v>6MC</v>
      </c>
      <c r="G360" s="11">
        <v>46086</v>
      </c>
      <c r="H360" s="12">
        <v>0.87916666666666676</v>
      </c>
      <c r="I360" s="11">
        <v>46086</v>
      </c>
      <c r="J360" s="1">
        <v>46086</v>
      </c>
      <c r="K360" s="1">
        <v>46086</v>
      </c>
      <c r="L360" t="s">
        <v>153</v>
      </c>
      <c r="M360" t="s">
        <v>130</v>
      </c>
      <c r="N360" t="s">
        <v>21</v>
      </c>
      <c r="O360" t="s">
        <v>18</v>
      </c>
      <c r="P360">
        <v>25898</v>
      </c>
      <c r="Q360" t="s">
        <v>19</v>
      </c>
      <c r="R360">
        <v>37652</v>
      </c>
      <c r="S360" t="str">
        <f>VLOOKUP(L360&amp;TEXT(I360,"mmmm")&amp;YEAR(I360),'[1]Detalle C-Fecha'!$D$2:$E$15921,2,FALSE)</f>
        <v>CMQ_TTE - QUILMES TTE</v>
      </c>
    </row>
    <row r="361" spans="1:19" x14ac:dyDescent="0.3">
      <c r="A361">
        <v>30227</v>
      </c>
      <c r="B361" t="s">
        <v>28</v>
      </c>
      <c r="C361" t="s">
        <v>15</v>
      </c>
      <c r="D361" t="s">
        <v>16</v>
      </c>
      <c r="E361" t="s">
        <v>111</v>
      </c>
      <c r="F361" s="6" t="str">
        <f t="shared" si="5"/>
        <v>6MC</v>
      </c>
      <c r="G361" s="11">
        <v>46088</v>
      </c>
      <c r="H361" s="12">
        <v>0.3833333333333333</v>
      </c>
      <c r="I361" s="11">
        <v>46087</v>
      </c>
      <c r="J361" s="1">
        <v>46087</v>
      </c>
      <c r="K361" s="1">
        <v>46087</v>
      </c>
      <c r="L361" t="s">
        <v>154</v>
      </c>
      <c r="M361" t="s">
        <v>155</v>
      </c>
      <c r="N361" t="s">
        <v>17</v>
      </c>
      <c r="O361" t="s">
        <v>24</v>
      </c>
      <c r="P361">
        <v>25954</v>
      </c>
      <c r="Q361" t="s">
        <v>19</v>
      </c>
      <c r="R361">
        <v>38430</v>
      </c>
      <c r="S361" t="str">
        <f>VLOOKUP(L361&amp;TEXT(I361,"mmmm")&amp;YEAR(I361),'[1]Detalle C-Fecha'!$D$2:$E$15921,2,FALSE)</f>
        <v>CCU_MZA - Comp. Cerv. Unidas - MZA</v>
      </c>
    </row>
    <row r="362" spans="1:19" x14ac:dyDescent="0.3">
      <c r="A362">
        <v>30227</v>
      </c>
      <c r="B362" t="s">
        <v>28</v>
      </c>
      <c r="C362" t="s">
        <v>15</v>
      </c>
      <c r="D362" t="s">
        <v>16</v>
      </c>
      <c r="E362" t="s">
        <v>111</v>
      </c>
      <c r="F362" s="6" t="str">
        <f t="shared" si="5"/>
        <v>6MC</v>
      </c>
      <c r="G362" s="11">
        <v>46088</v>
      </c>
      <c r="H362" s="12">
        <v>0.3833333333333333</v>
      </c>
      <c r="I362" s="11">
        <v>46087</v>
      </c>
      <c r="J362" s="1">
        <v>46087</v>
      </c>
      <c r="K362" s="1">
        <v>46087</v>
      </c>
      <c r="L362" t="s">
        <v>154</v>
      </c>
      <c r="M362" t="s">
        <v>155</v>
      </c>
      <c r="N362" t="s">
        <v>17</v>
      </c>
      <c r="O362" t="s">
        <v>24</v>
      </c>
      <c r="P362">
        <v>25954</v>
      </c>
      <c r="Q362" t="s">
        <v>19</v>
      </c>
      <c r="R362">
        <v>38432</v>
      </c>
      <c r="S362" t="str">
        <f>VLOOKUP(L362&amp;TEXT(I362,"mmmm")&amp;YEAR(I362),'[1]Detalle C-Fecha'!$D$2:$E$15921,2,FALSE)</f>
        <v>CCU_MZA - Comp. Cerv. Unidas - MZA</v>
      </c>
    </row>
    <row r="363" spans="1:19" x14ac:dyDescent="0.3">
      <c r="A363">
        <v>30228</v>
      </c>
      <c r="B363" t="s">
        <v>28</v>
      </c>
      <c r="C363" t="s">
        <v>15</v>
      </c>
      <c r="D363" t="s">
        <v>16</v>
      </c>
      <c r="E363" t="s">
        <v>121</v>
      </c>
      <c r="F363" s="6" t="str">
        <f t="shared" si="5"/>
        <v>2MC</v>
      </c>
      <c r="G363" s="11">
        <v>46088</v>
      </c>
      <c r="H363" s="12">
        <v>0.3833333333333333</v>
      </c>
      <c r="I363" s="11">
        <v>46087</v>
      </c>
      <c r="J363" s="1">
        <v>46087</v>
      </c>
      <c r="K363" s="1">
        <v>46087</v>
      </c>
      <c r="L363" t="s">
        <v>154</v>
      </c>
      <c r="M363" t="s">
        <v>155</v>
      </c>
      <c r="N363" t="s">
        <v>17</v>
      </c>
      <c r="O363" t="s">
        <v>24</v>
      </c>
      <c r="P363">
        <v>25955</v>
      </c>
      <c r="Q363" t="s">
        <v>19</v>
      </c>
      <c r="R363">
        <v>38434</v>
      </c>
      <c r="S363" t="str">
        <f>VLOOKUP(L363&amp;TEXT(I363,"mmmm")&amp;YEAR(I363),'[1]Detalle C-Fecha'!$D$2:$E$15921,2,FALSE)</f>
        <v>CCU_MZA - Comp. Cerv. Unidas - MZA</v>
      </c>
    </row>
    <row r="364" spans="1:19" x14ac:dyDescent="0.3">
      <c r="A364">
        <v>30228</v>
      </c>
      <c r="B364" t="s">
        <v>28</v>
      </c>
      <c r="C364" t="s">
        <v>15</v>
      </c>
      <c r="D364" t="s">
        <v>16</v>
      </c>
      <c r="E364" t="s">
        <v>121</v>
      </c>
      <c r="F364" s="6" t="str">
        <f t="shared" si="5"/>
        <v>2MC</v>
      </c>
      <c r="G364" s="11">
        <v>46088</v>
      </c>
      <c r="H364" s="12">
        <v>0.3833333333333333</v>
      </c>
      <c r="I364" s="11">
        <v>46087</v>
      </c>
      <c r="J364" s="1">
        <v>46087</v>
      </c>
      <c r="K364" s="1">
        <v>46087</v>
      </c>
      <c r="L364" t="s">
        <v>154</v>
      </c>
      <c r="M364" t="s">
        <v>155</v>
      </c>
      <c r="N364" t="s">
        <v>17</v>
      </c>
      <c r="O364" t="s">
        <v>24</v>
      </c>
      <c r="P364">
        <v>25955</v>
      </c>
      <c r="Q364" t="s">
        <v>19</v>
      </c>
      <c r="R364">
        <v>38435</v>
      </c>
      <c r="S364" t="str">
        <f>VLOOKUP(L364&amp;TEXT(I364,"mmmm")&amp;YEAR(I364),'[1]Detalle C-Fecha'!$D$2:$E$15921,2,FALSE)</f>
        <v>CCU_MZA - Comp. Cerv. Unidas - MZA</v>
      </c>
    </row>
    <row r="365" spans="1:19" x14ac:dyDescent="0.3">
      <c r="A365">
        <v>30229</v>
      </c>
      <c r="B365" t="s">
        <v>28</v>
      </c>
      <c r="C365" t="s">
        <v>15</v>
      </c>
      <c r="D365" t="s">
        <v>16</v>
      </c>
      <c r="E365" t="s">
        <v>122</v>
      </c>
      <c r="F365" s="6" t="str">
        <f t="shared" si="5"/>
        <v>3MC</v>
      </c>
      <c r="G365" s="11">
        <v>46088</v>
      </c>
      <c r="H365" s="12">
        <v>0.3840277777777778</v>
      </c>
      <c r="I365" s="11">
        <v>46087</v>
      </c>
      <c r="J365" s="1">
        <v>46087</v>
      </c>
      <c r="K365" s="1">
        <v>46087</v>
      </c>
      <c r="L365" t="s">
        <v>154</v>
      </c>
      <c r="M365" t="s">
        <v>155</v>
      </c>
      <c r="N365" t="s">
        <v>17</v>
      </c>
      <c r="O365" t="s">
        <v>24</v>
      </c>
      <c r="P365">
        <v>25956</v>
      </c>
      <c r="Q365" t="s">
        <v>19</v>
      </c>
      <c r="R365">
        <v>38437</v>
      </c>
      <c r="S365" t="str">
        <f>VLOOKUP(L365&amp;TEXT(I365,"mmmm")&amp;YEAR(I365),'[1]Detalle C-Fecha'!$D$2:$E$15921,2,FALSE)</f>
        <v>CCU_MZA - Comp. Cerv. Unidas - MZA</v>
      </c>
    </row>
    <row r="366" spans="1:19" x14ac:dyDescent="0.3">
      <c r="A366">
        <v>30229</v>
      </c>
      <c r="B366" t="s">
        <v>28</v>
      </c>
      <c r="C366" t="s">
        <v>15</v>
      </c>
      <c r="D366" t="s">
        <v>16</v>
      </c>
      <c r="E366" t="s">
        <v>122</v>
      </c>
      <c r="F366" s="6" t="str">
        <f t="shared" si="5"/>
        <v>3MC</v>
      </c>
      <c r="G366" s="11">
        <v>46088</v>
      </c>
      <c r="H366" s="12">
        <v>0.3840277777777778</v>
      </c>
      <c r="I366" s="11">
        <v>46087</v>
      </c>
      <c r="J366" s="1">
        <v>46087</v>
      </c>
      <c r="K366" s="1">
        <v>46087</v>
      </c>
      <c r="L366" t="s">
        <v>154</v>
      </c>
      <c r="M366" t="s">
        <v>155</v>
      </c>
      <c r="N366" t="s">
        <v>17</v>
      </c>
      <c r="O366" t="s">
        <v>24</v>
      </c>
      <c r="P366">
        <v>25956</v>
      </c>
      <c r="Q366" t="s">
        <v>19</v>
      </c>
      <c r="R366">
        <v>38439</v>
      </c>
      <c r="S366" t="str">
        <f>VLOOKUP(L366&amp;TEXT(I366,"mmmm")&amp;YEAR(I366),'[1]Detalle C-Fecha'!$D$2:$E$15921,2,FALSE)</f>
        <v>CCU_MZA - Comp. Cerv. Unidas - MZA</v>
      </c>
    </row>
    <row r="367" spans="1:19" x14ac:dyDescent="0.3">
      <c r="A367">
        <v>30249</v>
      </c>
      <c r="B367" t="s">
        <v>28</v>
      </c>
      <c r="C367" t="s">
        <v>15</v>
      </c>
      <c r="D367" t="s">
        <v>16</v>
      </c>
      <c r="E367" t="s">
        <v>51</v>
      </c>
      <c r="F367" s="6" t="str">
        <f t="shared" si="5"/>
        <v>2MC</v>
      </c>
      <c r="G367" s="11">
        <v>46090</v>
      </c>
      <c r="H367" s="12">
        <v>0.40277777777777773</v>
      </c>
      <c r="I367" s="11">
        <v>46090</v>
      </c>
      <c r="J367" s="1">
        <v>46090</v>
      </c>
      <c r="K367" s="1">
        <v>46090</v>
      </c>
      <c r="L367" t="s">
        <v>156</v>
      </c>
      <c r="M367" t="s">
        <v>155</v>
      </c>
      <c r="N367" t="s">
        <v>17</v>
      </c>
      <c r="O367" t="s">
        <v>24</v>
      </c>
      <c r="P367">
        <v>25975</v>
      </c>
      <c r="Q367" t="s">
        <v>19</v>
      </c>
      <c r="R367">
        <v>38448</v>
      </c>
      <c r="S367" t="str">
        <f>VLOOKUP(L367&amp;TEXT(I367,"mmmm")&amp;YEAR(I367),'[1]Detalle C-Fecha'!$D$2:$E$15921,2,FALSE)</f>
        <v>CCU_MZA - Comp. Cerv. Unidas - MZA</v>
      </c>
    </row>
    <row r="368" spans="1:19" x14ac:dyDescent="0.3">
      <c r="A368">
        <v>30249</v>
      </c>
      <c r="B368" t="s">
        <v>28</v>
      </c>
      <c r="C368" t="s">
        <v>15</v>
      </c>
      <c r="D368" t="s">
        <v>16</v>
      </c>
      <c r="E368" t="s">
        <v>51</v>
      </c>
      <c r="F368" s="6" t="str">
        <f t="shared" si="5"/>
        <v>2MC</v>
      </c>
      <c r="G368" s="11">
        <v>46090</v>
      </c>
      <c r="H368" s="12">
        <v>0.40277777777777773</v>
      </c>
      <c r="I368" s="11">
        <v>46090</v>
      </c>
      <c r="J368" s="1">
        <v>46090</v>
      </c>
      <c r="K368" s="1">
        <v>46090</v>
      </c>
      <c r="L368" t="s">
        <v>156</v>
      </c>
      <c r="M368" t="s">
        <v>155</v>
      </c>
      <c r="N368" t="s">
        <v>17</v>
      </c>
      <c r="O368" t="s">
        <v>24</v>
      </c>
      <c r="P368">
        <v>25975</v>
      </c>
      <c r="Q368" t="s">
        <v>19</v>
      </c>
      <c r="R368">
        <v>38449</v>
      </c>
      <c r="S368" t="str">
        <f>VLOOKUP(L368&amp;TEXT(I368,"mmmm")&amp;YEAR(I368),'[1]Detalle C-Fecha'!$D$2:$E$15921,2,FALSE)</f>
        <v>CCU_MZA - Comp. Cerv. Unidas - MZA</v>
      </c>
    </row>
    <row r="369" spans="1:19" x14ac:dyDescent="0.3">
      <c r="A369">
        <v>30250</v>
      </c>
      <c r="B369" t="s">
        <v>28</v>
      </c>
      <c r="C369" t="s">
        <v>15</v>
      </c>
      <c r="D369" t="s">
        <v>16</v>
      </c>
      <c r="E369" t="s">
        <v>53</v>
      </c>
      <c r="F369" s="6" t="str">
        <f t="shared" si="5"/>
        <v>3MC</v>
      </c>
      <c r="G369" s="11">
        <v>46090</v>
      </c>
      <c r="H369" s="12">
        <v>0.40277777777777773</v>
      </c>
      <c r="I369" s="11">
        <v>46090</v>
      </c>
      <c r="J369" s="1">
        <v>46090</v>
      </c>
      <c r="K369" s="1">
        <v>46090</v>
      </c>
      <c r="L369" t="s">
        <v>156</v>
      </c>
      <c r="M369" t="s">
        <v>155</v>
      </c>
      <c r="N369" t="s">
        <v>17</v>
      </c>
      <c r="O369" t="s">
        <v>24</v>
      </c>
      <c r="P369">
        <v>25976</v>
      </c>
      <c r="Q369" t="s">
        <v>19</v>
      </c>
      <c r="R369">
        <v>38454</v>
      </c>
      <c r="S369" t="str">
        <f>VLOOKUP(L369&amp;TEXT(I369,"mmmm")&amp;YEAR(I369),'[1]Detalle C-Fecha'!$D$2:$E$15921,2,FALSE)</f>
        <v>CCU_MZA - Comp. Cerv. Unidas - MZA</v>
      </c>
    </row>
    <row r="370" spans="1:19" x14ac:dyDescent="0.3">
      <c r="A370">
        <v>30250</v>
      </c>
      <c r="B370" t="s">
        <v>28</v>
      </c>
      <c r="C370" t="s">
        <v>15</v>
      </c>
      <c r="D370" t="s">
        <v>16</v>
      </c>
      <c r="E370" t="s">
        <v>53</v>
      </c>
      <c r="F370" s="6" t="str">
        <f t="shared" si="5"/>
        <v>3MC</v>
      </c>
      <c r="G370" s="11">
        <v>46090</v>
      </c>
      <c r="H370" s="12">
        <v>0.40277777777777773</v>
      </c>
      <c r="I370" s="11">
        <v>46090</v>
      </c>
      <c r="J370" s="1">
        <v>46090</v>
      </c>
      <c r="K370" s="1">
        <v>46090</v>
      </c>
      <c r="L370" t="s">
        <v>156</v>
      </c>
      <c r="M370" t="s">
        <v>155</v>
      </c>
      <c r="N370" t="s">
        <v>17</v>
      </c>
      <c r="O370" t="s">
        <v>24</v>
      </c>
      <c r="P370">
        <v>25976</v>
      </c>
      <c r="Q370" t="s">
        <v>19</v>
      </c>
      <c r="R370">
        <v>38455</v>
      </c>
      <c r="S370" t="str">
        <f>VLOOKUP(L370&amp;TEXT(I370,"mmmm")&amp;YEAR(I370),'[1]Detalle C-Fecha'!$D$2:$E$15921,2,FALSE)</f>
        <v>CCU_MZA - Comp. Cerv. Unidas - MZA</v>
      </c>
    </row>
    <row r="371" spans="1:19" x14ac:dyDescent="0.3">
      <c r="A371">
        <v>30251</v>
      </c>
      <c r="B371" t="s">
        <v>28</v>
      </c>
      <c r="C371" t="s">
        <v>15</v>
      </c>
      <c r="D371" t="s">
        <v>16</v>
      </c>
      <c r="E371" t="s">
        <v>111</v>
      </c>
      <c r="F371" s="6" t="str">
        <f t="shared" si="5"/>
        <v>6MC</v>
      </c>
      <c r="G371" s="11">
        <v>46090</v>
      </c>
      <c r="H371" s="12">
        <v>0.40277777777777773</v>
      </c>
      <c r="I371" s="11">
        <v>46090</v>
      </c>
      <c r="J371" s="1">
        <v>46090</v>
      </c>
      <c r="K371" s="1">
        <v>46090</v>
      </c>
      <c r="L371" t="s">
        <v>156</v>
      </c>
      <c r="M371" t="s">
        <v>155</v>
      </c>
      <c r="N371" t="s">
        <v>17</v>
      </c>
      <c r="O371" t="s">
        <v>24</v>
      </c>
      <c r="P371">
        <v>25977</v>
      </c>
      <c r="Q371" t="s">
        <v>19</v>
      </c>
      <c r="R371">
        <v>38456</v>
      </c>
      <c r="S371" t="str">
        <f>VLOOKUP(L371&amp;TEXT(I371,"mmmm")&amp;YEAR(I371),'[1]Detalle C-Fecha'!$D$2:$E$15921,2,FALSE)</f>
        <v>CCU_MZA - Comp. Cerv. Unidas - MZA</v>
      </c>
    </row>
    <row r="372" spans="1:19" x14ac:dyDescent="0.3">
      <c r="A372">
        <v>30251</v>
      </c>
      <c r="B372" t="s">
        <v>28</v>
      </c>
      <c r="C372" t="s">
        <v>15</v>
      </c>
      <c r="D372" t="s">
        <v>16</v>
      </c>
      <c r="E372" t="s">
        <v>111</v>
      </c>
      <c r="F372" s="6" t="str">
        <f t="shared" si="5"/>
        <v>6MC</v>
      </c>
      <c r="G372" s="11">
        <v>46090</v>
      </c>
      <c r="H372" s="12">
        <v>0.40277777777777773</v>
      </c>
      <c r="I372" s="11">
        <v>46090</v>
      </c>
      <c r="J372" s="1">
        <v>46090</v>
      </c>
      <c r="K372" s="1">
        <v>46090</v>
      </c>
      <c r="L372" t="s">
        <v>156</v>
      </c>
      <c r="M372" t="s">
        <v>155</v>
      </c>
      <c r="N372" t="s">
        <v>17</v>
      </c>
      <c r="O372" t="s">
        <v>24</v>
      </c>
      <c r="P372">
        <v>25977</v>
      </c>
      <c r="Q372" t="s">
        <v>19</v>
      </c>
      <c r="R372">
        <v>38457</v>
      </c>
      <c r="S372" t="str">
        <f>VLOOKUP(L372&amp;TEXT(I372,"mmmm")&amp;YEAR(I372),'[1]Detalle C-Fecha'!$D$2:$E$15921,2,FALSE)</f>
        <v>CCU_MZA - Comp. Cerv. Unidas - MZA</v>
      </c>
    </row>
    <row r="373" spans="1:19" x14ac:dyDescent="0.3">
      <c r="A373">
        <v>30270</v>
      </c>
      <c r="B373" t="s">
        <v>28</v>
      </c>
      <c r="C373" t="s">
        <v>15</v>
      </c>
      <c r="D373" t="s">
        <v>16</v>
      </c>
      <c r="E373" t="s">
        <v>140</v>
      </c>
      <c r="F373" s="6" t="str">
        <f t="shared" si="5"/>
        <v>4ML</v>
      </c>
      <c r="G373" s="11">
        <v>46090</v>
      </c>
      <c r="H373" s="12">
        <v>0.54791666666666672</v>
      </c>
      <c r="I373" s="11">
        <v>46090</v>
      </c>
      <c r="J373" s="1">
        <v>46090</v>
      </c>
      <c r="K373" s="1">
        <v>46090</v>
      </c>
      <c r="L373" t="s">
        <v>57</v>
      </c>
      <c r="M373" t="s">
        <v>126</v>
      </c>
      <c r="N373" t="s">
        <v>31</v>
      </c>
      <c r="O373" t="s">
        <v>25</v>
      </c>
      <c r="P373">
        <v>25999</v>
      </c>
      <c r="Q373" t="s">
        <v>19</v>
      </c>
      <c r="R373">
        <v>38024</v>
      </c>
      <c r="S373" t="str">
        <f>VLOOKUP(L373&amp;TEXT(I373,"mmmm")&amp;YEAR(I373),'[1]Detalle C-Fecha'!$D$2:$E$15921,2,FALSE)</f>
        <v>Expreso - Servicios Troncales</v>
      </c>
    </row>
    <row r="374" spans="1:19" x14ac:dyDescent="0.3">
      <c r="A374">
        <v>30270</v>
      </c>
      <c r="B374" t="s">
        <v>28</v>
      </c>
      <c r="C374" t="s">
        <v>15</v>
      </c>
      <c r="D374" t="s">
        <v>16</v>
      </c>
      <c r="E374" t="s">
        <v>140</v>
      </c>
      <c r="F374" s="6" t="str">
        <f t="shared" si="5"/>
        <v>4ML</v>
      </c>
      <c r="G374" s="11">
        <v>46090</v>
      </c>
      <c r="H374" s="12">
        <v>0.54791666666666672</v>
      </c>
      <c r="I374" s="11">
        <v>46090</v>
      </c>
      <c r="J374" s="1">
        <v>46090</v>
      </c>
      <c r="K374" s="1">
        <v>46090</v>
      </c>
      <c r="L374" t="s">
        <v>57</v>
      </c>
      <c r="M374" t="s">
        <v>126</v>
      </c>
      <c r="N374" t="s">
        <v>31</v>
      </c>
      <c r="O374" t="s">
        <v>25</v>
      </c>
      <c r="P374">
        <v>25999</v>
      </c>
      <c r="Q374" t="s">
        <v>19</v>
      </c>
      <c r="R374">
        <v>38025</v>
      </c>
      <c r="S374" t="str">
        <f>VLOOKUP(L374&amp;TEXT(I374,"mmmm")&amp;YEAR(I374),'[1]Detalle C-Fecha'!$D$2:$E$15921,2,FALSE)</f>
        <v>Expreso - Servicios Troncales</v>
      </c>
    </row>
    <row r="375" spans="1:19" x14ac:dyDescent="0.3">
      <c r="A375">
        <v>30271</v>
      </c>
      <c r="B375" t="s">
        <v>28</v>
      </c>
      <c r="C375" t="s">
        <v>15</v>
      </c>
      <c r="D375" t="s">
        <v>16</v>
      </c>
      <c r="E375" t="s">
        <v>141</v>
      </c>
      <c r="F375" s="6" t="str">
        <f t="shared" si="5"/>
        <v>5ML</v>
      </c>
      <c r="G375" s="11">
        <v>46090</v>
      </c>
      <c r="H375" s="12">
        <v>0.54791666666666672</v>
      </c>
      <c r="I375" s="11">
        <v>46090</v>
      </c>
      <c r="J375" s="1">
        <v>46090</v>
      </c>
      <c r="K375" s="1">
        <v>46090</v>
      </c>
      <c r="L375" t="s">
        <v>57</v>
      </c>
      <c r="M375" t="s">
        <v>126</v>
      </c>
      <c r="N375" t="s">
        <v>31</v>
      </c>
      <c r="O375" t="s">
        <v>25</v>
      </c>
      <c r="P375">
        <v>26000</v>
      </c>
      <c r="Q375" t="s">
        <v>19</v>
      </c>
      <c r="R375">
        <v>38026</v>
      </c>
      <c r="S375" t="str">
        <f>VLOOKUP(L375&amp;TEXT(I375,"mmmm")&amp;YEAR(I375),'[1]Detalle C-Fecha'!$D$2:$E$15921,2,FALSE)</f>
        <v>Expreso - Servicios Troncales</v>
      </c>
    </row>
    <row r="376" spans="1:19" x14ac:dyDescent="0.3">
      <c r="A376">
        <v>30271</v>
      </c>
      <c r="B376" t="s">
        <v>28</v>
      </c>
      <c r="C376" t="s">
        <v>15</v>
      </c>
      <c r="D376" t="s">
        <v>16</v>
      </c>
      <c r="E376" t="s">
        <v>141</v>
      </c>
      <c r="F376" s="6" t="str">
        <f t="shared" si="5"/>
        <v>5ML</v>
      </c>
      <c r="G376" s="11">
        <v>46090</v>
      </c>
      <c r="H376" s="12">
        <v>0.54791666666666672</v>
      </c>
      <c r="I376" s="11">
        <v>46090</v>
      </c>
      <c r="J376" s="1">
        <v>46090</v>
      </c>
      <c r="K376" s="1">
        <v>46090</v>
      </c>
      <c r="L376" t="s">
        <v>57</v>
      </c>
      <c r="M376" t="s">
        <v>126</v>
      </c>
      <c r="N376" t="s">
        <v>31</v>
      </c>
      <c r="O376" t="s">
        <v>25</v>
      </c>
      <c r="P376">
        <v>26000</v>
      </c>
      <c r="Q376" t="s">
        <v>19</v>
      </c>
      <c r="R376">
        <v>38027</v>
      </c>
      <c r="S376" t="str">
        <f>VLOOKUP(L376&amp;TEXT(I376,"mmmm")&amp;YEAR(I376),'[1]Detalle C-Fecha'!$D$2:$E$15921,2,FALSE)</f>
        <v>Expreso - Servicios Troncales</v>
      </c>
    </row>
    <row r="377" spans="1:19" x14ac:dyDescent="0.3">
      <c r="A377">
        <v>30274</v>
      </c>
      <c r="B377" t="s">
        <v>28</v>
      </c>
      <c r="C377" t="s">
        <v>15</v>
      </c>
      <c r="D377" t="s">
        <v>16</v>
      </c>
      <c r="E377" t="s">
        <v>121</v>
      </c>
      <c r="F377" s="6" t="str">
        <f t="shared" si="5"/>
        <v>2MC</v>
      </c>
      <c r="G377" s="11">
        <v>46090</v>
      </c>
      <c r="H377" s="12">
        <v>0.55555555555555558</v>
      </c>
      <c r="I377" s="11">
        <v>46090</v>
      </c>
      <c r="K377" s="1">
        <v>46095</v>
      </c>
      <c r="L377" t="s">
        <v>157</v>
      </c>
      <c r="M377">
        <v>1624</v>
      </c>
      <c r="N377" t="s">
        <v>21</v>
      </c>
      <c r="O377" t="s">
        <v>25</v>
      </c>
      <c r="P377">
        <v>26005</v>
      </c>
      <c r="Q377" t="s">
        <v>19</v>
      </c>
      <c r="R377">
        <v>37709</v>
      </c>
      <c r="S377" t="str">
        <f>VLOOKUP(L377&amp;TEXT(I377,"mmmm")&amp;YEAR(I377),'[1]Detalle C-Fecha'!$D$2:$E$15921,2,FALSE)</f>
        <v>Expreso - Servicios Troncales</v>
      </c>
    </row>
    <row r="378" spans="1:19" x14ac:dyDescent="0.3">
      <c r="A378">
        <v>30274</v>
      </c>
      <c r="B378" t="s">
        <v>28</v>
      </c>
      <c r="C378" t="s">
        <v>15</v>
      </c>
      <c r="D378" t="s">
        <v>16</v>
      </c>
      <c r="E378" t="s">
        <v>121</v>
      </c>
      <c r="F378" s="6" t="str">
        <f t="shared" si="5"/>
        <v>2MC</v>
      </c>
      <c r="G378" s="11">
        <v>46090</v>
      </c>
      <c r="H378" s="12">
        <v>0.55555555555555558</v>
      </c>
      <c r="I378" s="11">
        <v>46090</v>
      </c>
      <c r="K378" s="1">
        <v>46095</v>
      </c>
      <c r="L378" t="s">
        <v>157</v>
      </c>
      <c r="M378">
        <v>1624</v>
      </c>
      <c r="N378" t="s">
        <v>21</v>
      </c>
      <c r="O378" t="s">
        <v>25</v>
      </c>
      <c r="P378">
        <v>26005</v>
      </c>
      <c r="Q378" t="s">
        <v>19</v>
      </c>
      <c r="R378">
        <v>37936</v>
      </c>
      <c r="S378" t="str">
        <f>VLOOKUP(L378&amp;TEXT(I378,"mmmm")&amp;YEAR(I378),'[1]Detalle C-Fecha'!$D$2:$E$15921,2,FALSE)</f>
        <v>Expreso - Servicios Troncales</v>
      </c>
    </row>
    <row r="379" spans="1:19" x14ac:dyDescent="0.3">
      <c r="A379">
        <v>30275</v>
      </c>
      <c r="B379" t="s">
        <v>28</v>
      </c>
      <c r="C379" t="s">
        <v>15</v>
      </c>
      <c r="D379" t="s">
        <v>16</v>
      </c>
      <c r="E379" t="s">
        <v>53</v>
      </c>
      <c r="F379" s="6" t="str">
        <f t="shared" si="5"/>
        <v>3MC</v>
      </c>
      <c r="G379" s="11">
        <v>46090</v>
      </c>
      <c r="H379" s="12">
        <v>0.55555555555555558</v>
      </c>
      <c r="I379" s="11">
        <v>46090</v>
      </c>
      <c r="K379" s="1">
        <v>46095</v>
      </c>
      <c r="L379" t="s">
        <v>157</v>
      </c>
      <c r="M379">
        <v>1624</v>
      </c>
      <c r="N379" t="s">
        <v>21</v>
      </c>
      <c r="O379" t="s">
        <v>25</v>
      </c>
      <c r="P379">
        <v>26006</v>
      </c>
      <c r="Q379" t="s">
        <v>19</v>
      </c>
      <c r="R379">
        <v>37710</v>
      </c>
      <c r="S379" t="str">
        <f>VLOOKUP(L379&amp;TEXT(I379,"mmmm")&amp;YEAR(I379),'[1]Detalle C-Fecha'!$D$2:$E$15921,2,FALSE)</f>
        <v>Expreso - Servicios Troncales</v>
      </c>
    </row>
    <row r="380" spans="1:19" x14ac:dyDescent="0.3">
      <c r="A380">
        <v>30275</v>
      </c>
      <c r="B380" t="s">
        <v>28</v>
      </c>
      <c r="C380" t="s">
        <v>15</v>
      </c>
      <c r="D380" t="s">
        <v>16</v>
      </c>
      <c r="E380" t="s">
        <v>53</v>
      </c>
      <c r="F380" s="6" t="str">
        <f t="shared" si="5"/>
        <v>3MC</v>
      </c>
      <c r="G380" s="11">
        <v>46090</v>
      </c>
      <c r="H380" s="12">
        <v>0.55555555555555558</v>
      </c>
      <c r="I380" s="11">
        <v>46090</v>
      </c>
      <c r="K380" s="1">
        <v>46095</v>
      </c>
      <c r="L380" t="s">
        <v>157</v>
      </c>
      <c r="M380">
        <v>1624</v>
      </c>
      <c r="N380" t="s">
        <v>21</v>
      </c>
      <c r="O380" t="s">
        <v>25</v>
      </c>
      <c r="P380">
        <v>26006</v>
      </c>
      <c r="Q380" t="s">
        <v>19</v>
      </c>
      <c r="R380">
        <v>37936</v>
      </c>
      <c r="S380" t="str">
        <f>VLOOKUP(L380&amp;TEXT(I380,"mmmm")&amp;YEAR(I380),'[1]Detalle C-Fecha'!$D$2:$E$15921,2,FALSE)</f>
        <v>Expreso - Servicios Troncales</v>
      </c>
    </row>
    <row r="381" spans="1:19" x14ac:dyDescent="0.3">
      <c r="A381">
        <v>30276</v>
      </c>
      <c r="B381" t="s">
        <v>28</v>
      </c>
      <c r="C381" t="s">
        <v>15</v>
      </c>
      <c r="D381" t="s">
        <v>16</v>
      </c>
      <c r="E381" t="s">
        <v>111</v>
      </c>
      <c r="F381" s="6" t="str">
        <f t="shared" si="5"/>
        <v>6MC</v>
      </c>
      <c r="G381" s="11">
        <v>46090</v>
      </c>
      <c r="H381" s="12">
        <v>0.55555555555555558</v>
      </c>
      <c r="I381" s="11">
        <v>46090</v>
      </c>
      <c r="K381" s="1">
        <v>46095</v>
      </c>
      <c r="L381" t="s">
        <v>157</v>
      </c>
      <c r="M381">
        <v>1624</v>
      </c>
      <c r="N381" t="s">
        <v>21</v>
      </c>
      <c r="O381" t="s">
        <v>25</v>
      </c>
      <c r="P381">
        <v>26007</v>
      </c>
      <c r="Q381" t="s">
        <v>19</v>
      </c>
      <c r="R381">
        <v>37711</v>
      </c>
      <c r="S381" t="str">
        <f>VLOOKUP(L381&amp;TEXT(I381,"mmmm")&amp;YEAR(I381),'[1]Detalle C-Fecha'!$D$2:$E$15921,2,FALSE)</f>
        <v>Expreso - Servicios Troncales</v>
      </c>
    </row>
    <row r="382" spans="1:19" x14ac:dyDescent="0.3">
      <c r="A382">
        <v>30276</v>
      </c>
      <c r="B382" t="s">
        <v>28</v>
      </c>
      <c r="C382" t="s">
        <v>15</v>
      </c>
      <c r="D382" t="s">
        <v>16</v>
      </c>
      <c r="E382" t="s">
        <v>111</v>
      </c>
      <c r="F382" s="6" t="str">
        <f t="shared" si="5"/>
        <v>6MC</v>
      </c>
      <c r="G382" s="11">
        <v>46090</v>
      </c>
      <c r="H382" s="12">
        <v>0.55555555555555558</v>
      </c>
      <c r="I382" s="11">
        <v>46090</v>
      </c>
      <c r="K382" s="1">
        <v>46095</v>
      </c>
      <c r="L382" t="s">
        <v>157</v>
      </c>
      <c r="M382">
        <v>1624</v>
      </c>
      <c r="N382" t="s">
        <v>21</v>
      </c>
      <c r="O382" t="s">
        <v>25</v>
      </c>
      <c r="P382">
        <v>26007</v>
      </c>
      <c r="Q382" t="s">
        <v>19</v>
      </c>
      <c r="R382">
        <v>37936</v>
      </c>
      <c r="S382" t="str">
        <f>VLOOKUP(L382&amp;TEXT(I382,"mmmm")&amp;YEAR(I382),'[1]Detalle C-Fecha'!$D$2:$E$15921,2,FALSE)</f>
        <v>Expreso - Servicios Troncales</v>
      </c>
    </row>
    <row r="383" spans="1:19" x14ac:dyDescent="0.3">
      <c r="A383">
        <v>30280</v>
      </c>
      <c r="B383" t="s">
        <v>28</v>
      </c>
      <c r="C383" t="s">
        <v>15</v>
      </c>
      <c r="D383" t="s">
        <v>16</v>
      </c>
      <c r="E383" t="s">
        <v>35</v>
      </c>
      <c r="F383" s="6" t="str">
        <f t="shared" si="5"/>
        <v>2ML</v>
      </c>
      <c r="G383" s="11">
        <v>46090</v>
      </c>
      <c r="H383" s="12">
        <v>0.57986111111111105</v>
      </c>
      <c r="I383" s="11">
        <v>46090</v>
      </c>
      <c r="J383" s="1">
        <v>46090</v>
      </c>
      <c r="K383" s="1">
        <v>46090</v>
      </c>
      <c r="L383" t="s">
        <v>158</v>
      </c>
      <c r="M383" t="s">
        <v>146</v>
      </c>
      <c r="N383" t="s">
        <v>17</v>
      </c>
      <c r="O383" t="s">
        <v>24</v>
      </c>
      <c r="P383">
        <v>26009</v>
      </c>
      <c r="Q383" t="s">
        <v>19</v>
      </c>
      <c r="R383">
        <v>38471</v>
      </c>
      <c r="S383" t="str">
        <f>VLOOKUP(L383&amp;TEXT(I383,"mmmm")&amp;YEAR(I383),'[1]Detalle C-Fecha'!$D$2:$E$15921,2,FALSE)</f>
        <v>CENCOMLD - Cencosud SA - Mendoza</v>
      </c>
    </row>
    <row r="384" spans="1:19" x14ac:dyDescent="0.3">
      <c r="A384">
        <v>30280</v>
      </c>
      <c r="B384" t="s">
        <v>28</v>
      </c>
      <c r="C384" t="s">
        <v>15</v>
      </c>
      <c r="D384" t="s">
        <v>16</v>
      </c>
      <c r="E384" t="s">
        <v>35</v>
      </c>
      <c r="F384" s="6" t="str">
        <f t="shared" si="5"/>
        <v>2ML</v>
      </c>
      <c r="G384" s="11">
        <v>46090</v>
      </c>
      <c r="H384" s="12">
        <v>0.57986111111111105</v>
      </c>
      <c r="I384" s="11">
        <v>46090</v>
      </c>
      <c r="J384" s="1">
        <v>46090</v>
      </c>
      <c r="K384" s="1">
        <v>46090</v>
      </c>
      <c r="L384" t="s">
        <v>158</v>
      </c>
      <c r="M384" t="s">
        <v>146</v>
      </c>
      <c r="N384" t="s">
        <v>17</v>
      </c>
      <c r="O384" t="s">
        <v>24</v>
      </c>
      <c r="P384">
        <v>26009</v>
      </c>
      <c r="Q384" t="s">
        <v>19</v>
      </c>
      <c r="R384">
        <v>38472</v>
      </c>
      <c r="S384" t="str">
        <f>VLOOKUP(L384&amp;TEXT(I384,"mmmm")&amp;YEAR(I384),'[1]Detalle C-Fecha'!$D$2:$E$15921,2,FALSE)</f>
        <v>CENCOMLD - Cencosud SA - Mendoza</v>
      </c>
    </row>
    <row r="385" spans="1:19" x14ac:dyDescent="0.3">
      <c r="A385">
        <v>30281</v>
      </c>
      <c r="B385" t="s">
        <v>28</v>
      </c>
      <c r="C385" t="s">
        <v>15</v>
      </c>
      <c r="D385" t="s">
        <v>16</v>
      </c>
      <c r="E385" t="s">
        <v>47</v>
      </c>
      <c r="F385" s="6" t="str">
        <f t="shared" ref="F385:F448" si="6">MID(E385,1,3)</f>
        <v>3ML</v>
      </c>
      <c r="G385" s="11">
        <v>46090</v>
      </c>
      <c r="H385" s="12">
        <v>0.57986111111111105</v>
      </c>
      <c r="I385" s="11">
        <v>46090</v>
      </c>
      <c r="J385" s="1">
        <v>46090</v>
      </c>
      <c r="K385" s="1">
        <v>46090</v>
      </c>
      <c r="L385" t="s">
        <v>158</v>
      </c>
      <c r="M385" t="s">
        <v>146</v>
      </c>
      <c r="N385" t="s">
        <v>17</v>
      </c>
      <c r="O385" t="s">
        <v>24</v>
      </c>
      <c r="P385">
        <v>26011</v>
      </c>
      <c r="Q385" t="s">
        <v>19</v>
      </c>
      <c r="R385">
        <v>38473</v>
      </c>
      <c r="S385" t="str">
        <f>VLOOKUP(L385&amp;TEXT(I385,"mmmm")&amp;YEAR(I385),'[1]Detalle C-Fecha'!$D$2:$E$15921,2,FALSE)</f>
        <v>CENCOMLD - Cencosud SA - Mendoza</v>
      </c>
    </row>
    <row r="386" spans="1:19" x14ac:dyDescent="0.3">
      <c r="A386">
        <v>30281</v>
      </c>
      <c r="B386" t="s">
        <v>28</v>
      </c>
      <c r="C386" t="s">
        <v>15</v>
      </c>
      <c r="D386" t="s">
        <v>16</v>
      </c>
      <c r="E386" t="s">
        <v>47</v>
      </c>
      <c r="F386" s="6" t="str">
        <f t="shared" si="6"/>
        <v>3ML</v>
      </c>
      <c r="G386" s="11">
        <v>46090</v>
      </c>
      <c r="H386" s="12">
        <v>0.57986111111111105</v>
      </c>
      <c r="I386" s="11">
        <v>46090</v>
      </c>
      <c r="J386" s="1">
        <v>46090</v>
      </c>
      <c r="K386" s="1">
        <v>46090</v>
      </c>
      <c r="L386" t="s">
        <v>158</v>
      </c>
      <c r="M386" t="s">
        <v>146</v>
      </c>
      <c r="N386" t="s">
        <v>17</v>
      </c>
      <c r="O386" t="s">
        <v>24</v>
      </c>
      <c r="P386">
        <v>26011</v>
      </c>
      <c r="Q386" t="s">
        <v>19</v>
      </c>
      <c r="R386">
        <v>38474</v>
      </c>
      <c r="S386" t="str">
        <f>VLOOKUP(L386&amp;TEXT(I386,"mmmm")&amp;YEAR(I386),'[1]Detalle C-Fecha'!$D$2:$E$15921,2,FALSE)</f>
        <v>CENCOMLD - Cencosud SA - Mendoza</v>
      </c>
    </row>
    <row r="387" spans="1:19" x14ac:dyDescent="0.3">
      <c r="A387">
        <v>30282</v>
      </c>
      <c r="B387" t="s">
        <v>28</v>
      </c>
      <c r="C387" t="s">
        <v>15</v>
      </c>
      <c r="D387" t="s">
        <v>16</v>
      </c>
      <c r="E387" t="s">
        <v>46</v>
      </c>
      <c r="F387" s="6" t="str">
        <f t="shared" si="6"/>
        <v>6ML</v>
      </c>
      <c r="G387" s="11">
        <v>46090</v>
      </c>
      <c r="H387" s="12">
        <v>0.57986111111111105</v>
      </c>
      <c r="I387" s="11">
        <v>46090</v>
      </c>
      <c r="J387" s="1">
        <v>46090</v>
      </c>
      <c r="K387" s="1">
        <v>46090</v>
      </c>
      <c r="L387" t="s">
        <v>158</v>
      </c>
      <c r="M387" t="s">
        <v>146</v>
      </c>
      <c r="N387" t="s">
        <v>17</v>
      </c>
      <c r="O387" t="s">
        <v>24</v>
      </c>
      <c r="P387">
        <v>26012</v>
      </c>
      <c r="Q387" t="s">
        <v>19</v>
      </c>
      <c r="R387">
        <v>38475</v>
      </c>
      <c r="S387" t="str">
        <f>VLOOKUP(L387&amp;TEXT(I387,"mmmm")&amp;YEAR(I387),'[1]Detalle C-Fecha'!$D$2:$E$15921,2,FALSE)</f>
        <v>CENCOMLD - Cencosud SA - Mendoza</v>
      </c>
    </row>
    <row r="388" spans="1:19" x14ac:dyDescent="0.3">
      <c r="A388">
        <v>30300</v>
      </c>
      <c r="B388" t="s">
        <v>28</v>
      </c>
      <c r="C388" t="s">
        <v>15</v>
      </c>
      <c r="D388" t="s">
        <v>16</v>
      </c>
      <c r="E388" t="s">
        <v>51</v>
      </c>
      <c r="F388" s="6" t="str">
        <f t="shared" si="6"/>
        <v>2MC</v>
      </c>
      <c r="G388" s="11">
        <v>46091</v>
      </c>
      <c r="H388" s="12">
        <v>0.41736111111111113</v>
      </c>
      <c r="I388" s="11">
        <v>46091</v>
      </c>
      <c r="J388" s="1">
        <v>46091</v>
      </c>
      <c r="K388" s="1">
        <v>46091</v>
      </c>
      <c r="L388" t="s">
        <v>159</v>
      </c>
      <c r="M388" t="s">
        <v>155</v>
      </c>
      <c r="N388" t="s">
        <v>17</v>
      </c>
      <c r="O388" t="s">
        <v>24</v>
      </c>
      <c r="P388">
        <v>26051</v>
      </c>
      <c r="Q388" t="s">
        <v>19</v>
      </c>
      <c r="R388">
        <v>38492</v>
      </c>
      <c r="S388" t="str">
        <f>VLOOKUP(L388&amp;TEXT(I388,"mmmm")&amp;YEAR(I388),'[1]Detalle C-Fecha'!$D$2:$E$15921,2,FALSE)</f>
        <v>CCU_MZA - Comp. Cerv. Unidas - MZA</v>
      </c>
    </row>
    <row r="389" spans="1:19" x14ac:dyDescent="0.3">
      <c r="A389">
        <v>30300</v>
      </c>
      <c r="B389" t="s">
        <v>28</v>
      </c>
      <c r="C389" t="s">
        <v>15</v>
      </c>
      <c r="D389" t="s">
        <v>16</v>
      </c>
      <c r="E389" t="s">
        <v>51</v>
      </c>
      <c r="F389" s="6" t="str">
        <f t="shared" si="6"/>
        <v>2MC</v>
      </c>
      <c r="G389" s="11">
        <v>46091</v>
      </c>
      <c r="H389" s="12">
        <v>0.41736111111111113</v>
      </c>
      <c r="I389" s="11">
        <v>46091</v>
      </c>
      <c r="J389" s="1">
        <v>46091</v>
      </c>
      <c r="K389" s="1">
        <v>46091</v>
      </c>
      <c r="L389" t="s">
        <v>159</v>
      </c>
      <c r="M389" t="s">
        <v>155</v>
      </c>
      <c r="N389" t="s">
        <v>17</v>
      </c>
      <c r="O389" t="s">
        <v>24</v>
      </c>
      <c r="P389">
        <v>26051</v>
      </c>
      <c r="Q389" t="s">
        <v>19</v>
      </c>
      <c r="R389">
        <v>38493</v>
      </c>
      <c r="S389" t="str">
        <f>VLOOKUP(L389&amp;TEXT(I389,"mmmm")&amp;YEAR(I389),'[1]Detalle C-Fecha'!$D$2:$E$15921,2,FALSE)</f>
        <v>CCU_MZA - Comp. Cerv. Unidas - MZA</v>
      </c>
    </row>
    <row r="390" spans="1:19" x14ac:dyDescent="0.3">
      <c r="A390">
        <v>30301</v>
      </c>
      <c r="B390" t="s">
        <v>28</v>
      </c>
      <c r="C390" t="s">
        <v>15</v>
      </c>
      <c r="D390" t="s">
        <v>16</v>
      </c>
      <c r="E390" t="s">
        <v>53</v>
      </c>
      <c r="F390" s="6" t="str">
        <f t="shared" si="6"/>
        <v>3MC</v>
      </c>
      <c r="G390" s="11">
        <v>46091</v>
      </c>
      <c r="H390" s="12">
        <v>0.41736111111111113</v>
      </c>
      <c r="I390" s="11">
        <v>46091</v>
      </c>
      <c r="J390" s="1">
        <v>46091</v>
      </c>
      <c r="K390" s="1">
        <v>46091</v>
      </c>
      <c r="L390" t="s">
        <v>159</v>
      </c>
      <c r="M390" t="s">
        <v>155</v>
      </c>
      <c r="N390" t="s">
        <v>17</v>
      </c>
      <c r="O390" t="s">
        <v>24</v>
      </c>
      <c r="P390">
        <v>26053</v>
      </c>
      <c r="Q390" t="s">
        <v>19</v>
      </c>
      <c r="R390">
        <v>38494</v>
      </c>
      <c r="S390" t="str">
        <f>VLOOKUP(L390&amp;TEXT(I390,"mmmm")&amp;YEAR(I390),'[1]Detalle C-Fecha'!$D$2:$E$15921,2,FALSE)</f>
        <v>CCU_MZA - Comp. Cerv. Unidas - MZA</v>
      </c>
    </row>
    <row r="391" spans="1:19" x14ac:dyDescent="0.3">
      <c r="A391">
        <v>30301</v>
      </c>
      <c r="B391" t="s">
        <v>28</v>
      </c>
      <c r="C391" t="s">
        <v>15</v>
      </c>
      <c r="D391" t="s">
        <v>16</v>
      </c>
      <c r="E391" t="s">
        <v>53</v>
      </c>
      <c r="F391" s="6" t="str">
        <f t="shared" si="6"/>
        <v>3MC</v>
      </c>
      <c r="G391" s="11">
        <v>46091</v>
      </c>
      <c r="H391" s="12">
        <v>0.41736111111111113</v>
      </c>
      <c r="I391" s="11">
        <v>46091</v>
      </c>
      <c r="J391" s="1">
        <v>46091</v>
      </c>
      <c r="K391" s="1">
        <v>46091</v>
      </c>
      <c r="L391" t="s">
        <v>159</v>
      </c>
      <c r="M391" t="s">
        <v>155</v>
      </c>
      <c r="N391" t="s">
        <v>17</v>
      </c>
      <c r="O391" t="s">
        <v>24</v>
      </c>
      <c r="P391">
        <v>26053</v>
      </c>
      <c r="Q391" t="s">
        <v>19</v>
      </c>
      <c r="R391">
        <v>38495</v>
      </c>
      <c r="S391" t="str">
        <f>VLOOKUP(L391&amp;TEXT(I391,"mmmm")&amp;YEAR(I391),'[1]Detalle C-Fecha'!$D$2:$E$15921,2,FALSE)</f>
        <v>CCU_MZA - Comp. Cerv. Unidas - MZA</v>
      </c>
    </row>
    <row r="392" spans="1:19" x14ac:dyDescent="0.3">
      <c r="A392">
        <v>30302</v>
      </c>
      <c r="B392" t="s">
        <v>28</v>
      </c>
      <c r="C392" t="s">
        <v>15</v>
      </c>
      <c r="D392" t="s">
        <v>16</v>
      </c>
      <c r="E392" t="s">
        <v>111</v>
      </c>
      <c r="F392" s="6" t="str">
        <f t="shared" si="6"/>
        <v>6MC</v>
      </c>
      <c r="G392" s="11">
        <v>46091</v>
      </c>
      <c r="H392" s="12">
        <v>0.41736111111111113</v>
      </c>
      <c r="I392" s="11">
        <v>46091</v>
      </c>
      <c r="J392" s="1">
        <v>46091</v>
      </c>
      <c r="K392" s="1">
        <v>46091</v>
      </c>
      <c r="L392" t="s">
        <v>159</v>
      </c>
      <c r="M392" t="s">
        <v>155</v>
      </c>
      <c r="N392" t="s">
        <v>17</v>
      </c>
      <c r="O392" t="s">
        <v>24</v>
      </c>
      <c r="P392">
        <v>26055</v>
      </c>
      <c r="Q392" t="s">
        <v>19</v>
      </c>
      <c r="R392">
        <v>38496</v>
      </c>
      <c r="S392" t="str">
        <f>VLOOKUP(L392&amp;TEXT(I392,"mmmm")&amp;YEAR(I392),'[1]Detalle C-Fecha'!$D$2:$E$15921,2,FALSE)</f>
        <v>CCU_MZA - Comp. Cerv. Unidas - MZA</v>
      </c>
    </row>
    <row r="393" spans="1:19" x14ac:dyDescent="0.3">
      <c r="A393">
        <v>30302</v>
      </c>
      <c r="B393" t="s">
        <v>28</v>
      </c>
      <c r="C393" t="s">
        <v>15</v>
      </c>
      <c r="D393" t="s">
        <v>16</v>
      </c>
      <c r="E393" t="s">
        <v>111</v>
      </c>
      <c r="F393" s="6" t="str">
        <f t="shared" si="6"/>
        <v>6MC</v>
      </c>
      <c r="G393" s="11">
        <v>46091</v>
      </c>
      <c r="H393" s="12">
        <v>0.41736111111111113</v>
      </c>
      <c r="I393" s="11">
        <v>46091</v>
      </c>
      <c r="J393" s="1">
        <v>46091</v>
      </c>
      <c r="K393" s="1">
        <v>46091</v>
      </c>
      <c r="L393" t="s">
        <v>159</v>
      </c>
      <c r="M393" t="s">
        <v>155</v>
      </c>
      <c r="N393" t="s">
        <v>17</v>
      </c>
      <c r="O393" t="s">
        <v>24</v>
      </c>
      <c r="P393">
        <v>26055</v>
      </c>
      <c r="Q393" t="s">
        <v>19</v>
      </c>
      <c r="R393">
        <v>38497</v>
      </c>
      <c r="S393" t="str">
        <f>VLOOKUP(L393&amp;TEXT(I393,"mmmm")&amp;YEAR(I393),'[1]Detalle C-Fecha'!$D$2:$E$15921,2,FALSE)</f>
        <v>CCU_MZA - Comp. Cerv. Unidas - MZA</v>
      </c>
    </row>
    <row r="394" spans="1:19" x14ac:dyDescent="0.3">
      <c r="A394">
        <v>30426</v>
      </c>
      <c r="B394" t="s">
        <v>28</v>
      </c>
      <c r="C394" t="s">
        <v>15</v>
      </c>
      <c r="D394" t="s">
        <v>16</v>
      </c>
      <c r="E394" t="s">
        <v>108</v>
      </c>
      <c r="F394" s="6" t="str">
        <f t="shared" si="6"/>
        <v>2MU</v>
      </c>
      <c r="G394" s="11">
        <v>46091</v>
      </c>
      <c r="H394" s="12">
        <v>0.63263888888888886</v>
      </c>
      <c r="I394" s="11">
        <v>46091</v>
      </c>
      <c r="J394" s="1">
        <v>46091</v>
      </c>
      <c r="K394" s="1">
        <v>46091</v>
      </c>
      <c r="L394" t="s">
        <v>160</v>
      </c>
      <c r="M394" t="s">
        <v>161</v>
      </c>
      <c r="N394" t="s">
        <v>17</v>
      </c>
      <c r="O394" t="s">
        <v>25</v>
      </c>
      <c r="P394">
        <v>26088</v>
      </c>
      <c r="Q394" t="s">
        <v>19</v>
      </c>
      <c r="R394">
        <v>38508</v>
      </c>
      <c r="S394" t="str">
        <f>VLOOKUP(L394&amp;TEXT(I394,"mmmm")&amp;YEAR(I394),'[1]Detalle C-Fecha'!$D$2:$E$15921,2,FALSE)</f>
        <v>SUC_MEN - Sucursal Mendoza</v>
      </c>
    </row>
    <row r="395" spans="1:19" x14ac:dyDescent="0.3">
      <c r="A395">
        <v>30426</v>
      </c>
      <c r="B395" t="s">
        <v>28</v>
      </c>
      <c r="C395" t="s">
        <v>15</v>
      </c>
      <c r="D395" t="s">
        <v>16</v>
      </c>
      <c r="E395" t="s">
        <v>108</v>
      </c>
      <c r="F395" s="6" t="str">
        <f t="shared" si="6"/>
        <v>2MU</v>
      </c>
      <c r="G395" s="11">
        <v>46091</v>
      </c>
      <c r="H395" s="12">
        <v>0.63263888888888886</v>
      </c>
      <c r="I395" s="11">
        <v>46091</v>
      </c>
      <c r="J395" s="1">
        <v>46091</v>
      </c>
      <c r="K395" s="1">
        <v>46091</v>
      </c>
      <c r="L395" t="s">
        <v>160</v>
      </c>
      <c r="M395" t="s">
        <v>161</v>
      </c>
      <c r="N395" t="s">
        <v>17</v>
      </c>
      <c r="O395" t="s">
        <v>25</v>
      </c>
      <c r="P395">
        <v>26088</v>
      </c>
      <c r="Q395" t="s">
        <v>19</v>
      </c>
      <c r="R395">
        <v>38509</v>
      </c>
      <c r="S395" t="str">
        <f>VLOOKUP(L395&amp;TEXT(I395,"mmmm")&amp;YEAR(I395),'[1]Detalle C-Fecha'!$D$2:$E$15921,2,FALSE)</f>
        <v>SUC_MEN - Sucursal Mendoza</v>
      </c>
    </row>
    <row r="396" spans="1:19" x14ac:dyDescent="0.3">
      <c r="A396">
        <v>30427</v>
      </c>
      <c r="B396" t="s">
        <v>28</v>
      </c>
      <c r="C396" t="s">
        <v>15</v>
      </c>
      <c r="D396" t="s">
        <v>16</v>
      </c>
      <c r="E396" t="s">
        <v>109</v>
      </c>
      <c r="F396" s="6" t="str">
        <f t="shared" si="6"/>
        <v>3MU</v>
      </c>
      <c r="G396" s="11">
        <v>46091</v>
      </c>
      <c r="H396" s="12">
        <v>0.63263888888888886</v>
      </c>
      <c r="I396" s="11">
        <v>46091</v>
      </c>
      <c r="J396" s="1">
        <v>46091</v>
      </c>
      <c r="K396" s="1">
        <v>46091</v>
      </c>
      <c r="L396" t="s">
        <v>160</v>
      </c>
      <c r="M396" t="s">
        <v>161</v>
      </c>
      <c r="N396" t="s">
        <v>17</v>
      </c>
      <c r="O396" t="s">
        <v>25</v>
      </c>
      <c r="P396">
        <v>26089</v>
      </c>
      <c r="Q396" t="s">
        <v>19</v>
      </c>
      <c r="R396">
        <v>38510</v>
      </c>
      <c r="S396" t="str">
        <f>VLOOKUP(L396&amp;TEXT(I396,"mmmm")&amp;YEAR(I396),'[1]Detalle C-Fecha'!$D$2:$E$15921,2,FALSE)</f>
        <v>SUC_MEN - Sucursal Mendoza</v>
      </c>
    </row>
    <row r="397" spans="1:19" x14ac:dyDescent="0.3">
      <c r="A397">
        <v>30427</v>
      </c>
      <c r="B397" t="s">
        <v>28</v>
      </c>
      <c r="C397" t="s">
        <v>15</v>
      </c>
      <c r="D397" t="s">
        <v>16</v>
      </c>
      <c r="E397" t="s">
        <v>109</v>
      </c>
      <c r="F397" s="6" t="str">
        <f t="shared" si="6"/>
        <v>3MU</v>
      </c>
      <c r="G397" s="11">
        <v>46091</v>
      </c>
      <c r="H397" s="12">
        <v>0.63263888888888886</v>
      </c>
      <c r="I397" s="11">
        <v>46091</v>
      </c>
      <c r="J397" s="1">
        <v>46091</v>
      </c>
      <c r="K397" s="1">
        <v>46091</v>
      </c>
      <c r="L397" t="s">
        <v>160</v>
      </c>
      <c r="M397" t="s">
        <v>161</v>
      </c>
      <c r="N397" t="s">
        <v>17</v>
      </c>
      <c r="O397" t="s">
        <v>25</v>
      </c>
      <c r="P397">
        <v>26089</v>
      </c>
      <c r="Q397" t="s">
        <v>19</v>
      </c>
      <c r="R397">
        <v>38511</v>
      </c>
      <c r="S397" t="str">
        <f>VLOOKUP(L397&amp;TEXT(I397,"mmmm")&amp;YEAR(I397),'[1]Detalle C-Fecha'!$D$2:$E$15921,2,FALSE)</f>
        <v>SUC_MEN - Sucursal Mendoza</v>
      </c>
    </row>
    <row r="398" spans="1:19" x14ac:dyDescent="0.3">
      <c r="A398">
        <v>30428</v>
      </c>
      <c r="B398" t="s">
        <v>28</v>
      </c>
      <c r="C398" t="s">
        <v>15</v>
      </c>
      <c r="D398" t="s">
        <v>16</v>
      </c>
      <c r="E398" t="s">
        <v>107</v>
      </c>
      <c r="F398" s="6" t="str">
        <f t="shared" si="6"/>
        <v>4MU</v>
      </c>
      <c r="G398" s="11">
        <v>46091</v>
      </c>
      <c r="H398" s="12">
        <v>0.63263888888888886</v>
      </c>
      <c r="I398" s="11">
        <v>46091</v>
      </c>
      <c r="J398" s="1">
        <v>46091</v>
      </c>
      <c r="K398" s="1">
        <v>46091</v>
      </c>
      <c r="L398" t="s">
        <v>160</v>
      </c>
      <c r="M398" t="s">
        <v>161</v>
      </c>
      <c r="N398" t="s">
        <v>17</v>
      </c>
      <c r="O398" t="s">
        <v>25</v>
      </c>
      <c r="P398">
        <v>26090</v>
      </c>
      <c r="Q398" t="s">
        <v>19</v>
      </c>
      <c r="R398">
        <v>38512</v>
      </c>
      <c r="S398" t="str">
        <f>VLOOKUP(L398&amp;TEXT(I398,"mmmm")&amp;YEAR(I398),'[1]Detalle C-Fecha'!$D$2:$E$15921,2,FALSE)</f>
        <v>SUC_MEN - Sucursal Mendoza</v>
      </c>
    </row>
    <row r="399" spans="1:19" x14ac:dyDescent="0.3">
      <c r="A399">
        <v>30428</v>
      </c>
      <c r="B399" t="s">
        <v>28</v>
      </c>
      <c r="C399" t="s">
        <v>15</v>
      </c>
      <c r="D399" t="s">
        <v>16</v>
      </c>
      <c r="E399" t="s">
        <v>107</v>
      </c>
      <c r="F399" s="6" t="str">
        <f t="shared" si="6"/>
        <v>4MU</v>
      </c>
      <c r="G399" s="11">
        <v>46091</v>
      </c>
      <c r="H399" s="12">
        <v>0.63263888888888886</v>
      </c>
      <c r="I399" s="11">
        <v>46091</v>
      </c>
      <c r="J399" s="1">
        <v>46091</v>
      </c>
      <c r="K399" s="1">
        <v>46091</v>
      </c>
      <c r="L399" t="s">
        <v>160</v>
      </c>
      <c r="M399" t="s">
        <v>161</v>
      </c>
      <c r="N399" t="s">
        <v>17</v>
      </c>
      <c r="O399" t="s">
        <v>25</v>
      </c>
      <c r="P399">
        <v>26090</v>
      </c>
      <c r="Q399" t="s">
        <v>19</v>
      </c>
      <c r="R399">
        <v>38513</v>
      </c>
      <c r="S399" t="str">
        <f>VLOOKUP(L399&amp;TEXT(I399,"mmmm")&amp;YEAR(I399),'[1]Detalle C-Fecha'!$D$2:$E$15921,2,FALSE)</f>
        <v>SUC_MEN - Sucursal Mendoza</v>
      </c>
    </row>
    <row r="400" spans="1:19" x14ac:dyDescent="0.3">
      <c r="A400">
        <v>30518</v>
      </c>
      <c r="B400" t="s">
        <v>28</v>
      </c>
      <c r="C400" t="s">
        <v>15</v>
      </c>
      <c r="D400" t="s">
        <v>16</v>
      </c>
      <c r="E400" t="s">
        <v>121</v>
      </c>
      <c r="F400" s="6" t="str">
        <f t="shared" si="6"/>
        <v>2MC</v>
      </c>
      <c r="G400" s="11">
        <v>46093</v>
      </c>
      <c r="H400" s="12">
        <v>0.51944444444444449</v>
      </c>
      <c r="I400" s="11">
        <v>46092</v>
      </c>
      <c r="J400" s="1">
        <v>46092</v>
      </c>
      <c r="K400" s="1">
        <v>46113</v>
      </c>
      <c r="L400" t="s">
        <v>162</v>
      </c>
      <c r="M400" t="s">
        <v>163</v>
      </c>
      <c r="N400" t="s">
        <v>21</v>
      </c>
      <c r="O400" t="s">
        <v>24</v>
      </c>
      <c r="P400">
        <v>26161</v>
      </c>
      <c r="Q400" t="s">
        <v>19</v>
      </c>
      <c r="R400">
        <v>38765</v>
      </c>
      <c r="S400" t="str">
        <f>VLOOKUP(L400&amp;TEXT(I400,"mmmm")&amp;YEAR(I400),'[1]Detalle C-Fecha'!$D$2:$E$15921,2,FALSE)</f>
        <v>CCUDyAZA</v>
      </c>
    </row>
    <row r="401" spans="1:19" x14ac:dyDescent="0.3">
      <c r="A401">
        <v>30518</v>
      </c>
      <c r="B401" t="s">
        <v>28</v>
      </c>
      <c r="C401" t="s">
        <v>15</v>
      </c>
      <c r="D401" t="s">
        <v>16</v>
      </c>
      <c r="E401" t="s">
        <v>121</v>
      </c>
      <c r="F401" s="6" t="str">
        <f t="shared" si="6"/>
        <v>2MC</v>
      </c>
      <c r="G401" s="11">
        <v>46093</v>
      </c>
      <c r="H401" s="12">
        <v>0.51944444444444449</v>
      </c>
      <c r="I401" s="11">
        <v>46092</v>
      </c>
      <c r="J401" s="1">
        <v>46092</v>
      </c>
      <c r="K401" s="1">
        <v>46113</v>
      </c>
      <c r="L401" t="s">
        <v>162</v>
      </c>
      <c r="M401" t="s">
        <v>163</v>
      </c>
      <c r="N401" t="s">
        <v>21</v>
      </c>
      <c r="O401" t="s">
        <v>24</v>
      </c>
      <c r="P401">
        <v>26161</v>
      </c>
      <c r="Q401" t="s">
        <v>19</v>
      </c>
      <c r="R401">
        <v>38936</v>
      </c>
      <c r="S401" t="str">
        <f>VLOOKUP(L401&amp;TEXT(I401,"mmmm")&amp;YEAR(I401),'[1]Detalle C-Fecha'!$D$2:$E$15921,2,FALSE)</f>
        <v>CCUDyAZA</v>
      </c>
    </row>
    <row r="402" spans="1:19" x14ac:dyDescent="0.3">
      <c r="A402">
        <v>30519</v>
      </c>
      <c r="B402" t="s">
        <v>28</v>
      </c>
      <c r="C402" t="s">
        <v>15</v>
      </c>
      <c r="D402" t="s">
        <v>16</v>
      </c>
      <c r="E402" t="s">
        <v>53</v>
      </c>
      <c r="F402" s="6" t="str">
        <f t="shared" si="6"/>
        <v>3MC</v>
      </c>
      <c r="G402" s="11">
        <v>46093</v>
      </c>
      <c r="H402" s="12">
        <v>0.51944444444444449</v>
      </c>
      <c r="I402" s="11">
        <v>46092</v>
      </c>
      <c r="J402" s="1">
        <v>46092</v>
      </c>
      <c r="K402" s="1">
        <v>46113</v>
      </c>
      <c r="L402" t="s">
        <v>162</v>
      </c>
      <c r="M402" t="s">
        <v>163</v>
      </c>
      <c r="N402" t="s">
        <v>21</v>
      </c>
      <c r="O402" t="s">
        <v>24</v>
      </c>
      <c r="P402">
        <v>26162</v>
      </c>
      <c r="Q402" t="s">
        <v>19</v>
      </c>
      <c r="R402">
        <v>38766</v>
      </c>
      <c r="S402" t="str">
        <f>VLOOKUP(L402&amp;TEXT(I402,"mmmm")&amp;YEAR(I402),'[1]Detalle C-Fecha'!$D$2:$E$15921,2,FALSE)</f>
        <v>CCUDyAZA</v>
      </c>
    </row>
    <row r="403" spans="1:19" x14ac:dyDescent="0.3">
      <c r="A403">
        <v>30519</v>
      </c>
      <c r="B403" t="s">
        <v>28</v>
      </c>
      <c r="C403" t="s">
        <v>15</v>
      </c>
      <c r="D403" t="s">
        <v>16</v>
      </c>
      <c r="E403" t="s">
        <v>53</v>
      </c>
      <c r="F403" s="6" t="str">
        <f t="shared" si="6"/>
        <v>3MC</v>
      </c>
      <c r="G403" s="11">
        <v>46093</v>
      </c>
      <c r="H403" s="12">
        <v>0.51944444444444449</v>
      </c>
      <c r="I403" s="11">
        <v>46092</v>
      </c>
      <c r="J403" s="1">
        <v>46092</v>
      </c>
      <c r="K403" s="1">
        <v>46113</v>
      </c>
      <c r="L403" t="s">
        <v>162</v>
      </c>
      <c r="M403" t="s">
        <v>163</v>
      </c>
      <c r="N403" t="s">
        <v>21</v>
      </c>
      <c r="O403" t="s">
        <v>24</v>
      </c>
      <c r="P403">
        <v>26162</v>
      </c>
      <c r="Q403" t="s">
        <v>19</v>
      </c>
      <c r="R403">
        <v>38936</v>
      </c>
      <c r="S403" t="str">
        <f>VLOOKUP(L403&amp;TEXT(I403,"mmmm")&amp;YEAR(I403),'[1]Detalle C-Fecha'!$D$2:$E$15921,2,FALSE)</f>
        <v>CCUDyAZA</v>
      </c>
    </row>
    <row r="404" spans="1:19" x14ac:dyDescent="0.3">
      <c r="A404">
        <v>30520</v>
      </c>
      <c r="B404" t="s">
        <v>28</v>
      </c>
      <c r="C404" t="s">
        <v>15</v>
      </c>
      <c r="D404" t="s">
        <v>16</v>
      </c>
      <c r="E404" t="s">
        <v>112</v>
      </c>
      <c r="F404" s="6" t="str">
        <f t="shared" si="6"/>
        <v>6MC</v>
      </c>
      <c r="G404" s="11">
        <v>46093</v>
      </c>
      <c r="H404" s="12">
        <v>0.51944444444444449</v>
      </c>
      <c r="I404" s="11">
        <v>46092</v>
      </c>
      <c r="J404" s="1">
        <v>46092</v>
      </c>
      <c r="K404" s="1">
        <v>46113</v>
      </c>
      <c r="L404" t="s">
        <v>162</v>
      </c>
      <c r="M404" t="s">
        <v>163</v>
      </c>
      <c r="N404" t="s">
        <v>21</v>
      </c>
      <c r="O404" t="s">
        <v>24</v>
      </c>
      <c r="P404">
        <v>26163</v>
      </c>
      <c r="Q404" t="s">
        <v>19</v>
      </c>
      <c r="R404">
        <v>38767</v>
      </c>
      <c r="S404" t="str">
        <f>VLOOKUP(L404&amp;TEXT(I404,"mmmm")&amp;YEAR(I404),'[1]Detalle C-Fecha'!$D$2:$E$15921,2,FALSE)</f>
        <v>CCUDyAZA</v>
      </c>
    </row>
    <row r="405" spans="1:19" x14ac:dyDescent="0.3">
      <c r="A405">
        <v>30520</v>
      </c>
      <c r="B405" t="s">
        <v>28</v>
      </c>
      <c r="C405" t="s">
        <v>15</v>
      </c>
      <c r="D405" t="s">
        <v>16</v>
      </c>
      <c r="E405" t="s">
        <v>112</v>
      </c>
      <c r="F405" s="6" t="str">
        <f t="shared" si="6"/>
        <v>6MC</v>
      </c>
      <c r="G405" s="11">
        <v>46093</v>
      </c>
      <c r="H405" s="12">
        <v>0.51944444444444449</v>
      </c>
      <c r="I405" s="11">
        <v>46092</v>
      </c>
      <c r="J405" s="1">
        <v>46092</v>
      </c>
      <c r="K405" s="1">
        <v>46113</v>
      </c>
      <c r="L405" t="s">
        <v>162</v>
      </c>
      <c r="M405" t="s">
        <v>163</v>
      </c>
      <c r="N405" t="s">
        <v>21</v>
      </c>
      <c r="O405" t="s">
        <v>24</v>
      </c>
      <c r="P405">
        <v>26163</v>
      </c>
      <c r="Q405" t="s">
        <v>19</v>
      </c>
      <c r="R405">
        <v>38936</v>
      </c>
      <c r="S405" t="str">
        <f>VLOOKUP(L405&amp;TEXT(I405,"mmmm")&amp;YEAR(I405),'[1]Detalle C-Fecha'!$D$2:$E$15921,2,FALSE)</f>
        <v>CCUDyAZA</v>
      </c>
    </row>
    <row r="406" spans="1:19" x14ac:dyDescent="0.3">
      <c r="A406">
        <v>30521</v>
      </c>
      <c r="B406" t="s">
        <v>28</v>
      </c>
      <c r="C406" t="s">
        <v>15</v>
      </c>
      <c r="D406" t="s">
        <v>16</v>
      </c>
      <c r="E406" t="s">
        <v>113</v>
      </c>
      <c r="F406" s="6" t="str">
        <f t="shared" si="6"/>
        <v>2MC</v>
      </c>
      <c r="G406" s="11">
        <v>46093</v>
      </c>
      <c r="H406" s="12">
        <v>0.51944444444444449</v>
      </c>
      <c r="I406" s="11">
        <v>46092</v>
      </c>
      <c r="J406" s="1">
        <v>46092</v>
      </c>
      <c r="K406" s="1">
        <v>46113</v>
      </c>
      <c r="L406" t="s">
        <v>164</v>
      </c>
      <c r="M406" t="s">
        <v>128</v>
      </c>
      <c r="N406" t="s">
        <v>21</v>
      </c>
      <c r="O406" t="s">
        <v>18</v>
      </c>
      <c r="P406">
        <v>26164</v>
      </c>
      <c r="Q406" t="s">
        <v>19</v>
      </c>
      <c r="R406">
        <v>38768</v>
      </c>
      <c r="S406" t="str">
        <f>VLOOKUP(L406&amp;TEXT(I406,"mmmm")&amp;YEAR(I406),'[1]Detalle C-Fecha'!$D$2:$E$15921,2,FALSE)</f>
        <v>CMQ_TTE - QUILMES TTE</v>
      </c>
    </row>
    <row r="407" spans="1:19" x14ac:dyDescent="0.3">
      <c r="A407">
        <v>30521</v>
      </c>
      <c r="B407" t="s">
        <v>28</v>
      </c>
      <c r="C407" t="s">
        <v>15</v>
      </c>
      <c r="D407" t="s">
        <v>16</v>
      </c>
      <c r="E407" t="s">
        <v>113</v>
      </c>
      <c r="F407" s="6" t="str">
        <f t="shared" si="6"/>
        <v>2MC</v>
      </c>
      <c r="G407" s="11">
        <v>46093</v>
      </c>
      <c r="H407" s="12">
        <v>0.51944444444444449</v>
      </c>
      <c r="I407" s="11">
        <v>46092</v>
      </c>
      <c r="J407" s="1">
        <v>46092</v>
      </c>
      <c r="K407" s="1">
        <v>46113</v>
      </c>
      <c r="L407" t="s">
        <v>164</v>
      </c>
      <c r="M407" t="s">
        <v>128</v>
      </c>
      <c r="N407" t="s">
        <v>21</v>
      </c>
      <c r="O407" t="s">
        <v>18</v>
      </c>
      <c r="P407">
        <v>26164</v>
      </c>
      <c r="Q407" t="s">
        <v>19</v>
      </c>
      <c r="R407">
        <v>38934</v>
      </c>
      <c r="S407" t="str">
        <f>VLOOKUP(L407&amp;TEXT(I407,"mmmm")&amp;YEAR(I407),'[1]Detalle C-Fecha'!$D$2:$E$15921,2,FALSE)</f>
        <v>CMQ_TTE - QUILMES TTE</v>
      </c>
    </row>
    <row r="408" spans="1:19" x14ac:dyDescent="0.3">
      <c r="A408">
        <v>30522</v>
      </c>
      <c r="B408" t="s">
        <v>28</v>
      </c>
      <c r="C408" t="s">
        <v>15</v>
      </c>
      <c r="D408" t="s">
        <v>16</v>
      </c>
      <c r="E408" t="s">
        <v>122</v>
      </c>
      <c r="F408" s="6" t="str">
        <f t="shared" si="6"/>
        <v>3MC</v>
      </c>
      <c r="G408" s="11">
        <v>46093</v>
      </c>
      <c r="H408" s="12">
        <v>0.51944444444444449</v>
      </c>
      <c r="I408" s="11">
        <v>46092</v>
      </c>
      <c r="J408" s="1">
        <v>46092</v>
      </c>
      <c r="K408" s="1">
        <v>46113</v>
      </c>
      <c r="L408" t="s">
        <v>164</v>
      </c>
      <c r="M408" t="s">
        <v>128</v>
      </c>
      <c r="N408" t="s">
        <v>21</v>
      </c>
      <c r="O408" t="s">
        <v>18</v>
      </c>
      <c r="P408">
        <v>26165</v>
      </c>
      <c r="Q408" t="s">
        <v>19</v>
      </c>
      <c r="R408">
        <v>38769</v>
      </c>
      <c r="S408" t="str">
        <f>VLOOKUP(L408&amp;TEXT(I408,"mmmm")&amp;YEAR(I408),'[1]Detalle C-Fecha'!$D$2:$E$15921,2,FALSE)</f>
        <v>CMQ_TTE - QUILMES TTE</v>
      </c>
    </row>
    <row r="409" spans="1:19" x14ac:dyDescent="0.3">
      <c r="A409">
        <v>30522</v>
      </c>
      <c r="B409" t="s">
        <v>28</v>
      </c>
      <c r="C409" t="s">
        <v>15</v>
      </c>
      <c r="D409" t="s">
        <v>16</v>
      </c>
      <c r="E409" t="s">
        <v>122</v>
      </c>
      <c r="F409" s="6" t="str">
        <f t="shared" si="6"/>
        <v>3MC</v>
      </c>
      <c r="G409" s="11">
        <v>46093</v>
      </c>
      <c r="H409" s="12">
        <v>0.51944444444444449</v>
      </c>
      <c r="I409" s="11">
        <v>46092</v>
      </c>
      <c r="J409" s="1">
        <v>46092</v>
      </c>
      <c r="K409" s="1">
        <v>46113</v>
      </c>
      <c r="L409" t="s">
        <v>164</v>
      </c>
      <c r="M409" t="s">
        <v>128</v>
      </c>
      <c r="N409" t="s">
        <v>21</v>
      </c>
      <c r="O409" t="s">
        <v>18</v>
      </c>
      <c r="P409">
        <v>26165</v>
      </c>
      <c r="Q409" t="s">
        <v>19</v>
      </c>
      <c r="R409">
        <v>38934</v>
      </c>
      <c r="S409" t="str">
        <f>VLOOKUP(L409&amp;TEXT(I409,"mmmm")&amp;YEAR(I409),'[1]Detalle C-Fecha'!$D$2:$E$15921,2,FALSE)</f>
        <v>CMQ_TTE - QUILMES TTE</v>
      </c>
    </row>
    <row r="410" spans="1:19" x14ac:dyDescent="0.3">
      <c r="A410">
        <v>30523</v>
      </c>
      <c r="B410" t="s">
        <v>28</v>
      </c>
      <c r="C410" t="s">
        <v>15</v>
      </c>
      <c r="D410" t="s">
        <v>16</v>
      </c>
      <c r="E410" t="s">
        <v>114</v>
      </c>
      <c r="F410" s="6" t="str">
        <f t="shared" si="6"/>
        <v>6MC</v>
      </c>
      <c r="G410" s="11">
        <v>46093</v>
      </c>
      <c r="H410" s="12">
        <v>0.51944444444444449</v>
      </c>
      <c r="I410" s="11">
        <v>46092</v>
      </c>
      <c r="J410" s="1">
        <v>46092</v>
      </c>
      <c r="K410" s="1">
        <v>46113</v>
      </c>
      <c r="L410" t="s">
        <v>164</v>
      </c>
      <c r="M410" t="s">
        <v>128</v>
      </c>
      <c r="N410" t="s">
        <v>21</v>
      </c>
      <c r="O410" t="s">
        <v>18</v>
      </c>
      <c r="P410">
        <v>26166</v>
      </c>
      <c r="Q410" t="s">
        <v>19</v>
      </c>
      <c r="R410">
        <v>38770</v>
      </c>
      <c r="S410" t="str">
        <f>VLOOKUP(L410&amp;TEXT(I410,"mmmm")&amp;YEAR(I410),'[1]Detalle C-Fecha'!$D$2:$E$15921,2,FALSE)</f>
        <v>CMQ_TTE - QUILMES TTE</v>
      </c>
    </row>
    <row r="411" spans="1:19" x14ac:dyDescent="0.3">
      <c r="A411">
        <v>30523</v>
      </c>
      <c r="B411" t="s">
        <v>28</v>
      </c>
      <c r="C411" t="s">
        <v>15</v>
      </c>
      <c r="D411" t="s">
        <v>16</v>
      </c>
      <c r="E411" t="s">
        <v>114</v>
      </c>
      <c r="F411" s="6" t="str">
        <f t="shared" si="6"/>
        <v>6MC</v>
      </c>
      <c r="G411" s="11">
        <v>46093</v>
      </c>
      <c r="H411" s="12">
        <v>0.51944444444444449</v>
      </c>
      <c r="I411" s="11">
        <v>46092</v>
      </c>
      <c r="J411" s="1">
        <v>46092</v>
      </c>
      <c r="K411" s="1">
        <v>46113</v>
      </c>
      <c r="L411" t="s">
        <v>164</v>
      </c>
      <c r="M411" t="s">
        <v>128</v>
      </c>
      <c r="N411" t="s">
        <v>21</v>
      </c>
      <c r="O411" t="s">
        <v>18</v>
      </c>
      <c r="P411">
        <v>26166</v>
      </c>
      <c r="Q411" t="s">
        <v>19</v>
      </c>
      <c r="R411">
        <v>38934</v>
      </c>
      <c r="S411" t="str">
        <f>VLOOKUP(L411&amp;TEXT(I411,"mmmm")&amp;YEAR(I411),'[1]Detalle C-Fecha'!$D$2:$E$15921,2,FALSE)</f>
        <v>CMQ_TTE - QUILMES TTE</v>
      </c>
    </row>
    <row r="412" spans="1:19" x14ac:dyDescent="0.3">
      <c r="A412">
        <v>30540</v>
      </c>
      <c r="B412" t="s">
        <v>28</v>
      </c>
      <c r="C412" t="s">
        <v>15</v>
      </c>
      <c r="D412" t="s">
        <v>16</v>
      </c>
      <c r="E412" t="s">
        <v>118</v>
      </c>
      <c r="F412" s="6" t="str">
        <f t="shared" si="6"/>
        <v>2ML</v>
      </c>
      <c r="G412" s="11">
        <v>46094</v>
      </c>
      <c r="H412" s="12">
        <v>0.32916666666666666</v>
      </c>
      <c r="I412" s="11">
        <v>46094</v>
      </c>
      <c r="J412" s="1">
        <v>46094</v>
      </c>
      <c r="K412" s="1">
        <v>46099</v>
      </c>
      <c r="L412" t="s">
        <v>165</v>
      </c>
      <c r="M412" t="s">
        <v>142</v>
      </c>
      <c r="N412" t="s">
        <v>21</v>
      </c>
      <c r="O412" t="s">
        <v>25</v>
      </c>
      <c r="P412">
        <v>26180</v>
      </c>
      <c r="Q412" t="s">
        <v>19</v>
      </c>
      <c r="R412">
        <v>37950</v>
      </c>
      <c r="S412" t="str">
        <f>VLOOKUP(L412&amp;TEXT(I412,"mmmm")&amp;YEAR(I412),'[1]Detalle C-Fecha'!$D$2:$E$15921,2,FALSE)</f>
        <v>Expreso - Servicios Troncales</v>
      </c>
    </row>
    <row r="413" spans="1:19" x14ac:dyDescent="0.3">
      <c r="A413">
        <v>30540</v>
      </c>
      <c r="B413" t="s">
        <v>28</v>
      </c>
      <c r="C413" t="s">
        <v>15</v>
      </c>
      <c r="D413" t="s">
        <v>16</v>
      </c>
      <c r="E413" t="s">
        <v>118</v>
      </c>
      <c r="F413" s="6" t="str">
        <f t="shared" si="6"/>
        <v>2ML</v>
      </c>
      <c r="G413" s="11">
        <v>46094</v>
      </c>
      <c r="H413" s="12">
        <v>0.32916666666666666</v>
      </c>
      <c r="I413" s="11">
        <v>46094</v>
      </c>
      <c r="J413" s="1">
        <v>46094</v>
      </c>
      <c r="K413" s="1">
        <v>46099</v>
      </c>
      <c r="L413" t="s">
        <v>165</v>
      </c>
      <c r="M413" t="s">
        <v>142</v>
      </c>
      <c r="N413" t="s">
        <v>21</v>
      </c>
      <c r="O413" t="s">
        <v>25</v>
      </c>
      <c r="P413">
        <v>26180</v>
      </c>
      <c r="Q413" t="s">
        <v>19</v>
      </c>
      <c r="R413">
        <v>37971</v>
      </c>
      <c r="S413" t="str">
        <f>VLOOKUP(L413&amp;TEXT(I413,"mmmm")&amp;YEAR(I413),'[1]Detalle C-Fecha'!$D$2:$E$15921,2,FALSE)</f>
        <v>Expreso - Servicios Troncales</v>
      </c>
    </row>
    <row r="414" spans="1:19" x14ac:dyDescent="0.3">
      <c r="A414">
        <v>30541</v>
      </c>
      <c r="B414" t="s">
        <v>28</v>
      </c>
      <c r="C414" t="s">
        <v>15</v>
      </c>
      <c r="D414" t="s">
        <v>16</v>
      </c>
      <c r="E414" t="s">
        <v>119</v>
      </c>
      <c r="F414" s="6" t="str">
        <f t="shared" si="6"/>
        <v>3ML</v>
      </c>
      <c r="G414" s="11">
        <v>46094</v>
      </c>
      <c r="H414" s="12">
        <v>0.32916666666666666</v>
      </c>
      <c r="I414" s="11">
        <v>46094</v>
      </c>
      <c r="J414" s="1">
        <v>46094</v>
      </c>
      <c r="K414" s="1">
        <v>46099</v>
      </c>
      <c r="L414" t="s">
        <v>165</v>
      </c>
      <c r="M414" t="s">
        <v>142</v>
      </c>
      <c r="N414" t="s">
        <v>21</v>
      </c>
      <c r="O414" t="s">
        <v>25</v>
      </c>
      <c r="P414">
        <v>26181</v>
      </c>
      <c r="Q414" t="s">
        <v>19</v>
      </c>
      <c r="R414">
        <v>37951</v>
      </c>
      <c r="S414" t="str">
        <f>VLOOKUP(L414&amp;TEXT(I414,"mmmm")&amp;YEAR(I414),'[1]Detalle C-Fecha'!$D$2:$E$15921,2,FALSE)</f>
        <v>Expreso - Servicios Troncales</v>
      </c>
    </row>
    <row r="415" spans="1:19" x14ac:dyDescent="0.3">
      <c r="A415">
        <v>30541</v>
      </c>
      <c r="B415" t="s">
        <v>28</v>
      </c>
      <c r="C415" t="s">
        <v>15</v>
      </c>
      <c r="D415" t="s">
        <v>16</v>
      </c>
      <c r="E415" t="s">
        <v>119</v>
      </c>
      <c r="F415" s="6" t="str">
        <f t="shared" si="6"/>
        <v>3ML</v>
      </c>
      <c r="G415" s="11">
        <v>46094</v>
      </c>
      <c r="H415" s="12">
        <v>0.32916666666666666</v>
      </c>
      <c r="I415" s="11">
        <v>46094</v>
      </c>
      <c r="J415" s="1">
        <v>46094</v>
      </c>
      <c r="K415" s="1">
        <v>46099</v>
      </c>
      <c r="L415" t="s">
        <v>165</v>
      </c>
      <c r="M415" t="s">
        <v>142</v>
      </c>
      <c r="N415" t="s">
        <v>21</v>
      </c>
      <c r="O415" t="s">
        <v>25</v>
      </c>
      <c r="P415">
        <v>26181</v>
      </c>
      <c r="Q415" t="s">
        <v>19</v>
      </c>
      <c r="R415">
        <v>37971</v>
      </c>
      <c r="S415" t="str">
        <f>VLOOKUP(L415&amp;TEXT(I415,"mmmm")&amp;YEAR(I415),'[1]Detalle C-Fecha'!$D$2:$E$15921,2,FALSE)</f>
        <v>Expreso - Servicios Troncales</v>
      </c>
    </row>
    <row r="416" spans="1:19" x14ac:dyDescent="0.3">
      <c r="A416">
        <v>30542</v>
      </c>
      <c r="B416" t="s">
        <v>28</v>
      </c>
      <c r="C416" t="s">
        <v>15</v>
      </c>
      <c r="D416" t="s">
        <v>16</v>
      </c>
      <c r="E416" t="s">
        <v>120</v>
      </c>
      <c r="F416" s="6" t="str">
        <f t="shared" si="6"/>
        <v>6ML</v>
      </c>
      <c r="G416" s="11">
        <v>46094</v>
      </c>
      <c r="H416" s="12">
        <v>0.32916666666666666</v>
      </c>
      <c r="I416" s="11">
        <v>46094</v>
      </c>
      <c r="J416" s="1">
        <v>46094</v>
      </c>
      <c r="K416" s="1">
        <v>46099</v>
      </c>
      <c r="L416" t="s">
        <v>165</v>
      </c>
      <c r="M416" t="s">
        <v>142</v>
      </c>
      <c r="N416" t="s">
        <v>21</v>
      </c>
      <c r="O416" t="s">
        <v>25</v>
      </c>
      <c r="P416">
        <v>26182</v>
      </c>
      <c r="Q416" t="s">
        <v>19</v>
      </c>
      <c r="R416">
        <v>37952</v>
      </c>
      <c r="S416" t="str">
        <f>VLOOKUP(L416&amp;TEXT(I416,"mmmm")&amp;YEAR(I416),'[1]Detalle C-Fecha'!$D$2:$E$15921,2,FALSE)</f>
        <v>Expreso - Servicios Troncales</v>
      </c>
    </row>
    <row r="417" spans="1:19" x14ac:dyDescent="0.3">
      <c r="A417">
        <v>30542</v>
      </c>
      <c r="B417" t="s">
        <v>28</v>
      </c>
      <c r="C417" t="s">
        <v>15</v>
      </c>
      <c r="D417" t="s">
        <v>16</v>
      </c>
      <c r="E417" t="s">
        <v>120</v>
      </c>
      <c r="F417" s="6" t="str">
        <f t="shared" si="6"/>
        <v>6ML</v>
      </c>
      <c r="G417" s="11">
        <v>46094</v>
      </c>
      <c r="H417" s="12">
        <v>0.32916666666666666</v>
      </c>
      <c r="I417" s="11">
        <v>46094</v>
      </c>
      <c r="J417" s="1">
        <v>46094</v>
      </c>
      <c r="K417" s="1">
        <v>46099</v>
      </c>
      <c r="L417" t="s">
        <v>165</v>
      </c>
      <c r="M417" t="s">
        <v>142</v>
      </c>
      <c r="N417" t="s">
        <v>21</v>
      </c>
      <c r="O417" t="s">
        <v>25</v>
      </c>
      <c r="P417">
        <v>26182</v>
      </c>
      <c r="Q417" t="s">
        <v>19</v>
      </c>
      <c r="R417">
        <v>37971</v>
      </c>
      <c r="S417" t="str">
        <f>VLOOKUP(L417&amp;TEXT(I417,"mmmm")&amp;YEAR(I417),'[1]Detalle C-Fecha'!$D$2:$E$15921,2,FALSE)</f>
        <v>Expreso - Servicios Troncales</v>
      </c>
    </row>
    <row r="418" spans="1:19" x14ac:dyDescent="0.3">
      <c r="A418">
        <v>30705</v>
      </c>
      <c r="B418" t="s">
        <v>28</v>
      </c>
      <c r="C418" t="s">
        <v>15</v>
      </c>
      <c r="D418" t="s">
        <v>16</v>
      </c>
      <c r="E418" t="s">
        <v>118</v>
      </c>
      <c r="F418" s="6" t="str">
        <f t="shared" si="6"/>
        <v>2ML</v>
      </c>
      <c r="G418" s="11">
        <v>46098</v>
      </c>
      <c r="H418" s="12">
        <v>0.42152777777777778</v>
      </c>
      <c r="I418" s="11">
        <v>46095</v>
      </c>
      <c r="J418" s="1">
        <v>46095</v>
      </c>
      <c r="K418" s="1">
        <v>46095</v>
      </c>
      <c r="L418" t="s">
        <v>166</v>
      </c>
      <c r="M418" t="s">
        <v>142</v>
      </c>
      <c r="N418" t="s">
        <v>17</v>
      </c>
      <c r="O418" t="s">
        <v>25</v>
      </c>
      <c r="P418">
        <v>26311</v>
      </c>
      <c r="Q418" t="s">
        <v>19</v>
      </c>
      <c r="R418">
        <v>38546</v>
      </c>
      <c r="S418" t="str">
        <f>VLOOKUP(L418&amp;TEXT(I418,"mmmm")&amp;YEAR(I418),'[1]Detalle C-Fecha'!$D$2:$E$15921,2,FALSE)</f>
        <v>Expreso - Servicios Troncales</v>
      </c>
    </row>
    <row r="419" spans="1:19" x14ac:dyDescent="0.3">
      <c r="A419">
        <v>30705</v>
      </c>
      <c r="B419" t="s">
        <v>28</v>
      </c>
      <c r="C419" t="s">
        <v>15</v>
      </c>
      <c r="D419" t="s">
        <v>16</v>
      </c>
      <c r="E419" t="s">
        <v>118</v>
      </c>
      <c r="F419" s="6" t="str">
        <f t="shared" si="6"/>
        <v>2ML</v>
      </c>
      <c r="G419" s="11">
        <v>46098</v>
      </c>
      <c r="H419" s="12">
        <v>0.42152777777777778</v>
      </c>
      <c r="I419" s="11">
        <v>46095</v>
      </c>
      <c r="J419" s="1">
        <v>46095</v>
      </c>
      <c r="K419" s="1">
        <v>46095</v>
      </c>
      <c r="L419" t="s">
        <v>166</v>
      </c>
      <c r="M419" t="s">
        <v>142</v>
      </c>
      <c r="N419" t="s">
        <v>17</v>
      </c>
      <c r="O419" t="s">
        <v>25</v>
      </c>
      <c r="P419">
        <v>26311</v>
      </c>
      <c r="Q419" t="s">
        <v>19</v>
      </c>
      <c r="R419">
        <v>38547</v>
      </c>
      <c r="S419" t="str">
        <f>VLOOKUP(L419&amp;TEXT(I419,"mmmm")&amp;YEAR(I419),'[1]Detalle C-Fecha'!$D$2:$E$15921,2,FALSE)</f>
        <v>Expreso - Servicios Troncales</v>
      </c>
    </row>
    <row r="420" spans="1:19" x14ac:dyDescent="0.3">
      <c r="A420">
        <v>30706</v>
      </c>
      <c r="B420" t="s">
        <v>28</v>
      </c>
      <c r="C420" t="s">
        <v>15</v>
      </c>
      <c r="D420" t="s">
        <v>16</v>
      </c>
      <c r="E420" t="s">
        <v>119</v>
      </c>
      <c r="F420" s="6" t="str">
        <f t="shared" si="6"/>
        <v>3ML</v>
      </c>
      <c r="G420" s="11">
        <v>46098</v>
      </c>
      <c r="H420" s="12">
        <v>0.42152777777777778</v>
      </c>
      <c r="I420" s="11">
        <v>46095</v>
      </c>
      <c r="J420" s="1">
        <v>46095</v>
      </c>
      <c r="K420" s="1">
        <v>46095</v>
      </c>
      <c r="L420" t="s">
        <v>166</v>
      </c>
      <c r="M420" t="s">
        <v>142</v>
      </c>
      <c r="N420" t="s">
        <v>17</v>
      </c>
      <c r="O420" t="s">
        <v>25</v>
      </c>
      <c r="P420">
        <v>26312</v>
      </c>
      <c r="Q420" t="s">
        <v>19</v>
      </c>
      <c r="R420">
        <v>38548</v>
      </c>
      <c r="S420" t="str">
        <f>VLOOKUP(L420&amp;TEXT(I420,"mmmm")&amp;YEAR(I420),'[1]Detalle C-Fecha'!$D$2:$E$15921,2,FALSE)</f>
        <v>Expreso - Servicios Troncales</v>
      </c>
    </row>
    <row r="421" spans="1:19" x14ac:dyDescent="0.3">
      <c r="A421">
        <v>30706</v>
      </c>
      <c r="B421" t="s">
        <v>28</v>
      </c>
      <c r="C421" t="s">
        <v>15</v>
      </c>
      <c r="D421" t="s">
        <v>16</v>
      </c>
      <c r="E421" t="s">
        <v>119</v>
      </c>
      <c r="F421" s="6" t="str">
        <f t="shared" si="6"/>
        <v>3ML</v>
      </c>
      <c r="G421" s="11">
        <v>46098</v>
      </c>
      <c r="H421" s="12">
        <v>0.42152777777777778</v>
      </c>
      <c r="I421" s="11">
        <v>46095</v>
      </c>
      <c r="J421" s="1">
        <v>46095</v>
      </c>
      <c r="K421" s="1">
        <v>46095</v>
      </c>
      <c r="L421" t="s">
        <v>166</v>
      </c>
      <c r="M421" t="s">
        <v>142</v>
      </c>
      <c r="N421" t="s">
        <v>17</v>
      </c>
      <c r="O421" t="s">
        <v>25</v>
      </c>
      <c r="P421">
        <v>26312</v>
      </c>
      <c r="Q421" t="s">
        <v>19</v>
      </c>
      <c r="R421">
        <v>38549</v>
      </c>
      <c r="S421" t="str">
        <f>VLOOKUP(L421&amp;TEXT(I421,"mmmm")&amp;YEAR(I421),'[1]Detalle C-Fecha'!$D$2:$E$15921,2,FALSE)</f>
        <v>Expreso - Servicios Troncales</v>
      </c>
    </row>
    <row r="422" spans="1:19" x14ac:dyDescent="0.3">
      <c r="A422">
        <v>30707</v>
      </c>
      <c r="B422" t="s">
        <v>28</v>
      </c>
      <c r="C422" t="s">
        <v>15</v>
      </c>
      <c r="D422" t="s">
        <v>16</v>
      </c>
      <c r="E422" t="s">
        <v>120</v>
      </c>
      <c r="F422" s="6" t="str">
        <f t="shared" si="6"/>
        <v>6ML</v>
      </c>
      <c r="G422" s="11">
        <v>46098</v>
      </c>
      <c r="H422" s="12">
        <v>0.42152777777777778</v>
      </c>
      <c r="I422" s="11">
        <v>46095</v>
      </c>
      <c r="J422" s="1">
        <v>46095</v>
      </c>
      <c r="K422" s="1">
        <v>46095</v>
      </c>
      <c r="L422" t="s">
        <v>166</v>
      </c>
      <c r="M422" t="s">
        <v>142</v>
      </c>
      <c r="N422" t="s">
        <v>17</v>
      </c>
      <c r="O422" t="s">
        <v>25</v>
      </c>
      <c r="P422">
        <v>26313</v>
      </c>
      <c r="Q422" t="s">
        <v>19</v>
      </c>
      <c r="R422">
        <v>38550</v>
      </c>
      <c r="S422" t="str">
        <f>VLOOKUP(L422&amp;TEXT(I422,"mmmm")&amp;YEAR(I422),'[1]Detalle C-Fecha'!$D$2:$E$15921,2,FALSE)</f>
        <v>Expreso - Servicios Troncales</v>
      </c>
    </row>
    <row r="423" spans="1:19" x14ac:dyDescent="0.3">
      <c r="A423">
        <v>30707</v>
      </c>
      <c r="B423" t="s">
        <v>28</v>
      </c>
      <c r="C423" t="s">
        <v>15</v>
      </c>
      <c r="D423" t="s">
        <v>16</v>
      </c>
      <c r="E423" t="s">
        <v>120</v>
      </c>
      <c r="F423" s="6" t="str">
        <f t="shared" si="6"/>
        <v>6ML</v>
      </c>
      <c r="G423" s="11">
        <v>46098</v>
      </c>
      <c r="H423" s="12">
        <v>0.42152777777777778</v>
      </c>
      <c r="I423" s="11">
        <v>46095</v>
      </c>
      <c r="J423" s="1">
        <v>46095</v>
      </c>
      <c r="K423" s="1">
        <v>46095</v>
      </c>
      <c r="L423" t="s">
        <v>166</v>
      </c>
      <c r="M423" t="s">
        <v>142</v>
      </c>
      <c r="N423" t="s">
        <v>17</v>
      </c>
      <c r="O423" t="s">
        <v>25</v>
      </c>
      <c r="P423">
        <v>26313</v>
      </c>
      <c r="Q423" t="s">
        <v>19</v>
      </c>
      <c r="R423">
        <v>38551</v>
      </c>
      <c r="S423" t="str">
        <f>VLOOKUP(L423&amp;TEXT(I423,"mmmm")&amp;YEAR(I423),'[1]Detalle C-Fecha'!$D$2:$E$15921,2,FALSE)</f>
        <v>Expreso - Servicios Troncales</v>
      </c>
    </row>
    <row r="424" spans="1:19" x14ac:dyDescent="0.3">
      <c r="A424">
        <v>30757</v>
      </c>
      <c r="B424" t="s">
        <v>28</v>
      </c>
      <c r="C424" t="s">
        <v>15</v>
      </c>
      <c r="D424" t="s">
        <v>16</v>
      </c>
      <c r="E424" t="s">
        <v>35</v>
      </c>
      <c r="F424" s="6" t="str">
        <f t="shared" si="6"/>
        <v>2ML</v>
      </c>
      <c r="G424" s="11">
        <v>46099</v>
      </c>
      <c r="H424" s="12">
        <v>0.58333333333333337</v>
      </c>
      <c r="I424" s="11">
        <v>46098</v>
      </c>
      <c r="J424" s="1">
        <v>46098</v>
      </c>
      <c r="K424" s="1">
        <v>46113</v>
      </c>
      <c r="L424" t="s">
        <v>167</v>
      </c>
      <c r="M424" t="s">
        <v>163</v>
      </c>
      <c r="N424" t="s">
        <v>21</v>
      </c>
      <c r="O424" t="s">
        <v>18</v>
      </c>
      <c r="P424">
        <v>26392</v>
      </c>
      <c r="Q424" t="s">
        <v>19</v>
      </c>
      <c r="R424">
        <v>38774</v>
      </c>
      <c r="S424" t="str">
        <f>VLOOKUP(L424&amp;TEXT(I424,"mmmm")&amp;YEAR(I424),'[1]Detalle C-Fecha'!$D$2:$E$15921,2,FALSE)</f>
        <v>CMQ_TTE - QUILMES TTE</v>
      </c>
    </row>
    <row r="425" spans="1:19" x14ac:dyDescent="0.3">
      <c r="A425">
        <v>30757</v>
      </c>
      <c r="B425" t="s">
        <v>28</v>
      </c>
      <c r="C425" t="s">
        <v>15</v>
      </c>
      <c r="D425" t="s">
        <v>16</v>
      </c>
      <c r="E425" t="s">
        <v>35</v>
      </c>
      <c r="F425" s="6" t="str">
        <f t="shared" si="6"/>
        <v>2ML</v>
      </c>
      <c r="G425" s="11">
        <v>46099</v>
      </c>
      <c r="H425" s="12">
        <v>0.58333333333333337</v>
      </c>
      <c r="I425" s="11">
        <v>46098</v>
      </c>
      <c r="J425" s="1">
        <v>46098</v>
      </c>
      <c r="K425" s="1">
        <v>46113</v>
      </c>
      <c r="L425" t="s">
        <v>167</v>
      </c>
      <c r="M425" t="s">
        <v>163</v>
      </c>
      <c r="N425" t="s">
        <v>21</v>
      </c>
      <c r="O425" t="s">
        <v>18</v>
      </c>
      <c r="P425">
        <v>26392</v>
      </c>
      <c r="Q425" t="s">
        <v>19</v>
      </c>
      <c r="R425">
        <v>38934</v>
      </c>
      <c r="S425" t="str">
        <f>VLOOKUP(L425&amp;TEXT(I425,"mmmm")&amp;YEAR(I425),'[1]Detalle C-Fecha'!$D$2:$E$15921,2,FALSE)</f>
        <v>CMQ_TTE - QUILMES TTE</v>
      </c>
    </row>
    <row r="426" spans="1:19" x14ac:dyDescent="0.3">
      <c r="A426">
        <v>30758</v>
      </c>
      <c r="B426" t="s">
        <v>28</v>
      </c>
      <c r="C426" t="s">
        <v>15</v>
      </c>
      <c r="D426" t="s">
        <v>16</v>
      </c>
      <c r="E426" t="s">
        <v>47</v>
      </c>
      <c r="F426" s="6" t="str">
        <f t="shared" si="6"/>
        <v>3ML</v>
      </c>
      <c r="G426" s="11">
        <v>46099</v>
      </c>
      <c r="H426" s="12">
        <v>0.58333333333333337</v>
      </c>
      <c r="I426" s="11">
        <v>46098</v>
      </c>
      <c r="J426" s="1">
        <v>46098</v>
      </c>
      <c r="K426" s="1">
        <v>46118</v>
      </c>
      <c r="L426" t="s">
        <v>167</v>
      </c>
      <c r="M426" t="s">
        <v>163</v>
      </c>
      <c r="N426" t="s">
        <v>21</v>
      </c>
      <c r="O426" t="s">
        <v>18</v>
      </c>
      <c r="P426">
        <v>26393</v>
      </c>
      <c r="Q426" t="s">
        <v>19</v>
      </c>
      <c r="R426">
        <v>38981</v>
      </c>
      <c r="S426" t="str">
        <f>VLOOKUP(L426&amp;TEXT(I426,"mmmm")&amp;YEAR(I426),'[1]Detalle C-Fecha'!$D$2:$E$15921,2,FALSE)</f>
        <v>CMQ_TTE - QUILMES TTE</v>
      </c>
    </row>
    <row r="427" spans="1:19" x14ac:dyDescent="0.3">
      <c r="A427">
        <v>30758</v>
      </c>
      <c r="B427" t="s">
        <v>28</v>
      </c>
      <c r="C427" t="s">
        <v>15</v>
      </c>
      <c r="D427" t="s">
        <v>16</v>
      </c>
      <c r="E427" t="s">
        <v>47</v>
      </c>
      <c r="F427" s="6" t="str">
        <f t="shared" si="6"/>
        <v>3ML</v>
      </c>
      <c r="G427" s="11">
        <v>46099</v>
      </c>
      <c r="H427" s="12">
        <v>0.58333333333333337</v>
      </c>
      <c r="I427" s="11">
        <v>46098</v>
      </c>
      <c r="J427" s="1">
        <v>46098</v>
      </c>
      <c r="K427" s="1">
        <v>46118</v>
      </c>
      <c r="L427" t="s">
        <v>167</v>
      </c>
      <c r="M427" t="s">
        <v>163</v>
      </c>
      <c r="N427" t="s">
        <v>21</v>
      </c>
      <c r="O427" t="s">
        <v>18</v>
      </c>
      <c r="P427">
        <v>26393</v>
      </c>
      <c r="Q427" t="s">
        <v>19</v>
      </c>
      <c r="R427">
        <v>39146</v>
      </c>
      <c r="S427" t="str">
        <f>VLOOKUP(L427&amp;TEXT(I427,"mmmm")&amp;YEAR(I427),'[1]Detalle C-Fecha'!$D$2:$E$15921,2,FALSE)</f>
        <v>CMQ_TTE - QUILMES TTE</v>
      </c>
    </row>
    <row r="428" spans="1:19" x14ac:dyDescent="0.3">
      <c r="A428">
        <v>30759</v>
      </c>
      <c r="B428" t="s">
        <v>28</v>
      </c>
      <c r="C428" t="s">
        <v>15</v>
      </c>
      <c r="D428" t="s">
        <v>16</v>
      </c>
      <c r="E428" t="s">
        <v>46</v>
      </c>
      <c r="F428" s="6" t="str">
        <f t="shared" si="6"/>
        <v>6ML</v>
      </c>
      <c r="G428" s="11">
        <v>46099</v>
      </c>
      <c r="H428" s="12">
        <v>0.58333333333333337</v>
      </c>
      <c r="I428" s="11">
        <v>46098</v>
      </c>
      <c r="J428" s="1">
        <v>46098</v>
      </c>
      <c r="K428" s="1">
        <v>46113</v>
      </c>
      <c r="L428" t="s">
        <v>167</v>
      </c>
      <c r="M428" t="s">
        <v>163</v>
      </c>
      <c r="N428" t="s">
        <v>21</v>
      </c>
      <c r="O428" t="s">
        <v>18</v>
      </c>
      <c r="P428">
        <v>26394</v>
      </c>
      <c r="Q428" t="s">
        <v>19</v>
      </c>
      <c r="R428">
        <v>38775</v>
      </c>
      <c r="S428" t="str">
        <f>VLOOKUP(L428&amp;TEXT(I428,"mmmm")&amp;YEAR(I428),'[1]Detalle C-Fecha'!$D$2:$E$15921,2,FALSE)</f>
        <v>CMQ_TTE - QUILMES TTE</v>
      </c>
    </row>
    <row r="429" spans="1:19" x14ac:dyDescent="0.3">
      <c r="A429">
        <v>30759</v>
      </c>
      <c r="B429" t="s">
        <v>28</v>
      </c>
      <c r="C429" t="s">
        <v>15</v>
      </c>
      <c r="D429" t="s">
        <v>16</v>
      </c>
      <c r="E429" t="s">
        <v>46</v>
      </c>
      <c r="F429" s="6" t="str">
        <f t="shared" si="6"/>
        <v>6ML</v>
      </c>
      <c r="G429" s="11">
        <v>46099</v>
      </c>
      <c r="H429" s="12">
        <v>0.58333333333333337</v>
      </c>
      <c r="I429" s="11">
        <v>46098</v>
      </c>
      <c r="J429" s="1">
        <v>46098</v>
      </c>
      <c r="K429" s="1">
        <v>46113</v>
      </c>
      <c r="L429" t="s">
        <v>167</v>
      </c>
      <c r="M429" t="s">
        <v>163</v>
      </c>
      <c r="N429" t="s">
        <v>21</v>
      </c>
      <c r="O429" t="s">
        <v>18</v>
      </c>
      <c r="P429">
        <v>26394</v>
      </c>
      <c r="Q429" t="s">
        <v>19</v>
      </c>
      <c r="R429">
        <v>38934</v>
      </c>
      <c r="S429" t="str">
        <f>VLOOKUP(L429&amp;TEXT(I429,"mmmm")&amp;YEAR(I429),'[1]Detalle C-Fecha'!$D$2:$E$15921,2,FALSE)</f>
        <v>CMQ_TTE - QUILMES TTE</v>
      </c>
    </row>
    <row r="430" spans="1:19" x14ac:dyDescent="0.3">
      <c r="A430">
        <v>30954</v>
      </c>
      <c r="B430" t="s">
        <v>28</v>
      </c>
      <c r="C430" t="s">
        <v>15</v>
      </c>
      <c r="D430" t="s">
        <v>16</v>
      </c>
      <c r="E430" t="s">
        <v>121</v>
      </c>
      <c r="F430" s="6" t="str">
        <f t="shared" si="6"/>
        <v>2MC</v>
      </c>
      <c r="G430" s="11">
        <v>46104</v>
      </c>
      <c r="H430" s="12">
        <v>0.42569444444444443</v>
      </c>
      <c r="I430" s="11">
        <v>46104</v>
      </c>
      <c r="K430" s="1">
        <v>46118</v>
      </c>
      <c r="L430" t="s">
        <v>168</v>
      </c>
      <c r="M430">
        <v>1624</v>
      </c>
      <c r="N430" t="s">
        <v>21</v>
      </c>
      <c r="O430" t="s">
        <v>24</v>
      </c>
      <c r="P430">
        <v>26486</v>
      </c>
      <c r="Q430" t="s">
        <v>19</v>
      </c>
      <c r="R430">
        <v>38992</v>
      </c>
      <c r="S430" t="str">
        <f>VLOOKUP(L430&amp;TEXT(I430,"mmmm")&amp;YEAR(I430),'[1]Detalle C-Fecha'!$D$2:$E$15921,2,FALSE)</f>
        <v>CCUDyAZA</v>
      </c>
    </row>
    <row r="431" spans="1:19" x14ac:dyDescent="0.3">
      <c r="A431">
        <v>30954</v>
      </c>
      <c r="B431" t="s">
        <v>28</v>
      </c>
      <c r="C431" t="s">
        <v>15</v>
      </c>
      <c r="D431" t="s">
        <v>16</v>
      </c>
      <c r="E431" t="s">
        <v>121</v>
      </c>
      <c r="F431" s="6" t="str">
        <f t="shared" si="6"/>
        <v>2MC</v>
      </c>
      <c r="G431" s="11">
        <v>46104</v>
      </c>
      <c r="H431" s="12">
        <v>0.42569444444444443</v>
      </c>
      <c r="I431" s="11">
        <v>46104</v>
      </c>
      <c r="K431" s="1">
        <v>46118</v>
      </c>
      <c r="L431" t="s">
        <v>168</v>
      </c>
      <c r="M431">
        <v>1624</v>
      </c>
      <c r="N431" t="s">
        <v>21</v>
      </c>
      <c r="O431" t="s">
        <v>24</v>
      </c>
      <c r="P431">
        <v>26486</v>
      </c>
      <c r="Q431" t="s">
        <v>19</v>
      </c>
      <c r="R431">
        <v>39148</v>
      </c>
      <c r="S431" t="str">
        <f>VLOOKUP(L431&amp;TEXT(I431,"mmmm")&amp;YEAR(I431),'[1]Detalle C-Fecha'!$D$2:$E$15921,2,FALSE)</f>
        <v>CCUDyAZA</v>
      </c>
    </row>
    <row r="432" spans="1:19" x14ac:dyDescent="0.3">
      <c r="A432">
        <v>30955</v>
      </c>
      <c r="B432" t="s">
        <v>28</v>
      </c>
      <c r="C432" t="s">
        <v>15</v>
      </c>
      <c r="D432" t="s">
        <v>16</v>
      </c>
      <c r="E432" t="s">
        <v>53</v>
      </c>
      <c r="F432" s="6" t="str">
        <f t="shared" si="6"/>
        <v>3MC</v>
      </c>
      <c r="G432" s="11">
        <v>46104</v>
      </c>
      <c r="H432" s="12">
        <v>0.42569444444444443</v>
      </c>
      <c r="I432" s="11">
        <v>46104</v>
      </c>
      <c r="K432" s="1">
        <v>46111</v>
      </c>
      <c r="L432" t="s">
        <v>168</v>
      </c>
      <c r="M432">
        <v>1624</v>
      </c>
      <c r="N432" t="s">
        <v>21</v>
      </c>
      <c r="O432" t="s">
        <v>24</v>
      </c>
      <c r="P432">
        <v>26487</v>
      </c>
      <c r="Q432" t="s">
        <v>19</v>
      </c>
      <c r="R432">
        <v>38304</v>
      </c>
      <c r="S432" t="str">
        <f>VLOOKUP(L432&amp;TEXT(I432,"mmmm")&amp;YEAR(I432),'[1]Detalle C-Fecha'!$D$2:$E$15921,2,FALSE)</f>
        <v>CCUDyAZA</v>
      </c>
    </row>
    <row r="433" spans="1:19" x14ac:dyDescent="0.3">
      <c r="A433">
        <v>30955</v>
      </c>
      <c r="B433" t="s">
        <v>28</v>
      </c>
      <c r="C433" t="s">
        <v>15</v>
      </c>
      <c r="D433" t="s">
        <v>16</v>
      </c>
      <c r="E433" t="s">
        <v>53</v>
      </c>
      <c r="F433" s="6" t="str">
        <f t="shared" si="6"/>
        <v>3MC</v>
      </c>
      <c r="G433" s="11">
        <v>46104</v>
      </c>
      <c r="H433" s="12">
        <v>0.42569444444444443</v>
      </c>
      <c r="I433" s="11">
        <v>46104</v>
      </c>
      <c r="K433" s="1">
        <v>46111</v>
      </c>
      <c r="L433" t="s">
        <v>168</v>
      </c>
      <c r="M433">
        <v>1624</v>
      </c>
      <c r="N433" t="s">
        <v>21</v>
      </c>
      <c r="O433" t="s">
        <v>24</v>
      </c>
      <c r="P433">
        <v>26487</v>
      </c>
      <c r="Q433" t="s">
        <v>19</v>
      </c>
      <c r="R433">
        <v>38459</v>
      </c>
      <c r="S433" t="str">
        <f>VLOOKUP(L433&amp;TEXT(I433,"mmmm")&amp;YEAR(I433),'[1]Detalle C-Fecha'!$D$2:$E$15921,2,FALSE)</f>
        <v>CCUDyAZA</v>
      </c>
    </row>
    <row r="434" spans="1:19" x14ac:dyDescent="0.3">
      <c r="A434">
        <v>30956</v>
      </c>
      <c r="B434" t="s">
        <v>28</v>
      </c>
      <c r="C434" t="s">
        <v>15</v>
      </c>
      <c r="D434" t="s">
        <v>16</v>
      </c>
      <c r="E434" t="s">
        <v>111</v>
      </c>
      <c r="F434" s="6" t="str">
        <f t="shared" si="6"/>
        <v>6MC</v>
      </c>
      <c r="G434" s="11">
        <v>46104</v>
      </c>
      <c r="H434" s="12">
        <v>0.42569444444444443</v>
      </c>
      <c r="I434" s="11">
        <v>46104</v>
      </c>
      <c r="K434" s="1">
        <v>46118</v>
      </c>
      <c r="L434" t="s">
        <v>168</v>
      </c>
      <c r="M434">
        <v>1624</v>
      </c>
      <c r="N434" t="s">
        <v>21</v>
      </c>
      <c r="O434" t="s">
        <v>24</v>
      </c>
      <c r="P434">
        <v>26489</v>
      </c>
      <c r="Q434" t="s">
        <v>19</v>
      </c>
      <c r="R434">
        <v>38993</v>
      </c>
      <c r="S434" t="str">
        <f>VLOOKUP(L434&amp;TEXT(I434,"mmmm")&amp;YEAR(I434),'[1]Detalle C-Fecha'!$D$2:$E$15921,2,FALSE)</f>
        <v>CCUDyAZA</v>
      </c>
    </row>
    <row r="435" spans="1:19" x14ac:dyDescent="0.3">
      <c r="A435">
        <v>30956</v>
      </c>
      <c r="B435" t="s">
        <v>28</v>
      </c>
      <c r="C435" t="s">
        <v>15</v>
      </c>
      <c r="D435" t="s">
        <v>16</v>
      </c>
      <c r="E435" t="s">
        <v>111</v>
      </c>
      <c r="F435" s="6" t="str">
        <f t="shared" si="6"/>
        <v>6MC</v>
      </c>
      <c r="G435" s="11">
        <v>46104</v>
      </c>
      <c r="H435" s="12">
        <v>0.42569444444444443</v>
      </c>
      <c r="I435" s="11">
        <v>46104</v>
      </c>
      <c r="K435" s="1">
        <v>46118</v>
      </c>
      <c r="L435" t="s">
        <v>168</v>
      </c>
      <c r="M435">
        <v>1624</v>
      </c>
      <c r="N435" t="s">
        <v>21</v>
      </c>
      <c r="O435" t="s">
        <v>24</v>
      </c>
      <c r="P435">
        <v>26489</v>
      </c>
      <c r="Q435" t="s">
        <v>19</v>
      </c>
      <c r="R435">
        <v>39148</v>
      </c>
      <c r="S435" t="str">
        <f>VLOOKUP(L435&amp;TEXT(I435,"mmmm")&amp;YEAR(I435),'[1]Detalle C-Fecha'!$D$2:$E$15921,2,FALSE)</f>
        <v>CCUDyAZA</v>
      </c>
    </row>
    <row r="436" spans="1:19" x14ac:dyDescent="0.3">
      <c r="A436">
        <v>30967</v>
      </c>
      <c r="B436" t="s">
        <v>28</v>
      </c>
      <c r="C436" t="s">
        <v>15</v>
      </c>
      <c r="D436" t="s">
        <v>16</v>
      </c>
      <c r="E436" t="s">
        <v>115</v>
      </c>
      <c r="F436" s="6" t="str">
        <f t="shared" si="6"/>
        <v>2ML</v>
      </c>
      <c r="G436" s="11">
        <v>46104</v>
      </c>
      <c r="H436" s="12">
        <v>0.51111111111111118</v>
      </c>
      <c r="I436" s="11">
        <v>46102</v>
      </c>
      <c r="J436" s="1">
        <v>46102</v>
      </c>
      <c r="K436" s="1">
        <v>46113</v>
      </c>
      <c r="L436" t="s">
        <v>75</v>
      </c>
      <c r="M436" t="s">
        <v>129</v>
      </c>
      <c r="N436" t="s">
        <v>21</v>
      </c>
      <c r="O436" t="s">
        <v>24</v>
      </c>
      <c r="P436">
        <v>26510</v>
      </c>
      <c r="Q436" t="s">
        <v>19</v>
      </c>
      <c r="R436">
        <v>38783</v>
      </c>
      <c r="S436" t="str">
        <f>VLOOKUP(L436&amp;TEXT(I436,"mmmm")&amp;YEAR(I436),'[1]Detalle C-Fecha'!$D$2:$E$15921,2,FALSE)</f>
        <v>ADA_CH - Danone Arg. S.A. - Chascomus</v>
      </c>
    </row>
    <row r="437" spans="1:19" x14ac:dyDescent="0.3">
      <c r="A437">
        <v>30967</v>
      </c>
      <c r="B437" t="s">
        <v>28</v>
      </c>
      <c r="C437" t="s">
        <v>15</v>
      </c>
      <c r="D437" t="s">
        <v>16</v>
      </c>
      <c r="E437" t="s">
        <v>115</v>
      </c>
      <c r="F437" s="6" t="str">
        <f t="shared" si="6"/>
        <v>2ML</v>
      </c>
      <c r="G437" s="11">
        <v>46104</v>
      </c>
      <c r="H437" s="12">
        <v>0.51111111111111118</v>
      </c>
      <c r="I437" s="11">
        <v>46102</v>
      </c>
      <c r="J437" s="1">
        <v>46102</v>
      </c>
      <c r="K437" s="1">
        <v>46113</v>
      </c>
      <c r="L437" t="s">
        <v>75</v>
      </c>
      <c r="M437" t="s">
        <v>129</v>
      </c>
      <c r="N437" t="s">
        <v>21</v>
      </c>
      <c r="O437" t="s">
        <v>24</v>
      </c>
      <c r="P437">
        <v>26510</v>
      </c>
      <c r="Q437" t="s">
        <v>19</v>
      </c>
      <c r="R437">
        <v>38936</v>
      </c>
      <c r="S437" t="str">
        <f>VLOOKUP(L437&amp;TEXT(I437,"mmmm")&amp;YEAR(I437),'[1]Detalle C-Fecha'!$D$2:$E$15921,2,FALSE)</f>
        <v>ADA_CH - Danone Arg. S.A. - Chascomus</v>
      </c>
    </row>
    <row r="438" spans="1:19" x14ac:dyDescent="0.3">
      <c r="A438">
        <v>30968</v>
      </c>
      <c r="B438" t="s">
        <v>28</v>
      </c>
      <c r="C438" t="s">
        <v>15</v>
      </c>
      <c r="D438" t="s">
        <v>16</v>
      </c>
      <c r="E438" t="s">
        <v>116</v>
      </c>
      <c r="F438" s="6" t="str">
        <f t="shared" si="6"/>
        <v>3ML</v>
      </c>
      <c r="G438" s="11">
        <v>46104</v>
      </c>
      <c r="H438" s="12">
        <v>0.51111111111111118</v>
      </c>
      <c r="I438" s="11">
        <v>46102</v>
      </c>
      <c r="J438" s="1">
        <v>46102</v>
      </c>
      <c r="K438" s="1">
        <v>46113</v>
      </c>
      <c r="L438" t="s">
        <v>75</v>
      </c>
      <c r="M438" t="s">
        <v>129</v>
      </c>
      <c r="N438" t="s">
        <v>21</v>
      </c>
      <c r="O438" t="s">
        <v>24</v>
      </c>
      <c r="P438">
        <v>26511</v>
      </c>
      <c r="Q438" t="s">
        <v>19</v>
      </c>
      <c r="R438">
        <v>38784</v>
      </c>
      <c r="S438" t="str">
        <f>VLOOKUP(L438&amp;TEXT(I438,"mmmm")&amp;YEAR(I438),'[1]Detalle C-Fecha'!$D$2:$E$15921,2,FALSE)</f>
        <v>ADA_CH - Danone Arg. S.A. - Chascomus</v>
      </c>
    </row>
    <row r="439" spans="1:19" x14ac:dyDescent="0.3">
      <c r="A439">
        <v>30968</v>
      </c>
      <c r="B439" t="s">
        <v>28</v>
      </c>
      <c r="C439" t="s">
        <v>15</v>
      </c>
      <c r="D439" t="s">
        <v>16</v>
      </c>
      <c r="E439" t="s">
        <v>116</v>
      </c>
      <c r="F439" s="6" t="str">
        <f t="shared" si="6"/>
        <v>3ML</v>
      </c>
      <c r="G439" s="11">
        <v>46104</v>
      </c>
      <c r="H439" s="12">
        <v>0.51111111111111118</v>
      </c>
      <c r="I439" s="11">
        <v>46102</v>
      </c>
      <c r="J439" s="1">
        <v>46102</v>
      </c>
      <c r="K439" s="1">
        <v>46113</v>
      </c>
      <c r="L439" t="s">
        <v>75</v>
      </c>
      <c r="M439" t="s">
        <v>129</v>
      </c>
      <c r="N439" t="s">
        <v>21</v>
      </c>
      <c r="O439" t="s">
        <v>24</v>
      </c>
      <c r="P439">
        <v>26511</v>
      </c>
      <c r="Q439" t="s">
        <v>19</v>
      </c>
      <c r="R439">
        <v>38936</v>
      </c>
      <c r="S439" t="str">
        <f>VLOOKUP(L439&amp;TEXT(I439,"mmmm")&amp;YEAR(I439),'[1]Detalle C-Fecha'!$D$2:$E$15921,2,FALSE)</f>
        <v>ADA_CH - Danone Arg. S.A. - Chascomus</v>
      </c>
    </row>
    <row r="440" spans="1:19" x14ac:dyDescent="0.3">
      <c r="A440">
        <v>30969</v>
      </c>
      <c r="B440" t="s">
        <v>28</v>
      </c>
      <c r="C440" t="s">
        <v>15</v>
      </c>
      <c r="D440" t="s">
        <v>16</v>
      </c>
      <c r="E440" t="s">
        <v>117</v>
      </c>
      <c r="F440" s="6" t="str">
        <f t="shared" si="6"/>
        <v>6ML</v>
      </c>
      <c r="G440" s="11">
        <v>46104</v>
      </c>
      <c r="H440" s="12">
        <v>0.51111111111111118</v>
      </c>
      <c r="I440" s="11">
        <v>46102</v>
      </c>
      <c r="J440" s="1">
        <v>46102</v>
      </c>
      <c r="K440" s="1">
        <v>46113</v>
      </c>
      <c r="L440" t="s">
        <v>75</v>
      </c>
      <c r="M440" t="s">
        <v>129</v>
      </c>
      <c r="N440" t="s">
        <v>21</v>
      </c>
      <c r="O440" t="s">
        <v>24</v>
      </c>
      <c r="P440">
        <v>26512</v>
      </c>
      <c r="Q440" t="s">
        <v>19</v>
      </c>
      <c r="R440">
        <v>38785</v>
      </c>
      <c r="S440" t="str">
        <f>VLOOKUP(L440&amp;TEXT(I440,"mmmm")&amp;YEAR(I440),'[1]Detalle C-Fecha'!$D$2:$E$15921,2,FALSE)</f>
        <v>ADA_CH - Danone Arg. S.A. - Chascomus</v>
      </c>
    </row>
    <row r="441" spans="1:19" x14ac:dyDescent="0.3">
      <c r="A441">
        <v>30969</v>
      </c>
      <c r="B441" t="s">
        <v>28</v>
      </c>
      <c r="C441" t="s">
        <v>15</v>
      </c>
      <c r="D441" t="s">
        <v>16</v>
      </c>
      <c r="E441" t="s">
        <v>117</v>
      </c>
      <c r="F441" s="6" t="str">
        <f t="shared" si="6"/>
        <v>6ML</v>
      </c>
      <c r="G441" s="11">
        <v>46104</v>
      </c>
      <c r="H441" s="12">
        <v>0.51111111111111118</v>
      </c>
      <c r="I441" s="11">
        <v>46102</v>
      </c>
      <c r="J441" s="1">
        <v>46102</v>
      </c>
      <c r="K441" s="1">
        <v>46113</v>
      </c>
      <c r="L441" t="s">
        <v>75</v>
      </c>
      <c r="M441" t="s">
        <v>129</v>
      </c>
      <c r="N441" t="s">
        <v>21</v>
      </c>
      <c r="O441" t="s">
        <v>24</v>
      </c>
      <c r="P441">
        <v>26512</v>
      </c>
      <c r="Q441" t="s">
        <v>19</v>
      </c>
      <c r="R441">
        <v>38936</v>
      </c>
      <c r="S441" t="str">
        <f>VLOOKUP(L441&amp;TEXT(I441,"mmmm")&amp;YEAR(I441),'[1]Detalle C-Fecha'!$D$2:$E$15921,2,FALSE)</f>
        <v>ADA_CH - Danone Arg. S.A. - Chascomus</v>
      </c>
    </row>
    <row r="442" spans="1:19" x14ac:dyDescent="0.3">
      <c r="A442">
        <v>31178</v>
      </c>
      <c r="B442" t="s">
        <v>28</v>
      </c>
      <c r="C442" t="s">
        <v>15</v>
      </c>
      <c r="D442" t="s">
        <v>16</v>
      </c>
      <c r="E442" t="s">
        <v>51</v>
      </c>
      <c r="F442" s="6" t="str">
        <f t="shared" si="6"/>
        <v>2MC</v>
      </c>
      <c r="G442" s="11">
        <v>46107</v>
      </c>
      <c r="H442" s="12">
        <v>0.69791666666666663</v>
      </c>
      <c r="I442" s="11">
        <v>46107</v>
      </c>
      <c r="J442" s="1">
        <v>46107</v>
      </c>
      <c r="K442" s="1">
        <v>46113</v>
      </c>
      <c r="L442" t="s">
        <v>169</v>
      </c>
      <c r="M442">
        <v>1318</v>
      </c>
      <c r="N442" t="s">
        <v>21</v>
      </c>
      <c r="O442" t="s">
        <v>27</v>
      </c>
      <c r="P442">
        <v>26701</v>
      </c>
      <c r="Q442" t="s">
        <v>19</v>
      </c>
      <c r="R442">
        <v>38795</v>
      </c>
      <c r="S442" t="str">
        <f>VLOOKUP(L442&amp;TEXT(I442,"mmmm")&amp;YEAR(I442),'[1]Detalle C-Fecha'!$D$2:$E$15921,2,FALSE)</f>
        <v>CCUCoAZA</v>
      </c>
    </row>
    <row r="443" spans="1:19" x14ac:dyDescent="0.3">
      <c r="A443">
        <v>31178</v>
      </c>
      <c r="B443" t="s">
        <v>28</v>
      </c>
      <c r="C443" t="s">
        <v>15</v>
      </c>
      <c r="D443" t="s">
        <v>16</v>
      </c>
      <c r="E443" t="s">
        <v>51</v>
      </c>
      <c r="F443" s="6" t="str">
        <f t="shared" si="6"/>
        <v>2MC</v>
      </c>
      <c r="G443" s="11">
        <v>46107</v>
      </c>
      <c r="H443" s="12">
        <v>0.69791666666666663</v>
      </c>
      <c r="I443" s="11">
        <v>46107</v>
      </c>
      <c r="J443" s="1">
        <v>46107</v>
      </c>
      <c r="K443" s="1">
        <v>46113</v>
      </c>
      <c r="L443" t="s">
        <v>169</v>
      </c>
      <c r="M443">
        <v>1318</v>
      </c>
      <c r="N443" t="s">
        <v>21</v>
      </c>
      <c r="O443" t="s">
        <v>27</v>
      </c>
      <c r="P443">
        <v>26701</v>
      </c>
      <c r="Q443" t="s">
        <v>19</v>
      </c>
      <c r="R443">
        <v>38937</v>
      </c>
      <c r="S443" t="str">
        <f>VLOOKUP(L443&amp;TEXT(I443,"mmmm")&amp;YEAR(I443),'[1]Detalle C-Fecha'!$D$2:$E$15921,2,FALSE)</f>
        <v>CCUCoAZA</v>
      </c>
    </row>
    <row r="444" spans="1:19" x14ac:dyDescent="0.3">
      <c r="A444">
        <v>31179</v>
      </c>
      <c r="B444" t="s">
        <v>28</v>
      </c>
      <c r="C444" t="s">
        <v>15</v>
      </c>
      <c r="D444" t="s">
        <v>16</v>
      </c>
      <c r="E444" t="s">
        <v>53</v>
      </c>
      <c r="F444" s="6" t="str">
        <f t="shared" si="6"/>
        <v>3MC</v>
      </c>
      <c r="G444" s="11">
        <v>46107</v>
      </c>
      <c r="H444" s="12">
        <v>0.69791666666666663</v>
      </c>
      <c r="I444" s="11">
        <v>46107</v>
      </c>
      <c r="J444" s="1">
        <v>46107</v>
      </c>
      <c r="K444" s="1">
        <v>46113</v>
      </c>
      <c r="L444" t="s">
        <v>169</v>
      </c>
      <c r="M444">
        <v>1318</v>
      </c>
      <c r="N444" t="s">
        <v>21</v>
      </c>
      <c r="O444" t="s">
        <v>27</v>
      </c>
      <c r="P444">
        <v>26702</v>
      </c>
      <c r="Q444" t="s">
        <v>19</v>
      </c>
      <c r="R444">
        <v>38796</v>
      </c>
      <c r="S444" t="str">
        <f>VLOOKUP(L444&amp;TEXT(I444,"mmmm")&amp;YEAR(I444),'[1]Detalle C-Fecha'!$D$2:$E$15921,2,FALSE)</f>
        <v>CCUCoAZA</v>
      </c>
    </row>
    <row r="445" spans="1:19" x14ac:dyDescent="0.3">
      <c r="A445">
        <v>31179</v>
      </c>
      <c r="B445" t="s">
        <v>28</v>
      </c>
      <c r="C445" t="s">
        <v>15</v>
      </c>
      <c r="D445" t="s">
        <v>16</v>
      </c>
      <c r="E445" t="s">
        <v>53</v>
      </c>
      <c r="F445" s="6" t="str">
        <f t="shared" si="6"/>
        <v>3MC</v>
      </c>
      <c r="G445" s="11">
        <v>46107</v>
      </c>
      <c r="H445" s="12">
        <v>0.69791666666666663</v>
      </c>
      <c r="I445" s="11">
        <v>46107</v>
      </c>
      <c r="J445" s="1">
        <v>46107</v>
      </c>
      <c r="K445" s="1">
        <v>46113</v>
      </c>
      <c r="L445" t="s">
        <v>169</v>
      </c>
      <c r="M445">
        <v>1318</v>
      </c>
      <c r="N445" t="s">
        <v>21</v>
      </c>
      <c r="O445" t="s">
        <v>27</v>
      </c>
      <c r="P445">
        <v>26702</v>
      </c>
      <c r="Q445" t="s">
        <v>19</v>
      </c>
      <c r="R445">
        <v>38937</v>
      </c>
      <c r="S445" t="str">
        <f>VLOOKUP(L445&amp;TEXT(I445,"mmmm")&amp;YEAR(I445),'[1]Detalle C-Fecha'!$D$2:$E$15921,2,FALSE)</f>
        <v>CCUCoAZA</v>
      </c>
    </row>
    <row r="446" spans="1:19" x14ac:dyDescent="0.3">
      <c r="A446">
        <v>31180</v>
      </c>
      <c r="B446" t="s">
        <v>28</v>
      </c>
      <c r="C446" t="s">
        <v>15</v>
      </c>
      <c r="D446" t="s">
        <v>16</v>
      </c>
      <c r="E446" t="s">
        <v>52</v>
      </c>
      <c r="F446" s="6" t="str">
        <f t="shared" si="6"/>
        <v>6MC</v>
      </c>
      <c r="G446" s="11">
        <v>46107</v>
      </c>
      <c r="H446" s="12">
        <v>0.69791666666666663</v>
      </c>
      <c r="I446" s="11">
        <v>46107</v>
      </c>
      <c r="J446" s="1">
        <v>46107</v>
      </c>
      <c r="K446" s="1">
        <v>46113</v>
      </c>
      <c r="L446" t="s">
        <v>169</v>
      </c>
      <c r="M446">
        <v>1318</v>
      </c>
      <c r="N446" t="s">
        <v>21</v>
      </c>
      <c r="O446" t="s">
        <v>27</v>
      </c>
      <c r="P446">
        <v>26703</v>
      </c>
      <c r="Q446" t="s">
        <v>19</v>
      </c>
      <c r="R446">
        <v>38797</v>
      </c>
      <c r="S446" t="str">
        <f>VLOOKUP(L446&amp;TEXT(I446,"mmmm")&amp;YEAR(I446),'[1]Detalle C-Fecha'!$D$2:$E$15921,2,FALSE)</f>
        <v>CCUCoAZA</v>
      </c>
    </row>
    <row r="447" spans="1:19" x14ac:dyDescent="0.3">
      <c r="A447">
        <v>31180</v>
      </c>
      <c r="B447" t="s">
        <v>28</v>
      </c>
      <c r="C447" t="s">
        <v>15</v>
      </c>
      <c r="D447" t="s">
        <v>16</v>
      </c>
      <c r="E447" t="s">
        <v>52</v>
      </c>
      <c r="F447" s="6" t="str">
        <f t="shared" si="6"/>
        <v>6MC</v>
      </c>
      <c r="G447" s="11">
        <v>46107</v>
      </c>
      <c r="H447" s="12">
        <v>0.69791666666666663</v>
      </c>
      <c r="I447" s="11">
        <v>46107</v>
      </c>
      <c r="J447" s="1">
        <v>46107</v>
      </c>
      <c r="K447" s="1">
        <v>46113</v>
      </c>
      <c r="L447" t="s">
        <v>169</v>
      </c>
      <c r="M447">
        <v>1318</v>
      </c>
      <c r="N447" t="s">
        <v>21</v>
      </c>
      <c r="O447" t="s">
        <v>27</v>
      </c>
      <c r="P447">
        <v>26703</v>
      </c>
      <c r="Q447" t="s">
        <v>19</v>
      </c>
      <c r="R447">
        <v>38937</v>
      </c>
      <c r="S447" t="str">
        <f>VLOOKUP(L447&amp;TEXT(I447,"mmmm")&amp;YEAR(I447),'[1]Detalle C-Fecha'!$D$2:$E$15921,2,FALSE)</f>
        <v>CCUCoAZA</v>
      </c>
    </row>
    <row r="448" spans="1:19" x14ac:dyDescent="0.3">
      <c r="A448">
        <v>31498</v>
      </c>
      <c r="B448" t="s">
        <v>28</v>
      </c>
      <c r="C448" t="s">
        <v>15</v>
      </c>
      <c r="D448" t="s">
        <v>16</v>
      </c>
      <c r="E448" t="s">
        <v>108</v>
      </c>
      <c r="F448" s="6" t="str">
        <f t="shared" si="6"/>
        <v>2MU</v>
      </c>
      <c r="G448" s="11">
        <v>46111</v>
      </c>
      <c r="H448" s="12">
        <v>0.34930555555555554</v>
      </c>
      <c r="I448" s="11">
        <v>46111</v>
      </c>
      <c r="K448" s="1">
        <v>46118</v>
      </c>
      <c r="L448" t="s">
        <v>170</v>
      </c>
      <c r="M448" t="s">
        <v>171</v>
      </c>
      <c r="N448" t="s">
        <v>21</v>
      </c>
      <c r="O448" t="s">
        <v>25</v>
      </c>
      <c r="P448">
        <v>26883</v>
      </c>
      <c r="Q448" t="s">
        <v>19</v>
      </c>
      <c r="R448">
        <v>39091</v>
      </c>
      <c r="S448" t="str">
        <f>VLOOKUP(L448&amp;TEXT(I448,"mmmm")&amp;YEAR(I448),'[1]Detalle C-Fecha'!$D$2:$E$15921,2,FALSE)</f>
        <v>SUC_CTC - Sucursal Buenos Aires</v>
      </c>
    </row>
    <row r="449" spans="1:19" x14ac:dyDescent="0.3">
      <c r="A449">
        <v>31498</v>
      </c>
      <c r="B449" t="s">
        <v>28</v>
      </c>
      <c r="C449" t="s">
        <v>15</v>
      </c>
      <c r="D449" t="s">
        <v>16</v>
      </c>
      <c r="E449" t="s">
        <v>108</v>
      </c>
      <c r="F449" s="6" t="str">
        <f t="shared" ref="F449:F512" si="7">MID(E449,1,3)</f>
        <v>2MU</v>
      </c>
      <c r="G449" s="11">
        <v>46111</v>
      </c>
      <c r="H449" s="12">
        <v>0.34930555555555554</v>
      </c>
      <c r="I449" s="11">
        <v>46111</v>
      </c>
      <c r="K449" s="1">
        <v>46118</v>
      </c>
      <c r="L449" t="s">
        <v>170</v>
      </c>
      <c r="M449" t="s">
        <v>171</v>
      </c>
      <c r="N449" t="s">
        <v>21</v>
      </c>
      <c r="O449" t="s">
        <v>25</v>
      </c>
      <c r="P449">
        <v>26883</v>
      </c>
      <c r="Q449" t="s">
        <v>19</v>
      </c>
      <c r="R449">
        <v>39147</v>
      </c>
      <c r="S449" t="str">
        <f>VLOOKUP(L449&amp;TEXT(I449,"mmmm")&amp;YEAR(I449),'[1]Detalle C-Fecha'!$D$2:$E$15921,2,FALSE)</f>
        <v>SUC_CTC - Sucursal Buenos Aires</v>
      </c>
    </row>
    <row r="450" spans="1:19" x14ac:dyDescent="0.3">
      <c r="A450">
        <v>31499</v>
      </c>
      <c r="B450" t="s">
        <v>28</v>
      </c>
      <c r="C450" t="s">
        <v>15</v>
      </c>
      <c r="D450" t="s">
        <v>16</v>
      </c>
      <c r="E450" t="s">
        <v>109</v>
      </c>
      <c r="F450" s="6" t="str">
        <f t="shared" si="7"/>
        <v>3MU</v>
      </c>
      <c r="G450" s="11">
        <v>46111</v>
      </c>
      <c r="H450" s="12">
        <v>0.34930555555555554</v>
      </c>
      <c r="I450" s="11">
        <v>46111</v>
      </c>
      <c r="K450" s="1">
        <v>46118</v>
      </c>
      <c r="L450" t="s">
        <v>170</v>
      </c>
      <c r="M450" t="s">
        <v>171</v>
      </c>
      <c r="N450" t="s">
        <v>21</v>
      </c>
      <c r="O450" t="s">
        <v>25</v>
      </c>
      <c r="P450">
        <v>26884</v>
      </c>
      <c r="Q450" t="s">
        <v>19</v>
      </c>
      <c r="R450">
        <v>39092</v>
      </c>
      <c r="S450" t="str">
        <f>VLOOKUP(L450&amp;TEXT(I450,"mmmm")&amp;YEAR(I450),'[1]Detalle C-Fecha'!$D$2:$E$15921,2,FALSE)</f>
        <v>SUC_CTC - Sucursal Buenos Aires</v>
      </c>
    </row>
    <row r="451" spans="1:19" x14ac:dyDescent="0.3">
      <c r="A451">
        <v>31499</v>
      </c>
      <c r="B451" t="s">
        <v>28</v>
      </c>
      <c r="C451" t="s">
        <v>15</v>
      </c>
      <c r="D451" t="s">
        <v>16</v>
      </c>
      <c r="E451" t="s">
        <v>109</v>
      </c>
      <c r="F451" s="6" t="str">
        <f t="shared" si="7"/>
        <v>3MU</v>
      </c>
      <c r="G451" s="11">
        <v>46111</v>
      </c>
      <c r="H451" s="12">
        <v>0.34930555555555554</v>
      </c>
      <c r="I451" s="11">
        <v>46111</v>
      </c>
      <c r="K451" s="1">
        <v>46118</v>
      </c>
      <c r="L451" t="s">
        <v>170</v>
      </c>
      <c r="M451" t="s">
        <v>171</v>
      </c>
      <c r="N451" t="s">
        <v>21</v>
      </c>
      <c r="O451" t="s">
        <v>25</v>
      </c>
      <c r="P451">
        <v>26884</v>
      </c>
      <c r="Q451" t="s">
        <v>19</v>
      </c>
      <c r="R451">
        <v>39147</v>
      </c>
      <c r="S451" t="str">
        <f>VLOOKUP(L451&amp;TEXT(I451,"mmmm")&amp;YEAR(I451),'[1]Detalle C-Fecha'!$D$2:$E$15921,2,FALSE)</f>
        <v>SUC_CTC - Sucursal Buenos Aires</v>
      </c>
    </row>
    <row r="452" spans="1:19" x14ac:dyDescent="0.3">
      <c r="A452">
        <v>31500</v>
      </c>
      <c r="B452" t="s">
        <v>28</v>
      </c>
      <c r="C452" t="s">
        <v>15</v>
      </c>
      <c r="D452" t="s">
        <v>16</v>
      </c>
      <c r="E452" t="s">
        <v>107</v>
      </c>
      <c r="F452" s="6" t="str">
        <f t="shared" si="7"/>
        <v>4MU</v>
      </c>
      <c r="G452" s="11">
        <v>46111</v>
      </c>
      <c r="H452" s="12">
        <v>0.34930555555555554</v>
      </c>
      <c r="I452" s="11">
        <v>46111</v>
      </c>
      <c r="K452" s="1">
        <v>46118</v>
      </c>
      <c r="L452" t="s">
        <v>170</v>
      </c>
      <c r="M452" t="s">
        <v>171</v>
      </c>
      <c r="N452" t="s">
        <v>21</v>
      </c>
      <c r="O452" t="s">
        <v>25</v>
      </c>
      <c r="P452">
        <v>26885</v>
      </c>
      <c r="Q452" t="s">
        <v>19</v>
      </c>
      <c r="R452">
        <v>39093</v>
      </c>
      <c r="S452" t="str">
        <f>VLOOKUP(L452&amp;TEXT(I452,"mmmm")&amp;YEAR(I452),'[1]Detalle C-Fecha'!$D$2:$E$15921,2,FALSE)</f>
        <v>SUC_CTC - Sucursal Buenos Aires</v>
      </c>
    </row>
    <row r="453" spans="1:19" x14ac:dyDescent="0.3">
      <c r="A453">
        <v>31500</v>
      </c>
      <c r="B453" t="s">
        <v>28</v>
      </c>
      <c r="C453" t="s">
        <v>15</v>
      </c>
      <c r="D453" t="s">
        <v>16</v>
      </c>
      <c r="E453" t="s">
        <v>107</v>
      </c>
      <c r="F453" s="6" t="str">
        <f t="shared" si="7"/>
        <v>4MU</v>
      </c>
      <c r="G453" s="11">
        <v>46111</v>
      </c>
      <c r="H453" s="12">
        <v>0.34930555555555554</v>
      </c>
      <c r="I453" s="11">
        <v>46111</v>
      </c>
      <c r="K453" s="1">
        <v>46118</v>
      </c>
      <c r="L453" t="s">
        <v>170</v>
      </c>
      <c r="M453" t="s">
        <v>171</v>
      </c>
      <c r="N453" t="s">
        <v>21</v>
      </c>
      <c r="O453" t="s">
        <v>25</v>
      </c>
      <c r="P453">
        <v>26885</v>
      </c>
      <c r="Q453" t="s">
        <v>19</v>
      </c>
      <c r="R453">
        <v>39147</v>
      </c>
      <c r="S453" t="str">
        <f>VLOOKUP(L453&amp;TEXT(I453,"mmmm")&amp;YEAR(I453),'[1]Detalle C-Fecha'!$D$2:$E$15921,2,FALSE)</f>
        <v>SUC_CTC - Sucursal Buenos Aires</v>
      </c>
    </row>
    <row r="454" spans="1:19" x14ac:dyDescent="0.3">
      <c r="A454">
        <v>31501</v>
      </c>
      <c r="B454" t="s">
        <v>28</v>
      </c>
      <c r="C454" t="s">
        <v>15</v>
      </c>
      <c r="D454" t="s">
        <v>16</v>
      </c>
      <c r="E454" t="s">
        <v>110</v>
      </c>
      <c r="F454" s="6" t="str">
        <f t="shared" si="7"/>
        <v>5MU</v>
      </c>
      <c r="G454" s="11">
        <v>46111</v>
      </c>
      <c r="H454" s="12">
        <v>0.35000000000000003</v>
      </c>
      <c r="I454" s="11">
        <v>46111</v>
      </c>
      <c r="K454" s="1">
        <v>46118</v>
      </c>
      <c r="L454" t="s">
        <v>170</v>
      </c>
      <c r="M454" t="s">
        <v>171</v>
      </c>
      <c r="N454" t="s">
        <v>21</v>
      </c>
      <c r="O454" t="s">
        <v>25</v>
      </c>
      <c r="P454">
        <v>26886</v>
      </c>
      <c r="Q454" t="s">
        <v>19</v>
      </c>
      <c r="R454">
        <v>39094</v>
      </c>
      <c r="S454" t="str">
        <f>VLOOKUP(L454&amp;TEXT(I454,"mmmm")&amp;YEAR(I454),'[1]Detalle C-Fecha'!$D$2:$E$15921,2,FALSE)</f>
        <v>SUC_CTC - Sucursal Buenos Aires</v>
      </c>
    </row>
    <row r="455" spans="1:19" x14ac:dyDescent="0.3">
      <c r="A455">
        <v>31501</v>
      </c>
      <c r="B455" t="s">
        <v>28</v>
      </c>
      <c r="C455" t="s">
        <v>15</v>
      </c>
      <c r="D455" t="s">
        <v>16</v>
      </c>
      <c r="E455" t="s">
        <v>110</v>
      </c>
      <c r="F455" s="6" t="str">
        <f t="shared" si="7"/>
        <v>5MU</v>
      </c>
      <c r="G455" s="11">
        <v>46111</v>
      </c>
      <c r="H455" s="12">
        <v>0.35000000000000003</v>
      </c>
      <c r="I455" s="11">
        <v>46111</v>
      </c>
      <c r="K455" s="1">
        <v>46118</v>
      </c>
      <c r="L455" t="s">
        <v>170</v>
      </c>
      <c r="M455" t="s">
        <v>171</v>
      </c>
      <c r="N455" t="s">
        <v>21</v>
      </c>
      <c r="O455" t="s">
        <v>25</v>
      </c>
      <c r="P455">
        <v>26886</v>
      </c>
      <c r="Q455" t="s">
        <v>19</v>
      </c>
      <c r="R455">
        <v>39147</v>
      </c>
      <c r="S455" t="str">
        <f>VLOOKUP(L455&amp;TEXT(I455,"mmmm")&amp;YEAR(I455),'[1]Detalle C-Fecha'!$D$2:$E$15921,2,FALSE)</f>
        <v>SUC_CTC - Sucursal Buenos Aires</v>
      </c>
    </row>
    <row r="456" spans="1:19" x14ac:dyDescent="0.3">
      <c r="A456">
        <v>31526</v>
      </c>
      <c r="B456" t="s">
        <v>28</v>
      </c>
      <c r="C456" t="s">
        <v>15</v>
      </c>
      <c r="D456" t="s">
        <v>16</v>
      </c>
      <c r="E456" t="s">
        <v>35</v>
      </c>
      <c r="F456" s="6" t="str">
        <f t="shared" si="7"/>
        <v>2ML</v>
      </c>
      <c r="G456" s="11">
        <v>46111</v>
      </c>
      <c r="H456" s="12">
        <v>0.67638888888888893</v>
      </c>
      <c r="I456" s="11">
        <v>46111</v>
      </c>
      <c r="J456" s="1">
        <v>46111</v>
      </c>
      <c r="K456" s="1">
        <v>46111</v>
      </c>
      <c r="L456" t="s">
        <v>173</v>
      </c>
      <c r="M456" t="s">
        <v>146</v>
      </c>
      <c r="N456" t="s">
        <v>17</v>
      </c>
      <c r="O456" t="s">
        <v>24</v>
      </c>
      <c r="P456">
        <v>26943</v>
      </c>
      <c r="Q456" t="s">
        <v>19</v>
      </c>
      <c r="R456">
        <v>38737</v>
      </c>
      <c r="S456" t="str">
        <f>VLOOKUP(L456&amp;TEXT(I456,"mmmm")&amp;YEAR(I456),'[1]Detalle C-Fecha'!$D$2:$E$15921,2,FALSE)</f>
        <v>CENCOMLD - Cencosud SA - Mendoza</v>
      </c>
    </row>
    <row r="457" spans="1:19" x14ac:dyDescent="0.3">
      <c r="A457">
        <v>31526</v>
      </c>
      <c r="B457" t="s">
        <v>28</v>
      </c>
      <c r="C457" t="s">
        <v>15</v>
      </c>
      <c r="D457" t="s">
        <v>16</v>
      </c>
      <c r="E457" t="s">
        <v>35</v>
      </c>
      <c r="F457" s="6" t="str">
        <f t="shared" si="7"/>
        <v>2ML</v>
      </c>
      <c r="G457" s="11">
        <v>46111</v>
      </c>
      <c r="H457" s="12">
        <v>0.67638888888888893</v>
      </c>
      <c r="I457" s="11">
        <v>46111</v>
      </c>
      <c r="J457" s="1">
        <v>46111</v>
      </c>
      <c r="K457" s="1">
        <v>46111</v>
      </c>
      <c r="L457" t="s">
        <v>173</v>
      </c>
      <c r="M457" t="s">
        <v>146</v>
      </c>
      <c r="N457" t="s">
        <v>17</v>
      </c>
      <c r="O457" t="s">
        <v>24</v>
      </c>
      <c r="P457">
        <v>26943</v>
      </c>
      <c r="Q457" t="s">
        <v>19</v>
      </c>
      <c r="R457">
        <v>38738</v>
      </c>
      <c r="S457" t="str">
        <f>VLOOKUP(L457&amp;TEXT(I457,"mmmm")&amp;YEAR(I457),'[1]Detalle C-Fecha'!$D$2:$E$15921,2,FALSE)</f>
        <v>CENCOMLD - Cencosud SA - Mendoza</v>
      </c>
    </row>
    <row r="458" spans="1:19" x14ac:dyDescent="0.3">
      <c r="A458">
        <v>31527</v>
      </c>
      <c r="B458" t="s">
        <v>28</v>
      </c>
      <c r="C458" t="s">
        <v>15</v>
      </c>
      <c r="D458" t="s">
        <v>16</v>
      </c>
      <c r="E458" t="s">
        <v>47</v>
      </c>
      <c r="F458" s="6" t="str">
        <f t="shared" si="7"/>
        <v>3ML</v>
      </c>
      <c r="G458" s="11">
        <v>46111</v>
      </c>
      <c r="H458" s="12">
        <v>0.67638888888888893</v>
      </c>
      <c r="I458" s="11">
        <v>46111</v>
      </c>
      <c r="J458" s="1">
        <v>46111</v>
      </c>
      <c r="K458" s="1">
        <v>46111</v>
      </c>
      <c r="L458" t="s">
        <v>173</v>
      </c>
      <c r="M458" t="s">
        <v>146</v>
      </c>
      <c r="N458" t="s">
        <v>17</v>
      </c>
      <c r="O458" t="s">
        <v>24</v>
      </c>
      <c r="P458">
        <v>26944</v>
      </c>
      <c r="Q458" t="s">
        <v>19</v>
      </c>
      <c r="R458">
        <v>38739</v>
      </c>
      <c r="S458" t="str">
        <f>VLOOKUP(L458&amp;TEXT(I458,"mmmm")&amp;YEAR(I458),'[1]Detalle C-Fecha'!$D$2:$E$15921,2,FALSE)</f>
        <v>CENCOMLD - Cencosud SA - Mendoza</v>
      </c>
    </row>
    <row r="459" spans="1:19" x14ac:dyDescent="0.3">
      <c r="A459">
        <v>31528</v>
      </c>
      <c r="B459" t="s">
        <v>28</v>
      </c>
      <c r="C459" t="s">
        <v>15</v>
      </c>
      <c r="D459" t="s">
        <v>16</v>
      </c>
      <c r="E459" t="s">
        <v>46</v>
      </c>
      <c r="F459" s="6" t="str">
        <f t="shared" si="7"/>
        <v>6ML</v>
      </c>
      <c r="G459" s="11">
        <v>46111</v>
      </c>
      <c r="H459" s="12">
        <v>0.67638888888888893</v>
      </c>
      <c r="I459" s="11">
        <v>46111</v>
      </c>
      <c r="J459" s="1">
        <v>46111</v>
      </c>
      <c r="K459" s="1">
        <v>46111</v>
      </c>
      <c r="L459" t="s">
        <v>173</v>
      </c>
      <c r="M459" t="s">
        <v>146</v>
      </c>
      <c r="N459" t="s">
        <v>17</v>
      </c>
      <c r="O459" t="s">
        <v>24</v>
      </c>
      <c r="P459">
        <v>26945</v>
      </c>
      <c r="Q459" t="s">
        <v>19</v>
      </c>
      <c r="R459">
        <v>38741</v>
      </c>
      <c r="S459" t="str">
        <f>VLOOKUP(L459&amp;TEXT(I459,"mmmm")&amp;YEAR(I459),'[1]Detalle C-Fecha'!$D$2:$E$15921,2,FALSE)</f>
        <v>CENCOMLD - Cencosud SA - Mendoza</v>
      </c>
    </row>
    <row r="460" spans="1:19" x14ac:dyDescent="0.3">
      <c r="A460">
        <v>31529</v>
      </c>
      <c r="B460" t="s">
        <v>28</v>
      </c>
      <c r="C460" t="s">
        <v>15</v>
      </c>
      <c r="D460" t="s">
        <v>16</v>
      </c>
      <c r="E460" t="s">
        <v>110</v>
      </c>
      <c r="F460" s="6" t="str">
        <f t="shared" si="7"/>
        <v>5MU</v>
      </c>
      <c r="G460" s="11">
        <v>46111</v>
      </c>
      <c r="H460" s="12">
        <v>0.67638888888888893</v>
      </c>
      <c r="I460" s="11">
        <v>46111</v>
      </c>
      <c r="J460" s="1">
        <v>46111</v>
      </c>
      <c r="K460" s="1">
        <v>46111</v>
      </c>
      <c r="L460" t="s">
        <v>173</v>
      </c>
      <c r="M460" t="s">
        <v>146</v>
      </c>
      <c r="N460" t="s">
        <v>17</v>
      </c>
      <c r="O460" t="s">
        <v>24</v>
      </c>
      <c r="P460">
        <v>26946</v>
      </c>
      <c r="Q460" t="s">
        <v>19</v>
      </c>
      <c r="R460">
        <v>38743</v>
      </c>
      <c r="S460" t="str">
        <f>VLOOKUP(L460&amp;TEXT(I460,"mmmm")&amp;YEAR(I460),'[1]Detalle C-Fecha'!$D$2:$E$15921,2,FALSE)</f>
        <v>CENCOMLD - Cencosud SA - Mendoza</v>
      </c>
    </row>
    <row r="461" spans="1:19" x14ac:dyDescent="0.3">
      <c r="A461">
        <v>31529</v>
      </c>
      <c r="B461" t="s">
        <v>28</v>
      </c>
      <c r="C461" t="s">
        <v>15</v>
      </c>
      <c r="D461" t="s">
        <v>16</v>
      </c>
      <c r="E461" t="s">
        <v>110</v>
      </c>
      <c r="F461" s="6" t="str">
        <f t="shared" si="7"/>
        <v>5MU</v>
      </c>
      <c r="G461" s="11">
        <v>46111</v>
      </c>
      <c r="H461" s="12">
        <v>0.67638888888888893</v>
      </c>
      <c r="I461" s="11">
        <v>46111</v>
      </c>
      <c r="J461" s="1">
        <v>46111</v>
      </c>
      <c r="K461" s="1">
        <v>46111</v>
      </c>
      <c r="L461" t="s">
        <v>173</v>
      </c>
      <c r="M461" t="s">
        <v>146</v>
      </c>
      <c r="N461" t="s">
        <v>17</v>
      </c>
      <c r="O461" t="s">
        <v>24</v>
      </c>
      <c r="P461">
        <v>26946</v>
      </c>
      <c r="Q461" t="s">
        <v>19</v>
      </c>
      <c r="R461">
        <v>38744</v>
      </c>
      <c r="S461" t="str">
        <f>VLOOKUP(L461&amp;TEXT(I461,"mmmm")&amp;YEAR(I461),'[1]Detalle C-Fecha'!$D$2:$E$15921,2,FALSE)</f>
        <v>CENCOMLD - Cencosud SA - Mendoza</v>
      </c>
    </row>
    <row r="462" spans="1:19" x14ac:dyDescent="0.3">
      <c r="A462">
        <v>31706</v>
      </c>
      <c r="B462" t="s">
        <v>28</v>
      </c>
      <c r="C462" t="s">
        <v>15</v>
      </c>
      <c r="D462" t="s">
        <v>16</v>
      </c>
      <c r="E462" t="s">
        <v>51</v>
      </c>
      <c r="F462" s="6" t="str">
        <f t="shared" si="7"/>
        <v>2MC</v>
      </c>
      <c r="G462" s="11">
        <v>46113</v>
      </c>
      <c r="H462" s="12">
        <v>0.8652777777777777</v>
      </c>
      <c r="I462" s="11">
        <v>46113</v>
      </c>
      <c r="J462" s="1">
        <v>46113</v>
      </c>
      <c r="K462" s="1">
        <v>46118</v>
      </c>
      <c r="L462" t="s">
        <v>174</v>
      </c>
      <c r="M462" t="s">
        <v>130</v>
      </c>
      <c r="N462" t="s">
        <v>21</v>
      </c>
      <c r="O462" t="s">
        <v>27</v>
      </c>
      <c r="P462">
        <v>27026</v>
      </c>
      <c r="Q462" t="s">
        <v>19</v>
      </c>
      <c r="R462">
        <v>39216</v>
      </c>
      <c r="S462" t="str">
        <f>VLOOKUP(L462&amp;TEXT(I462,"mmmm")&amp;YEAR(I462),'[1]Detalle C-Fecha'!$D$2:$E$15921,2,FALSE)</f>
        <v>CCUCoAZA</v>
      </c>
    </row>
    <row r="463" spans="1:19" x14ac:dyDescent="0.3">
      <c r="A463">
        <v>31706</v>
      </c>
      <c r="B463" t="s">
        <v>28</v>
      </c>
      <c r="C463" t="s">
        <v>15</v>
      </c>
      <c r="D463" t="s">
        <v>16</v>
      </c>
      <c r="E463" t="s">
        <v>51</v>
      </c>
      <c r="F463" s="6" t="str">
        <f t="shared" si="7"/>
        <v>2MC</v>
      </c>
      <c r="G463" s="11">
        <v>46113</v>
      </c>
      <c r="H463" s="12">
        <v>0.8652777777777777</v>
      </c>
      <c r="I463" s="11">
        <v>46113</v>
      </c>
      <c r="J463" s="1">
        <v>46113</v>
      </c>
      <c r="K463" s="1">
        <v>46118</v>
      </c>
      <c r="L463" t="s">
        <v>174</v>
      </c>
      <c r="M463" t="s">
        <v>130</v>
      </c>
      <c r="N463" t="s">
        <v>21</v>
      </c>
      <c r="O463" t="s">
        <v>27</v>
      </c>
      <c r="P463">
        <v>27026</v>
      </c>
      <c r="Q463" t="s">
        <v>19</v>
      </c>
      <c r="R463">
        <v>39419</v>
      </c>
      <c r="S463" t="str">
        <f>VLOOKUP(L463&amp;TEXT(I463,"mmmm")&amp;YEAR(I463),'[1]Detalle C-Fecha'!$D$2:$E$15921,2,FALSE)</f>
        <v>CCUCoAZA</v>
      </c>
    </row>
    <row r="464" spans="1:19" x14ac:dyDescent="0.3">
      <c r="A464">
        <v>31707</v>
      </c>
      <c r="B464" t="s">
        <v>28</v>
      </c>
      <c r="C464" t="s">
        <v>15</v>
      </c>
      <c r="D464" t="s">
        <v>16</v>
      </c>
      <c r="E464" t="s">
        <v>53</v>
      </c>
      <c r="F464" s="6" t="str">
        <f t="shared" si="7"/>
        <v>3MC</v>
      </c>
      <c r="G464" s="11">
        <v>46113</v>
      </c>
      <c r="H464" s="12">
        <v>0.8652777777777777</v>
      </c>
      <c r="I464" s="11">
        <v>46113</v>
      </c>
      <c r="J464" s="1">
        <v>46113</v>
      </c>
      <c r="K464" s="1">
        <v>46118</v>
      </c>
      <c r="L464" t="s">
        <v>174</v>
      </c>
      <c r="M464" t="s">
        <v>130</v>
      </c>
      <c r="N464" t="s">
        <v>21</v>
      </c>
      <c r="O464" t="s">
        <v>27</v>
      </c>
      <c r="P464">
        <v>27027</v>
      </c>
      <c r="Q464" t="s">
        <v>19</v>
      </c>
      <c r="R464">
        <v>39217</v>
      </c>
      <c r="S464" t="str">
        <f>VLOOKUP(L464&amp;TEXT(I464,"mmmm")&amp;YEAR(I464),'[1]Detalle C-Fecha'!$D$2:$E$15921,2,FALSE)</f>
        <v>CCUCoAZA</v>
      </c>
    </row>
    <row r="465" spans="1:19" x14ac:dyDescent="0.3">
      <c r="A465">
        <v>31707</v>
      </c>
      <c r="B465" t="s">
        <v>28</v>
      </c>
      <c r="C465" t="s">
        <v>15</v>
      </c>
      <c r="D465" t="s">
        <v>16</v>
      </c>
      <c r="E465" t="s">
        <v>53</v>
      </c>
      <c r="F465" s="6" t="str">
        <f t="shared" si="7"/>
        <v>3MC</v>
      </c>
      <c r="G465" s="11">
        <v>46113</v>
      </c>
      <c r="H465" s="12">
        <v>0.8652777777777777</v>
      </c>
      <c r="I465" s="11">
        <v>46113</v>
      </c>
      <c r="J465" s="1">
        <v>46113</v>
      </c>
      <c r="K465" s="1">
        <v>46118</v>
      </c>
      <c r="L465" t="s">
        <v>174</v>
      </c>
      <c r="M465" t="s">
        <v>130</v>
      </c>
      <c r="N465" t="s">
        <v>21</v>
      </c>
      <c r="O465" t="s">
        <v>27</v>
      </c>
      <c r="P465">
        <v>27027</v>
      </c>
      <c r="Q465" t="s">
        <v>19</v>
      </c>
      <c r="R465">
        <v>39419</v>
      </c>
      <c r="S465" t="str">
        <f>VLOOKUP(L465&amp;TEXT(I465,"mmmm")&amp;YEAR(I465),'[1]Detalle C-Fecha'!$D$2:$E$15921,2,FALSE)</f>
        <v>CCUCoAZA</v>
      </c>
    </row>
    <row r="466" spans="1:19" x14ac:dyDescent="0.3">
      <c r="A466">
        <v>31708</v>
      </c>
      <c r="B466" t="s">
        <v>28</v>
      </c>
      <c r="C466" t="s">
        <v>15</v>
      </c>
      <c r="D466" t="s">
        <v>16</v>
      </c>
      <c r="E466" t="s">
        <v>52</v>
      </c>
      <c r="F466" s="6" t="str">
        <f t="shared" si="7"/>
        <v>6MC</v>
      </c>
      <c r="G466" s="11">
        <v>46113</v>
      </c>
      <c r="H466" s="12">
        <v>0.8652777777777777</v>
      </c>
      <c r="I466" s="11">
        <v>46113</v>
      </c>
      <c r="J466" s="1">
        <v>46113</v>
      </c>
      <c r="K466" s="1">
        <v>46118</v>
      </c>
      <c r="L466" t="s">
        <v>174</v>
      </c>
      <c r="M466" t="s">
        <v>130</v>
      </c>
      <c r="N466" t="s">
        <v>21</v>
      </c>
      <c r="O466" t="s">
        <v>27</v>
      </c>
      <c r="P466">
        <v>27028</v>
      </c>
      <c r="Q466" t="s">
        <v>19</v>
      </c>
      <c r="R466">
        <v>39218</v>
      </c>
      <c r="S466" t="str">
        <f>VLOOKUP(L466&amp;TEXT(I466,"mmmm")&amp;YEAR(I466),'[1]Detalle C-Fecha'!$D$2:$E$15921,2,FALSE)</f>
        <v>CCUCoAZA</v>
      </c>
    </row>
    <row r="467" spans="1:19" x14ac:dyDescent="0.3">
      <c r="A467">
        <v>31708</v>
      </c>
      <c r="B467" t="s">
        <v>28</v>
      </c>
      <c r="C467" t="s">
        <v>15</v>
      </c>
      <c r="D467" t="s">
        <v>16</v>
      </c>
      <c r="E467" t="s">
        <v>52</v>
      </c>
      <c r="F467" s="6" t="str">
        <f t="shared" si="7"/>
        <v>6MC</v>
      </c>
      <c r="G467" s="11">
        <v>46113</v>
      </c>
      <c r="H467" s="12">
        <v>0.8652777777777777</v>
      </c>
      <c r="I467" s="11">
        <v>46113</v>
      </c>
      <c r="J467" s="1">
        <v>46113</v>
      </c>
      <c r="K467" s="1">
        <v>46118</v>
      </c>
      <c r="L467" t="s">
        <v>174</v>
      </c>
      <c r="M467" t="s">
        <v>130</v>
      </c>
      <c r="N467" t="s">
        <v>21</v>
      </c>
      <c r="O467" t="s">
        <v>27</v>
      </c>
      <c r="P467">
        <v>27028</v>
      </c>
      <c r="Q467" t="s">
        <v>19</v>
      </c>
      <c r="R467">
        <v>39419</v>
      </c>
      <c r="S467" t="str">
        <f>VLOOKUP(L467&amp;TEXT(I467,"mmmm")&amp;YEAR(I467),'[1]Detalle C-Fecha'!$D$2:$E$15921,2,FALSE)</f>
        <v>CCUCoAZA</v>
      </c>
    </row>
    <row r="468" spans="1:19" x14ac:dyDescent="0.3">
      <c r="A468">
        <v>31746</v>
      </c>
      <c r="B468" t="s">
        <v>28</v>
      </c>
      <c r="C468" t="s">
        <v>15</v>
      </c>
      <c r="D468" t="s">
        <v>16</v>
      </c>
      <c r="E468" t="s">
        <v>35</v>
      </c>
      <c r="F468" s="6" t="str">
        <f t="shared" si="7"/>
        <v>2ML</v>
      </c>
      <c r="G468" s="11">
        <v>46118</v>
      </c>
      <c r="H468" s="12">
        <v>0.60486111111111118</v>
      </c>
      <c r="I468" s="11">
        <v>46118</v>
      </c>
      <c r="J468" s="1">
        <v>46118</v>
      </c>
      <c r="K468" s="1">
        <v>46118</v>
      </c>
      <c r="L468" t="s">
        <v>29</v>
      </c>
      <c r="M468" t="s">
        <v>142</v>
      </c>
      <c r="N468" t="s">
        <v>31</v>
      </c>
      <c r="O468" t="s">
        <v>25</v>
      </c>
      <c r="P468">
        <v>27054</v>
      </c>
      <c r="Q468" t="s">
        <v>19</v>
      </c>
      <c r="R468">
        <v>40266</v>
      </c>
      <c r="S468" t="str">
        <f>VLOOKUP(L468&amp;TEXT(I468,"mmmm")&amp;YEAR(I468),'[1]Detalle C-Fecha'!$D$2:$E$15921,2,FALSE)</f>
        <v>Expreso - Servicios Troncales</v>
      </c>
    </row>
    <row r="469" spans="1:19" x14ac:dyDescent="0.3">
      <c r="A469">
        <v>31746</v>
      </c>
      <c r="B469" t="s">
        <v>28</v>
      </c>
      <c r="C469" t="s">
        <v>15</v>
      </c>
      <c r="D469" t="s">
        <v>16</v>
      </c>
      <c r="E469" t="s">
        <v>35</v>
      </c>
      <c r="F469" s="6" t="str">
        <f t="shared" si="7"/>
        <v>2ML</v>
      </c>
      <c r="G469" s="11">
        <v>46118</v>
      </c>
      <c r="H469" s="12">
        <v>0.60486111111111118</v>
      </c>
      <c r="I469" s="11">
        <v>46118</v>
      </c>
      <c r="J469" s="1">
        <v>46118</v>
      </c>
      <c r="K469" s="1">
        <v>46118</v>
      </c>
      <c r="L469" t="s">
        <v>29</v>
      </c>
      <c r="M469" t="s">
        <v>142</v>
      </c>
      <c r="N469" t="s">
        <v>31</v>
      </c>
      <c r="O469" t="s">
        <v>25</v>
      </c>
      <c r="P469">
        <v>27054</v>
      </c>
      <c r="Q469" t="s">
        <v>19</v>
      </c>
      <c r="R469">
        <v>40267</v>
      </c>
      <c r="S469" t="str">
        <f>VLOOKUP(L469&amp;TEXT(I469,"mmmm")&amp;YEAR(I469),'[1]Detalle C-Fecha'!$D$2:$E$15921,2,FALSE)</f>
        <v>Expreso - Servicios Troncales</v>
      </c>
    </row>
    <row r="470" spans="1:19" x14ac:dyDescent="0.3">
      <c r="A470">
        <v>31747</v>
      </c>
      <c r="B470" t="s">
        <v>28</v>
      </c>
      <c r="C470" t="s">
        <v>15</v>
      </c>
      <c r="D470" t="s">
        <v>16</v>
      </c>
      <c r="E470" t="s">
        <v>47</v>
      </c>
      <c r="F470" s="6" t="str">
        <f t="shared" si="7"/>
        <v>3ML</v>
      </c>
      <c r="G470" s="11">
        <v>46118</v>
      </c>
      <c r="H470" s="12">
        <v>0.60486111111111118</v>
      </c>
      <c r="I470" s="11">
        <v>46118</v>
      </c>
      <c r="J470" s="1">
        <v>46118</v>
      </c>
      <c r="K470" s="1">
        <v>46118</v>
      </c>
      <c r="L470" t="s">
        <v>29</v>
      </c>
      <c r="M470" t="s">
        <v>142</v>
      </c>
      <c r="N470" t="s">
        <v>31</v>
      </c>
      <c r="O470" t="s">
        <v>25</v>
      </c>
      <c r="P470">
        <v>27053</v>
      </c>
      <c r="Q470" t="s">
        <v>19</v>
      </c>
      <c r="R470">
        <v>39447</v>
      </c>
      <c r="S470" t="str">
        <f>VLOOKUP(L470&amp;TEXT(I470,"mmmm")&amp;YEAR(I470),'[1]Detalle C-Fecha'!$D$2:$E$15921,2,FALSE)</f>
        <v>Expreso - Servicios Troncales</v>
      </c>
    </row>
    <row r="471" spans="1:19" x14ac:dyDescent="0.3">
      <c r="A471">
        <v>31747</v>
      </c>
      <c r="B471" t="s">
        <v>28</v>
      </c>
      <c r="C471" t="s">
        <v>15</v>
      </c>
      <c r="D471" t="s">
        <v>16</v>
      </c>
      <c r="E471" t="s">
        <v>47</v>
      </c>
      <c r="F471" s="6" t="str">
        <f t="shared" si="7"/>
        <v>3ML</v>
      </c>
      <c r="G471" s="11">
        <v>46118</v>
      </c>
      <c r="H471" s="12">
        <v>0.60486111111111118</v>
      </c>
      <c r="I471" s="11">
        <v>46118</v>
      </c>
      <c r="J471" s="1">
        <v>46118</v>
      </c>
      <c r="K471" s="1">
        <v>46118</v>
      </c>
      <c r="L471" t="s">
        <v>29</v>
      </c>
      <c r="M471" t="s">
        <v>142</v>
      </c>
      <c r="N471" t="s">
        <v>31</v>
      </c>
      <c r="O471" t="s">
        <v>25</v>
      </c>
      <c r="P471">
        <v>27053</v>
      </c>
      <c r="Q471" t="s">
        <v>19</v>
      </c>
      <c r="R471">
        <v>39450</v>
      </c>
      <c r="S471" t="str">
        <f>VLOOKUP(L471&amp;TEXT(I471,"mmmm")&amp;YEAR(I471),'[1]Detalle C-Fecha'!$D$2:$E$15921,2,FALSE)</f>
        <v>Expreso - Servicios Troncales</v>
      </c>
    </row>
    <row r="472" spans="1:19" x14ac:dyDescent="0.3">
      <c r="A472">
        <v>31748</v>
      </c>
      <c r="B472" t="s">
        <v>28</v>
      </c>
      <c r="C472" t="s">
        <v>15</v>
      </c>
      <c r="D472" t="s">
        <v>16</v>
      </c>
      <c r="E472" t="s">
        <v>137</v>
      </c>
      <c r="F472" s="6" t="str">
        <f t="shared" si="7"/>
        <v>7ML</v>
      </c>
      <c r="G472" s="11">
        <v>46118</v>
      </c>
      <c r="H472" s="12">
        <v>0.60486111111111118</v>
      </c>
      <c r="I472" s="11">
        <v>46118</v>
      </c>
      <c r="J472" s="1">
        <v>46118</v>
      </c>
      <c r="K472" s="1">
        <v>46118</v>
      </c>
      <c r="L472" t="s">
        <v>29</v>
      </c>
      <c r="M472" t="s">
        <v>142</v>
      </c>
      <c r="N472" t="s">
        <v>31</v>
      </c>
      <c r="O472" t="s">
        <v>25</v>
      </c>
      <c r="P472">
        <v>27052</v>
      </c>
      <c r="Q472" t="s">
        <v>19</v>
      </c>
      <c r="R472">
        <v>39459</v>
      </c>
      <c r="S472" t="str">
        <f>VLOOKUP(L472&amp;TEXT(I472,"mmmm")&amp;YEAR(I472),'[1]Detalle C-Fecha'!$D$2:$E$15921,2,FALSE)</f>
        <v>Expreso - Servicios Troncales</v>
      </c>
    </row>
    <row r="473" spans="1:19" x14ac:dyDescent="0.3">
      <c r="A473">
        <v>31748</v>
      </c>
      <c r="B473" t="s">
        <v>28</v>
      </c>
      <c r="C473" t="s">
        <v>15</v>
      </c>
      <c r="D473" t="s">
        <v>16</v>
      </c>
      <c r="E473" t="s">
        <v>137</v>
      </c>
      <c r="F473" s="6" t="str">
        <f t="shared" si="7"/>
        <v>7ML</v>
      </c>
      <c r="G473" s="11">
        <v>46118</v>
      </c>
      <c r="H473" s="12">
        <v>0.60486111111111118</v>
      </c>
      <c r="I473" s="11">
        <v>46118</v>
      </c>
      <c r="J473" s="1">
        <v>46118</v>
      </c>
      <c r="K473" s="1">
        <v>46118</v>
      </c>
      <c r="L473" t="s">
        <v>29</v>
      </c>
      <c r="M473" t="s">
        <v>142</v>
      </c>
      <c r="N473" t="s">
        <v>31</v>
      </c>
      <c r="O473" t="s">
        <v>25</v>
      </c>
      <c r="P473">
        <v>27052</v>
      </c>
      <c r="Q473" t="s">
        <v>19</v>
      </c>
      <c r="R473">
        <v>39460</v>
      </c>
      <c r="S473" t="str">
        <f>VLOOKUP(L473&amp;TEXT(I473,"mmmm")&amp;YEAR(I473),'[1]Detalle C-Fecha'!$D$2:$E$15921,2,FALSE)</f>
        <v>Expreso - Servicios Troncales</v>
      </c>
    </row>
    <row r="474" spans="1:19" x14ac:dyDescent="0.3">
      <c r="A474">
        <v>31749</v>
      </c>
      <c r="B474" t="s">
        <v>28</v>
      </c>
      <c r="C474" t="s">
        <v>15</v>
      </c>
      <c r="D474" t="s">
        <v>16</v>
      </c>
      <c r="E474" t="s">
        <v>46</v>
      </c>
      <c r="F474" s="6" t="str">
        <f t="shared" si="7"/>
        <v>6ML</v>
      </c>
      <c r="G474" s="11">
        <v>46118</v>
      </c>
      <c r="H474" s="12">
        <v>0.60486111111111118</v>
      </c>
      <c r="I474" s="11">
        <v>46118</v>
      </c>
      <c r="J474" s="1">
        <v>46118</v>
      </c>
      <c r="K474" s="1">
        <v>46118</v>
      </c>
      <c r="L474" t="s">
        <v>29</v>
      </c>
      <c r="M474" t="s">
        <v>142</v>
      </c>
      <c r="N474" t="s">
        <v>31</v>
      </c>
      <c r="O474" t="s">
        <v>25</v>
      </c>
      <c r="P474">
        <v>27051</v>
      </c>
      <c r="Q474" t="s">
        <v>19</v>
      </c>
      <c r="R474">
        <v>39457</v>
      </c>
      <c r="S474" t="str">
        <f>VLOOKUP(L474&amp;TEXT(I474,"mmmm")&amp;YEAR(I474),'[1]Detalle C-Fecha'!$D$2:$E$15921,2,FALSE)</f>
        <v>Expreso - Servicios Troncales</v>
      </c>
    </row>
    <row r="475" spans="1:19" x14ac:dyDescent="0.3">
      <c r="A475">
        <v>31749</v>
      </c>
      <c r="B475" t="s">
        <v>28</v>
      </c>
      <c r="C475" t="s">
        <v>15</v>
      </c>
      <c r="D475" t="s">
        <v>16</v>
      </c>
      <c r="E475" t="s">
        <v>46</v>
      </c>
      <c r="F475" s="6" t="str">
        <f t="shared" si="7"/>
        <v>6ML</v>
      </c>
      <c r="G475" s="11">
        <v>46118</v>
      </c>
      <c r="H475" s="12">
        <v>0.60486111111111118</v>
      </c>
      <c r="I475" s="11">
        <v>46118</v>
      </c>
      <c r="J475" s="1">
        <v>46118</v>
      </c>
      <c r="K475" s="1">
        <v>46118</v>
      </c>
      <c r="L475" t="s">
        <v>29</v>
      </c>
      <c r="M475" t="s">
        <v>142</v>
      </c>
      <c r="N475" t="s">
        <v>31</v>
      </c>
      <c r="O475" t="s">
        <v>25</v>
      </c>
      <c r="P475">
        <v>27051</v>
      </c>
      <c r="Q475" t="s">
        <v>19</v>
      </c>
      <c r="R475">
        <v>39458</v>
      </c>
      <c r="S475" t="str">
        <f>VLOOKUP(L475&amp;TEXT(I475,"mmmm")&amp;YEAR(I475),'[1]Detalle C-Fecha'!$D$2:$E$15921,2,FALSE)</f>
        <v>Expreso - Servicios Troncales</v>
      </c>
    </row>
    <row r="476" spans="1:19" x14ac:dyDescent="0.3">
      <c r="A476">
        <v>31919</v>
      </c>
      <c r="B476" t="s">
        <v>28</v>
      </c>
      <c r="C476" t="s">
        <v>15</v>
      </c>
      <c r="D476" t="s">
        <v>16</v>
      </c>
      <c r="E476" t="s">
        <v>35</v>
      </c>
      <c r="F476" s="6" t="str">
        <f t="shared" si="7"/>
        <v>2ML</v>
      </c>
      <c r="G476" s="11">
        <v>46121</v>
      </c>
      <c r="H476" s="12">
        <v>0.33611111111111108</v>
      </c>
      <c r="I476" s="11">
        <v>46121</v>
      </c>
      <c r="J476" s="1">
        <v>46121</v>
      </c>
      <c r="K476" s="1">
        <v>46121</v>
      </c>
      <c r="L476" t="s">
        <v>175</v>
      </c>
      <c r="M476" t="s">
        <v>146</v>
      </c>
      <c r="N476" t="s">
        <v>21</v>
      </c>
      <c r="O476" t="s">
        <v>24</v>
      </c>
      <c r="P476">
        <v>27219</v>
      </c>
      <c r="Q476" t="s">
        <v>19</v>
      </c>
      <c r="R476">
        <v>39464</v>
      </c>
      <c r="S476" t="str">
        <f>VLOOKUP(L476&amp;TEXT(I476,"mmmm")&amp;YEAR(I476),'[1]Detalle C-Fecha'!$D$2:$E$15921,2,FALSE)</f>
        <v>ADA_CH - Danone Arg. S.A. - Chascomus</v>
      </c>
    </row>
    <row r="477" spans="1:19" x14ac:dyDescent="0.3">
      <c r="A477">
        <v>31919</v>
      </c>
      <c r="B477" t="s">
        <v>28</v>
      </c>
      <c r="C477" t="s">
        <v>15</v>
      </c>
      <c r="D477" t="s">
        <v>16</v>
      </c>
      <c r="E477" t="s">
        <v>35</v>
      </c>
      <c r="F477" s="6" t="str">
        <f t="shared" si="7"/>
        <v>2ML</v>
      </c>
      <c r="G477" s="11">
        <v>46121</v>
      </c>
      <c r="H477" s="12">
        <v>0.33611111111111108</v>
      </c>
      <c r="I477" s="11">
        <v>46121</v>
      </c>
      <c r="J477" s="1">
        <v>46121</v>
      </c>
      <c r="K477" s="1">
        <v>46121</v>
      </c>
      <c r="L477" t="s">
        <v>175</v>
      </c>
      <c r="M477" t="s">
        <v>146</v>
      </c>
      <c r="N477" t="s">
        <v>21</v>
      </c>
      <c r="O477" t="s">
        <v>24</v>
      </c>
      <c r="P477">
        <v>27219</v>
      </c>
      <c r="Q477" t="s">
        <v>19</v>
      </c>
      <c r="R477">
        <v>39616</v>
      </c>
      <c r="S477" t="str">
        <f>VLOOKUP(L477&amp;TEXT(I477,"mmmm")&amp;YEAR(I477),'[1]Detalle C-Fecha'!$D$2:$E$15921,2,FALSE)</f>
        <v>ADA_CH - Danone Arg. S.A. - Chascomus</v>
      </c>
    </row>
    <row r="478" spans="1:19" x14ac:dyDescent="0.3">
      <c r="A478">
        <v>31920</v>
      </c>
      <c r="B478" t="s">
        <v>28</v>
      </c>
      <c r="C478" t="s">
        <v>15</v>
      </c>
      <c r="D478" t="s">
        <v>16</v>
      </c>
      <c r="E478" t="s">
        <v>47</v>
      </c>
      <c r="F478" s="6" t="str">
        <f t="shared" si="7"/>
        <v>3ML</v>
      </c>
      <c r="G478" s="11">
        <v>46121</v>
      </c>
      <c r="H478" s="12">
        <v>0.33611111111111108</v>
      </c>
      <c r="I478" s="11">
        <v>46121</v>
      </c>
      <c r="J478" s="1">
        <v>46121</v>
      </c>
      <c r="K478" s="1">
        <v>46121</v>
      </c>
      <c r="L478" t="s">
        <v>175</v>
      </c>
      <c r="M478" t="s">
        <v>146</v>
      </c>
      <c r="N478" t="s">
        <v>21</v>
      </c>
      <c r="O478" t="s">
        <v>24</v>
      </c>
      <c r="P478">
        <v>27220</v>
      </c>
      <c r="Q478" t="s">
        <v>19</v>
      </c>
      <c r="R478">
        <v>39465</v>
      </c>
      <c r="S478" t="str">
        <f>VLOOKUP(L478&amp;TEXT(I478,"mmmm")&amp;YEAR(I478),'[1]Detalle C-Fecha'!$D$2:$E$15921,2,FALSE)</f>
        <v>ADA_CH - Danone Arg. S.A. - Chascomus</v>
      </c>
    </row>
    <row r="479" spans="1:19" x14ac:dyDescent="0.3">
      <c r="A479">
        <v>31920</v>
      </c>
      <c r="B479" t="s">
        <v>28</v>
      </c>
      <c r="C479" t="s">
        <v>15</v>
      </c>
      <c r="D479" t="s">
        <v>16</v>
      </c>
      <c r="E479" t="s">
        <v>47</v>
      </c>
      <c r="F479" s="6" t="str">
        <f t="shared" si="7"/>
        <v>3ML</v>
      </c>
      <c r="G479" s="11">
        <v>46121</v>
      </c>
      <c r="H479" s="12">
        <v>0.33611111111111108</v>
      </c>
      <c r="I479" s="11">
        <v>46121</v>
      </c>
      <c r="J479" s="1">
        <v>46121</v>
      </c>
      <c r="K479" s="1">
        <v>46121</v>
      </c>
      <c r="L479" t="s">
        <v>175</v>
      </c>
      <c r="M479" t="s">
        <v>146</v>
      </c>
      <c r="N479" t="s">
        <v>21</v>
      </c>
      <c r="O479" t="s">
        <v>24</v>
      </c>
      <c r="P479">
        <v>27220</v>
      </c>
      <c r="Q479" t="s">
        <v>19</v>
      </c>
      <c r="R479">
        <v>39616</v>
      </c>
      <c r="S479" t="str">
        <f>VLOOKUP(L479&amp;TEXT(I479,"mmmm")&amp;YEAR(I479),'[1]Detalle C-Fecha'!$D$2:$E$15921,2,FALSE)</f>
        <v>ADA_CH - Danone Arg. S.A. - Chascomus</v>
      </c>
    </row>
    <row r="480" spans="1:19" x14ac:dyDescent="0.3">
      <c r="A480">
        <v>31921</v>
      </c>
      <c r="B480" t="s">
        <v>28</v>
      </c>
      <c r="C480" t="s">
        <v>15</v>
      </c>
      <c r="D480" t="s">
        <v>16</v>
      </c>
      <c r="E480" t="s">
        <v>46</v>
      </c>
      <c r="F480" s="6" t="str">
        <f t="shared" si="7"/>
        <v>6ML</v>
      </c>
      <c r="G480" s="11">
        <v>46121</v>
      </c>
      <c r="H480" s="12">
        <v>0.33611111111111108</v>
      </c>
      <c r="I480" s="11">
        <v>46121</v>
      </c>
      <c r="J480" s="1">
        <v>46121</v>
      </c>
      <c r="K480" s="1">
        <v>46121</v>
      </c>
      <c r="L480" t="s">
        <v>175</v>
      </c>
      <c r="M480" t="s">
        <v>146</v>
      </c>
      <c r="N480" t="s">
        <v>21</v>
      </c>
      <c r="O480" t="s">
        <v>24</v>
      </c>
      <c r="P480">
        <v>27221</v>
      </c>
      <c r="Q480" t="s">
        <v>19</v>
      </c>
      <c r="R480">
        <v>39466</v>
      </c>
      <c r="S480" t="str">
        <f>VLOOKUP(L480&amp;TEXT(I480,"mmmm")&amp;YEAR(I480),'[1]Detalle C-Fecha'!$D$2:$E$15921,2,FALSE)</f>
        <v>ADA_CH - Danone Arg. S.A. - Chascomus</v>
      </c>
    </row>
    <row r="481" spans="1:19" x14ac:dyDescent="0.3">
      <c r="A481">
        <v>31921</v>
      </c>
      <c r="B481" t="s">
        <v>28</v>
      </c>
      <c r="C481" t="s">
        <v>15</v>
      </c>
      <c r="D481" t="s">
        <v>16</v>
      </c>
      <c r="E481" t="s">
        <v>46</v>
      </c>
      <c r="F481" s="6" t="str">
        <f t="shared" si="7"/>
        <v>6ML</v>
      </c>
      <c r="G481" s="11">
        <v>46121</v>
      </c>
      <c r="H481" s="12">
        <v>0.33611111111111108</v>
      </c>
      <c r="I481" s="11">
        <v>46121</v>
      </c>
      <c r="J481" s="1">
        <v>46121</v>
      </c>
      <c r="K481" s="1">
        <v>46121</v>
      </c>
      <c r="L481" t="s">
        <v>175</v>
      </c>
      <c r="M481" t="s">
        <v>146</v>
      </c>
      <c r="N481" t="s">
        <v>21</v>
      </c>
      <c r="O481" t="s">
        <v>24</v>
      </c>
      <c r="P481">
        <v>27221</v>
      </c>
      <c r="Q481" t="s">
        <v>19</v>
      </c>
      <c r="R481">
        <v>39616</v>
      </c>
      <c r="S481" t="str">
        <f>VLOOKUP(L481&amp;TEXT(I481,"mmmm")&amp;YEAR(I481),'[1]Detalle C-Fecha'!$D$2:$E$15921,2,FALSE)</f>
        <v>ADA_CH - Danone Arg. S.A. - Chascomus</v>
      </c>
    </row>
    <row r="482" spans="1:19" x14ac:dyDescent="0.3">
      <c r="A482">
        <v>32061</v>
      </c>
      <c r="B482" t="s">
        <v>28</v>
      </c>
      <c r="C482" t="s">
        <v>15</v>
      </c>
      <c r="D482" t="s">
        <v>16</v>
      </c>
      <c r="E482" t="s">
        <v>51</v>
      </c>
      <c r="F482" s="6" t="str">
        <f t="shared" si="7"/>
        <v>2MC</v>
      </c>
      <c r="G482" s="11">
        <v>46122</v>
      </c>
      <c r="H482" s="12">
        <v>0.80347222222222225</v>
      </c>
      <c r="I482" s="11">
        <v>46122</v>
      </c>
      <c r="J482" s="1">
        <v>46122</v>
      </c>
      <c r="K482" s="1">
        <v>46122</v>
      </c>
      <c r="L482" t="s">
        <v>176</v>
      </c>
      <c r="M482" t="s">
        <v>130</v>
      </c>
      <c r="N482" t="s">
        <v>21</v>
      </c>
      <c r="O482" t="s">
        <v>24</v>
      </c>
      <c r="P482">
        <v>27322</v>
      </c>
      <c r="Q482" t="s">
        <v>19</v>
      </c>
      <c r="R482">
        <v>39528</v>
      </c>
      <c r="S482" t="str">
        <f>VLOOKUP(L482&amp;TEXT(I482,"mmmm")&amp;YEAR(I482),'[1]Detalle C-Fecha'!$D$2:$E$15921,2,FALSE)</f>
        <v>CCUDyAZA</v>
      </c>
    </row>
    <row r="483" spans="1:19" x14ac:dyDescent="0.3">
      <c r="A483">
        <v>32061</v>
      </c>
      <c r="B483" t="s">
        <v>28</v>
      </c>
      <c r="C483" t="s">
        <v>15</v>
      </c>
      <c r="D483" t="s">
        <v>16</v>
      </c>
      <c r="E483" t="s">
        <v>51</v>
      </c>
      <c r="F483" s="6" t="str">
        <f t="shared" si="7"/>
        <v>2MC</v>
      </c>
      <c r="G483" s="11">
        <v>46122</v>
      </c>
      <c r="H483" s="12">
        <v>0.80347222222222225</v>
      </c>
      <c r="I483" s="11">
        <v>46122</v>
      </c>
      <c r="J483" s="1">
        <v>46122</v>
      </c>
      <c r="K483" s="1">
        <v>46122</v>
      </c>
      <c r="L483" t="s">
        <v>176</v>
      </c>
      <c r="M483" t="s">
        <v>130</v>
      </c>
      <c r="N483" t="s">
        <v>21</v>
      </c>
      <c r="O483" t="s">
        <v>24</v>
      </c>
      <c r="P483">
        <v>27322</v>
      </c>
      <c r="Q483" t="s">
        <v>19</v>
      </c>
      <c r="R483">
        <v>39616</v>
      </c>
      <c r="S483" t="str">
        <f>VLOOKUP(L483&amp;TEXT(I483,"mmmm")&amp;YEAR(I483),'[1]Detalle C-Fecha'!$D$2:$E$15921,2,FALSE)</f>
        <v>CCUDyAZA</v>
      </c>
    </row>
    <row r="484" spans="1:19" x14ac:dyDescent="0.3">
      <c r="A484">
        <v>32062</v>
      </c>
      <c r="B484" t="s">
        <v>28</v>
      </c>
      <c r="C484" t="s">
        <v>15</v>
      </c>
      <c r="D484" t="s">
        <v>16</v>
      </c>
      <c r="E484" t="s">
        <v>53</v>
      </c>
      <c r="F484" s="6" t="str">
        <f t="shared" si="7"/>
        <v>3MC</v>
      </c>
      <c r="G484" s="11">
        <v>46122</v>
      </c>
      <c r="H484" s="12">
        <v>0.80347222222222225</v>
      </c>
      <c r="I484" s="11">
        <v>46122</v>
      </c>
      <c r="J484" s="1">
        <v>46122</v>
      </c>
      <c r="K484" s="1">
        <v>46122</v>
      </c>
      <c r="L484" t="s">
        <v>176</v>
      </c>
      <c r="M484" t="s">
        <v>130</v>
      </c>
      <c r="N484" t="s">
        <v>21</v>
      </c>
      <c r="O484" t="s">
        <v>24</v>
      </c>
      <c r="P484">
        <v>27323</v>
      </c>
      <c r="Q484" t="s">
        <v>19</v>
      </c>
      <c r="R484">
        <v>39529</v>
      </c>
      <c r="S484" t="str">
        <f>VLOOKUP(L484&amp;TEXT(I484,"mmmm")&amp;YEAR(I484),'[1]Detalle C-Fecha'!$D$2:$E$15921,2,FALSE)</f>
        <v>CCUDyAZA</v>
      </c>
    </row>
    <row r="485" spans="1:19" x14ac:dyDescent="0.3">
      <c r="A485">
        <v>32062</v>
      </c>
      <c r="B485" t="s">
        <v>28</v>
      </c>
      <c r="C485" t="s">
        <v>15</v>
      </c>
      <c r="D485" t="s">
        <v>16</v>
      </c>
      <c r="E485" t="s">
        <v>53</v>
      </c>
      <c r="F485" s="6" t="str">
        <f t="shared" si="7"/>
        <v>3MC</v>
      </c>
      <c r="G485" s="11">
        <v>46122</v>
      </c>
      <c r="H485" s="12">
        <v>0.80347222222222225</v>
      </c>
      <c r="I485" s="11">
        <v>46122</v>
      </c>
      <c r="J485" s="1">
        <v>46122</v>
      </c>
      <c r="K485" s="1">
        <v>46122</v>
      </c>
      <c r="L485" t="s">
        <v>176</v>
      </c>
      <c r="M485" t="s">
        <v>130</v>
      </c>
      <c r="N485" t="s">
        <v>21</v>
      </c>
      <c r="O485" t="s">
        <v>24</v>
      </c>
      <c r="P485">
        <v>27323</v>
      </c>
      <c r="Q485" t="s">
        <v>19</v>
      </c>
      <c r="R485">
        <v>39616</v>
      </c>
      <c r="S485" t="str">
        <f>VLOOKUP(L485&amp;TEXT(I485,"mmmm")&amp;YEAR(I485),'[1]Detalle C-Fecha'!$D$2:$E$15921,2,FALSE)</f>
        <v>CCUDyAZA</v>
      </c>
    </row>
    <row r="486" spans="1:19" x14ac:dyDescent="0.3">
      <c r="A486">
        <v>32063</v>
      </c>
      <c r="B486" t="s">
        <v>28</v>
      </c>
      <c r="C486" t="s">
        <v>15</v>
      </c>
      <c r="D486" t="s">
        <v>16</v>
      </c>
      <c r="E486" t="s">
        <v>52</v>
      </c>
      <c r="F486" s="6" t="str">
        <f t="shared" si="7"/>
        <v>6MC</v>
      </c>
      <c r="G486" s="11">
        <v>46122</v>
      </c>
      <c r="H486" s="12">
        <v>0.80347222222222225</v>
      </c>
      <c r="I486" s="11">
        <v>46122</v>
      </c>
      <c r="J486" s="1">
        <v>46122</v>
      </c>
      <c r="K486" s="1">
        <v>46122</v>
      </c>
      <c r="L486" t="s">
        <v>176</v>
      </c>
      <c r="M486" t="s">
        <v>130</v>
      </c>
      <c r="N486" t="s">
        <v>21</v>
      </c>
      <c r="O486" t="s">
        <v>24</v>
      </c>
      <c r="P486">
        <v>27324</v>
      </c>
      <c r="Q486" t="s">
        <v>19</v>
      </c>
      <c r="R486">
        <v>39530</v>
      </c>
      <c r="S486" t="str">
        <f>VLOOKUP(L486&amp;TEXT(I486,"mmmm")&amp;YEAR(I486),'[1]Detalle C-Fecha'!$D$2:$E$15921,2,FALSE)</f>
        <v>CCUDyAZA</v>
      </c>
    </row>
    <row r="487" spans="1:19" x14ac:dyDescent="0.3">
      <c r="A487">
        <v>32063</v>
      </c>
      <c r="B487" t="s">
        <v>28</v>
      </c>
      <c r="C487" t="s">
        <v>15</v>
      </c>
      <c r="D487" t="s">
        <v>16</v>
      </c>
      <c r="E487" t="s">
        <v>52</v>
      </c>
      <c r="F487" s="6" t="str">
        <f t="shared" si="7"/>
        <v>6MC</v>
      </c>
      <c r="G487" s="11">
        <v>46122</v>
      </c>
      <c r="H487" s="12">
        <v>0.80347222222222225</v>
      </c>
      <c r="I487" s="11">
        <v>46122</v>
      </c>
      <c r="J487" s="1">
        <v>46122</v>
      </c>
      <c r="K487" s="1">
        <v>46122</v>
      </c>
      <c r="L487" t="s">
        <v>176</v>
      </c>
      <c r="M487" t="s">
        <v>130</v>
      </c>
      <c r="N487" t="s">
        <v>21</v>
      </c>
      <c r="O487" t="s">
        <v>24</v>
      </c>
      <c r="P487">
        <v>27324</v>
      </c>
      <c r="Q487" t="s">
        <v>19</v>
      </c>
      <c r="R487">
        <v>39616</v>
      </c>
      <c r="S487" t="str">
        <f>VLOOKUP(L487&amp;TEXT(I487,"mmmm")&amp;YEAR(I487),'[1]Detalle C-Fecha'!$D$2:$E$15921,2,FALSE)</f>
        <v>CCUDyAZA</v>
      </c>
    </row>
    <row r="488" spans="1:19" x14ac:dyDescent="0.3">
      <c r="A488">
        <v>32066</v>
      </c>
      <c r="B488" t="s">
        <v>28</v>
      </c>
      <c r="C488" t="s">
        <v>15</v>
      </c>
      <c r="D488" t="s">
        <v>16</v>
      </c>
      <c r="E488" t="s">
        <v>51</v>
      </c>
      <c r="F488" s="6" t="str">
        <f t="shared" si="7"/>
        <v>2MC</v>
      </c>
      <c r="G488" s="11">
        <v>46122</v>
      </c>
      <c r="H488" s="12">
        <v>0.80347222222222225</v>
      </c>
      <c r="I488" s="11">
        <v>46122</v>
      </c>
      <c r="J488" s="1">
        <v>46122</v>
      </c>
      <c r="K488" s="1">
        <v>46122</v>
      </c>
      <c r="L488" t="s">
        <v>177</v>
      </c>
      <c r="M488" t="s">
        <v>178</v>
      </c>
      <c r="N488" t="s">
        <v>21</v>
      </c>
      <c r="O488" t="s">
        <v>27</v>
      </c>
      <c r="P488">
        <v>27327</v>
      </c>
      <c r="Q488" t="s">
        <v>19</v>
      </c>
      <c r="R488">
        <v>39532</v>
      </c>
      <c r="S488" t="str">
        <f>VLOOKUP(L488&amp;TEXT(I488,"mmmm")&amp;YEAR(I488),'[1]Detalle C-Fecha'!$D$2:$E$15921,2,FALSE)</f>
        <v>CCUCoAZA</v>
      </c>
    </row>
    <row r="489" spans="1:19" x14ac:dyDescent="0.3">
      <c r="A489">
        <v>32066</v>
      </c>
      <c r="B489" t="s">
        <v>28</v>
      </c>
      <c r="C489" t="s">
        <v>15</v>
      </c>
      <c r="D489" t="s">
        <v>16</v>
      </c>
      <c r="E489" t="s">
        <v>51</v>
      </c>
      <c r="F489" s="6" t="str">
        <f t="shared" si="7"/>
        <v>2MC</v>
      </c>
      <c r="G489" s="11">
        <v>46122</v>
      </c>
      <c r="H489" s="12">
        <v>0.80347222222222225</v>
      </c>
      <c r="I489" s="11">
        <v>46122</v>
      </c>
      <c r="J489" s="1">
        <v>46122</v>
      </c>
      <c r="K489" s="1">
        <v>46122</v>
      </c>
      <c r="L489" t="s">
        <v>177</v>
      </c>
      <c r="M489" t="s">
        <v>178</v>
      </c>
      <c r="N489" t="s">
        <v>21</v>
      </c>
      <c r="O489" t="s">
        <v>27</v>
      </c>
      <c r="P489">
        <v>27327</v>
      </c>
      <c r="Q489" t="s">
        <v>19</v>
      </c>
      <c r="R489">
        <v>39618</v>
      </c>
      <c r="S489" t="str">
        <f>VLOOKUP(L489&amp;TEXT(I489,"mmmm")&amp;YEAR(I489),'[1]Detalle C-Fecha'!$D$2:$E$15921,2,FALSE)</f>
        <v>CCUCoAZA</v>
      </c>
    </row>
    <row r="490" spans="1:19" x14ac:dyDescent="0.3">
      <c r="A490">
        <v>32067</v>
      </c>
      <c r="B490" t="s">
        <v>28</v>
      </c>
      <c r="C490" t="s">
        <v>15</v>
      </c>
      <c r="D490" t="s">
        <v>16</v>
      </c>
      <c r="E490" t="s">
        <v>53</v>
      </c>
      <c r="F490" s="6" t="str">
        <f t="shared" si="7"/>
        <v>3MC</v>
      </c>
      <c r="G490" s="11">
        <v>46122</v>
      </c>
      <c r="H490" s="12">
        <v>0.80347222222222225</v>
      </c>
      <c r="I490" s="11">
        <v>46122</v>
      </c>
      <c r="J490" s="1">
        <v>46122</v>
      </c>
      <c r="K490" s="1">
        <v>46122</v>
      </c>
      <c r="L490" t="s">
        <v>177</v>
      </c>
      <c r="M490" t="s">
        <v>178</v>
      </c>
      <c r="N490" t="s">
        <v>21</v>
      </c>
      <c r="O490" t="s">
        <v>27</v>
      </c>
      <c r="P490">
        <v>27328</v>
      </c>
      <c r="Q490" t="s">
        <v>19</v>
      </c>
      <c r="R490">
        <v>39533</v>
      </c>
      <c r="S490" t="str">
        <f>VLOOKUP(L490&amp;TEXT(I490,"mmmm")&amp;YEAR(I490),'[1]Detalle C-Fecha'!$D$2:$E$15921,2,FALSE)</f>
        <v>CCUCoAZA</v>
      </c>
    </row>
    <row r="491" spans="1:19" x14ac:dyDescent="0.3">
      <c r="A491">
        <v>32067</v>
      </c>
      <c r="B491" t="s">
        <v>28</v>
      </c>
      <c r="C491" t="s">
        <v>15</v>
      </c>
      <c r="D491" t="s">
        <v>16</v>
      </c>
      <c r="E491" t="s">
        <v>53</v>
      </c>
      <c r="F491" s="6" t="str">
        <f t="shared" si="7"/>
        <v>3MC</v>
      </c>
      <c r="G491" s="11">
        <v>46122</v>
      </c>
      <c r="H491" s="12">
        <v>0.80347222222222225</v>
      </c>
      <c r="I491" s="11">
        <v>46122</v>
      </c>
      <c r="J491" s="1">
        <v>46122</v>
      </c>
      <c r="K491" s="1">
        <v>46122</v>
      </c>
      <c r="L491" t="s">
        <v>177</v>
      </c>
      <c r="M491" t="s">
        <v>178</v>
      </c>
      <c r="N491" t="s">
        <v>21</v>
      </c>
      <c r="O491" t="s">
        <v>27</v>
      </c>
      <c r="P491">
        <v>27328</v>
      </c>
      <c r="Q491" t="s">
        <v>19</v>
      </c>
      <c r="R491">
        <v>39618</v>
      </c>
      <c r="S491" t="str">
        <f>VLOOKUP(L491&amp;TEXT(I491,"mmmm")&amp;YEAR(I491),'[1]Detalle C-Fecha'!$D$2:$E$15921,2,FALSE)</f>
        <v>CCUCoAZA</v>
      </c>
    </row>
    <row r="492" spans="1:19" x14ac:dyDescent="0.3">
      <c r="A492">
        <v>32068</v>
      </c>
      <c r="B492" t="s">
        <v>28</v>
      </c>
      <c r="C492" t="s">
        <v>15</v>
      </c>
      <c r="D492" t="s">
        <v>16</v>
      </c>
      <c r="E492" t="s">
        <v>112</v>
      </c>
      <c r="F492" s="6" t="str">
        <f t="shared" si="7"/>
        <v>6MC</v>
      </c>
      <c r="G492" s="11">
        <v>46122</v>
      </c>
      <c r="H492" s="12">
        <v>0.80347222222222225</v>
      </c>
      <c r="I492" s="11">
        <v>46122</v>
      </c>
      <c r="J492" s="1">
        <v>46122</v>
      </c>
      <c r="K492" s="1">
        <v>46122</v>
      </c>
      <c r="L492" t="s">
        <v>177</v>
      </c>
      <c r="M492" t="s">
        <v>178</v>
      </c>
      <c r="N492" t="s">
        <v>21</v>
      </c>
      <c r="O492" t="s">
        <v>27</v>
      </c>
      <c r="P492">
        <v>27329</v>
      </c>
      <c r="Q492" t="s">
        <v>19</v>
      </c>
      <c r="R492">
        <v>39534</v>
      </c>
      <c r="S492" t="str">
        <f>VLOOKUP(L492&amp;TEXT(I492,"mmmm")&amp;YEAR(I492),'[1]Detalle C-Fecha'!$D$2:$E$15921,2,FALSE)</f>
        <v>CCUCoAZA</v>
      </c>
    </row>
    <row r="493" spans="1:19" x14ac:dyDescent="0.3">
      <c r="A493">
        <v>32068</v>
      </c>
      <c r="B493" t="s">
        <v>28</v>
      </c>
      <c r="C493" t="s">
        <v>15</v>
      </c>
      <c r="D493" t="s">
        <v>16</v>
      </c>
      <c r="E493" t="s">
        <v>112</v>
      </c>
      <c r="F493" s="6" t="str">
        <f t="shared" si="7"/>
        <v>6MC</v>
      </c>
      <c r="G493" s="11">
        <v>46122</v>
      </c>
      <c r="H493" s="12">
        <v>0.80347222222222225</v>
      </c>
      <c r="I493" s="11">
        <v>46122</v>
      </c>
      <c r="J493" s="1">
        <v>46122</v>
      </c>
      <c r="K493" s="1">
        <v>46122</v>
      </c>
      <c r="L493" t="s">
        <v>177</v>
      </c>
      <c r="M493" t="s">
        <v>178</v>
      </c>
      <c r="N493" t="s">
        <v>21</v>
      </c>
      <c r="O493" t="s">
        <v>27</v>
      </c>
      <c r="P493">
        <v>27329</v>
      </c>
      <c r="Q493" t="s">
        <v>19</v>
      </c>
      <c r="R493">
        <v>39618</v>
      </c>
      <c r="S493" t="str">
        <f>VLOOKUP(L493&amp;TEXT(I493,"mmmm")&amp;YEAR(I493),'[1]Detalle C-Fecha'!$D$2:$E$15921,2,FALSE)</f>
        <v>CCUCoAZA</v>
      </c>
    </row>
    <row r="494" spans="1:19" x14ac:dyDescent="0.3">
      <c r="A494">
        <v>32075</v>
      </c>
      <c r="B494" t="s">
        <v>28</v>
      </c>
      <c r="C494" t="s">
        <v>15</v>
      </c>
      <c r="D494" t="s">
        <v>16</v>
      </c>
      <c r="E494" t="s">
        <v>115</v>
      </c>
      <c r="F494" s="6" t="str">
        <f t="shared" si="7"/>
        <v>2ML</v>
      </c>
      <c r="G494" s="11">
        <v>46123</v>
      </c>
      <c r="H494" s="12">
        <v>0.3347222222222222</v>
      </c>
      <c r="I494" s="11">
        <v>46123</v>
      </c>
      <c r="J494" s="1">
        <v>46123</v>
      </c>
      <c r="K494" s="1">
        <v>46123</v>
      </c>
      <c r="L494" t="s">
        <v>54</v>
      </c>
      <c r="M494" t="s">
        <v>129</v>
      </c>
      <c r="N494" t="s">
        <v>21</v>
      </c>
      <c r="O494" t="s">
        <v>24</v>
      </c>
      <c r="P494">
        <v>27336</v>
      </c>
      <c r="Q494" t="s">
        <v>19</v>
      </c>
      <c r="R494">
        <v>39538</v>
      </c>
      <c r="S494" t="str">
        <f>VLOOKUP(L494&amp;TEXT(I494,"mmmm")&amp;YEAR(I494),'[1]Detalle C-Fecha'!$D$2:$E$15921,2,FALSE)</f>
        <v>ADA_CH - Danone Arg. S.A. - Chascomus</v>
      </c>
    </row>
    <row r="495" spans="1:19" x14ac:dyDescent="0.3">
      <c r="A495">
        <v>32075</v>
      </c>
      <c r="B495" t="s">
        <v>28</v>
      </c>
      <c r="C495" t="s">
        <v>15</v>
      </c>
      <c r="D495" t="s">
        <v>16</v>
      </c>
      <c r="E495" t="s">
        <v>115</v>
      </c>
      <c r="F495" s="6" t="str">
        <f t="shared" si="7"/>
        <v>2ML</v>
      </c>
      <c r="G495" s="11">
        <v>46123</v>
      </c>
      <c r="H495" s="12">
        <v>0.3347222222222222</v>
      </c>
      <c r="I495" s="11">
        <v>46123</v>
      </c>
      <c r="J495" s="1">
        <v>46123</v>
      </c>
      <c r="K495" s="1">
        <v>46123</v>
      </c>
      <c r="L495" t="s">
        <v>54</v>
      </c>
      <c r="M495" t="s">
        <v>129</v>
      </c>
      <c r="N495" t="s">
        <v>21</v>
      </c>
      <c r="O495" t="s">
        <v>24</v>
      </c>
      <c r="P495">
        <v>27336</v>
      </c>
      <c r="Q495" t="s">
        <v>19</v>
      </c>
      <c r="R495">
        <v>39616</v>
      </c>
      <c r="S495" t="str">
        <f>VLOOKUP(L495&amp;TEXT(I495,"mmmm")&amp;YEAR(I495),'[1]Detalle C-Fecha'!$D$2:$E$15921,2,FALSE)</f>
        <v>ADA_CH - Danone Arg. S.A. - Chascomus</v>
      </c>
    </row>
    <row r="496" spans="1:19" x14ac:dyDescent="0.3">
      <c r="A496">
        <v>32076</v>
      </c>
      <c r="B496" t="s">
        <v>28</v>
      </c>
      <c r="C496" t="s">
        <v>15</v>
      </c>
      <c r="D496" t="s">
        <v>16</v>
      </c>
      <c r="E496" t="s">
        <v>116</v>
      </c>
      <c r="F496" s="6" t="str">
        <f t="shared" si="7"/>
        <v>3ML</v>
      </c>
      <c r="G496" s="11">
        <v>46123</v>
      </c>
      <c r="H496" s="12">
        <v>0.3347222222222222</v>
      </c>
      <c r="I496" s="11">
        <v>46123</v>
      </c>
      <c r="J496" s="1">
        <v>46123</v>
      </c>
      <c r="K496" s="1">
        <v>46123</v>
      </c>
      <c r="L496" t="s">
        <v>54</v>
      </c>
      <c r="M496" t="s">
        <v>129</v>
      </c>
      <c r="N496" t="s">
        <v>21</v>
      </c>
      <c r="O496" t="s">
        <v>24</v>
      </c>
      <c r="P496">
        <v>27337</v>
      </c>
      <c r="Q496" t="s">
        <v>19</v>
      </c>
      <c r="R496">
        <v>39539</v>
      </c>
      <c r="S496" t="str">
        <f>VLOOKUP(L496&amp;TEXT(I496,"mmmm")&amp;YEAR(I496),'[1]Detalle C-Fecha'!$D$2:$E$15921,2,FALSE)</f>
        <v>ADA_CH - Danone Arg. S.A. - Chascomus</v>
      </c>
    </row>
    <row r="497" spans="1:19" x14ac:dyDescent="0.3">
      <c r="A497">
        <v>32076</v>
      </c>
      <c r="B497" t="s">
        <v>28</v>
      </c>
      <c r="C497" t="s">
        <v>15</v>
      </c>
      <c r="D497" t="s">
        <v>16</v>
      </c>
      <c r="E497" t="s">
        <v>116</v>
      </c>
      <c r="F497" s="6" t="str">
        <f t="shared" si="7"/>
        <v>3ML</v>
      </c>
      <c r="G497" s="11">
        <v>46123</v>
      </c>
      <c r="H497" s="12">
        <v>0.3347222222222222</v>
      </c>
      <c r="I497" s="11">
        <v>46123</v>
      </c>
      <c r="J497" s="1">
        <v>46123</v>
      </c>
      <c r="K497" s="1">
        <v>46123</v>
      </c>
      <c r="L497" t="s">
        <v>54</v>
      </c>
      <c r="M497" t="s">
        <v>129</v>
      </c>
      <c r="N497" t="s">
        <v>21</v>
      </c>
      <c r="O497" t="s">
        <v>24</v>
      </c>
      <c r="P497">
        <v>27337</v>
      </c>
      <c r="Q497" t="s">
        <v>19</v>
      </c>
      <c r="R497">
        <v>39616</v>
      </c>
      <c r="S497" t="str">
        <f>VLOOKUP(L497&amp;TEXT(I497,"mmmm")&amp;YEAR(I497),'[1]Detalle C-Fecha'!$D$2:$E$15921,2,FALSE)</f>
        <v>ADA_CH - Danone Arg. S.A. - Chascomus</v>
      </c>
    </row>
    <row r="498" spans="1:19" x14ac:dyDescent="0.3">
      <c r="A498">
        <v>32077</v>
      </c>
      <c r="B498" t="s">
        <v>28</v>
      </c>
      <c r="C498" t="s">
        <v>15</v>
      </c>
      <c r="D498" t="s">
        <v>16</v>
      </c>
      <c r="E498" t="s">
        <v>117</v>
      </c>
      <c r="F498" s="6" t="str">
        <f t="shared" si="7"/>
        <v>6ML</v>
      </c>
      <c r="G498" s="11">
        <v>46123</v>
      </c>
      <c r="H498" s="12">
        <v>0.3347222222222222</v>
      </c>
      <c r="I498" s="11">
        <v>46123</v>
      </c>
      <c r="J498" s="1">
        <v>46123</v>
      </c>
      <c r="K498" s="1">
        <v>46123</v>
      </c>
      <c r="L498" t="s">
        <v>54</v>
      </c>
      <c r="M498" t="s">
        <v>129</v>
      </c>
      <c r="N498" t="s">
        <v>21</v>
      </c>
      <c r="O498" t="s">
        <v>24</v>
      </c>
      <c r="P498">
        <v>27338</v>
      </c>
      <c r="Q498" t="s">
        <v>19</v>
      </c>
      <c r="R498">
        <v>39540</v>
      </c>
      <c r="S498" t="str">
        <f>VLOOKUP(L498&amp;TEXT(I498,"mmmm")&amp;YEAR(I498),'[1]Detalle C-Fecha'!$D$2:$E$15921,2,FALSE)</f>
        <v>ADA_CH - Danone Arg. S.A. - Chascomus</v>
      </c>
    </row>
    <row r="499" spans="1:19" x14ac:dyDescent="0.3">
      <c r="A499">
        <v>32077</v>
      </c>
      <c r="B499" t="s">
        <v>28</v>
      </c>
      <c r="C499" t="s">
        <v>15</v>
      </c>
      <c r="D499" t="s">
        <v>16</v>
      </c>
      <c r="E499" t="s">
        <v>117</v>
      </c>
      <c r="F499" s="6" t="str">
        <f t="shared" si="7"/>
        <v>6ML</v>
      </c>
      <c r="G499" s="11">
        <v>46123</v>
      </c>
      <c r="H499" s="12">
        <v>0.3347222222222222</v>
      </c>
      <c r="I499" s="11">
        <v>46123</v>
      </c>
      <c r="J499" s="1">
        <v>46123</v>
      </c>
      <c r="K499" s="1">
        <v>46123</v>
      </c>
      <c r="L499" t="s">
        <v>54</v>
      </c>
      <c r="M499" t="s">
        <v>129</v>
      </c>
      <c r="N499" t="s">
        <v>21</v>
      </c>
      <c r="O499" t="s">
        <v>24</v>
      </c>
      <c r="P499">
        <v>27338</v>
      </c>
      <c r="Q499" t="s">
        <v>19</v>
      </c>
      <c r="R499">
        <v>39616</v>
      </c>
      <c r="S499" t="str">
        <f>VLOOKUP(L499&amp;TEXT(I499,"mmmm")&amp;YEAR(I499),'[1]Detalle C-Fecha'!$D$2:$E$15921,2,FALSE)</f>
        <v>ADA_CH - Danone Arg. S.A. - Chascomus</v>
      </c>
    </row>
    <row r="500" spans="1:19" x14ac:dyDescent="0.3">
      <c r="A500">
        <v>32085</v>
      </c>
      <c r="B500" t="s">
        <v>28</v>
      </c>
      <c r="C500" t="s">
        <v>15</v>
      </c>
      <c r="D500" t="s">
        <v>16</v>
      </c>
      <c r="E500" t="s">
        <v>121</v>
      </c>
      <c r="F500" s="6" t="str">
        <f t="shared" si="7"/>
        <v>2MC</v>
      </c>
      <c r="G500" s="11">
        <v>46125</v>
      </c>
      <c r="H500" s="12">
        <v>0.32777777777777778</v>
      </c>
      <c r="I500" s="11">
        <v>46125</v>
      </c>
      <c r="J500" s="1">
        <v>46125</v>
      </c>
      <c r="K500" s="1">
        <v>46125</v>
      </c>
      <c r="L500" t="s">
        <v>179</v>
      </c>
      <c r="M500">
        <v>1624</v>
      </c>
      <c r="N500" t="s">
        <v>21</v>
      </c>
      <c r="O500" t="s">
        <v>27</v>
      </c>
      <c r="P500">
        <v>27344</v>
      </c>
      <c r="Q500" t="s">
        <v>19</v>
      </c>
      <c r="R500">
        <v>39542</v>
      </c>
      <c r="S500" t="str">
        <f>VLOOKUP(L500&amp;TEXT(I500,"mmmm")&amp;YEAR(I500),'[1]Detalle C-Fecha'!$D$2:$E$15921,2,FALSE)</f>
        <v>JOHNSON - SC JOHNSON DE ARGENTINA SAIC</v>
      </c>
    </row>
    <row r="501" spans="1:19" x14ac:dyDescent="0.3">
      <c r="A501">
        <v>32085</v>
      </c>
      <c r="B501" t="s">
        <v>28</v>
      </c>
      <c r="C501" t="s">
        <v>15</v>
      </c>
      <c r="D501" t="s">
        <v>16</v>
      </c>
      <c r="E501" t="s">
        <v>121</v>
      </c>
      <c r="F501" s="6" t="str">
        <f t="shared" si="7"/>
        <v>2MC</v>
      </c>
      <c r="G501" s="11">
        <v>46125</v>
      </c>
      <c r="H501" s="12">
        <v>0.32777777777777778</v>
      </c>
      <c r="I501" s="11">
        <v>46125</v>
      </c>
      <c r="J501" s="1">
        <v>46125</v>
      </c>
      <c r="K501" s="1">
        <v>46125</v>
      </c>
      <c r="L501" t="s">
        <v>179</v>
      </c>
      <c r="M501">
        <v>1624</v>
      </c>
      <c r="N501" t="s">
        <v>21</v>
      </c>
      <c r="O501" t="s">
        <v>27</v>
      </c>
      <c r="P501">
        <v>27344</v>
      </c>
      <c r="Q501" t="s">
        <v>19</v>
      </c>
      <c r="R501">
        <v>39618</v>
      </c>
      <c r="S501" t="str">
        <f>VLOOKUP(L501&amp;TEXT(I501,"mmmm")&amp;YEAR(I501),'[1]Detalle C-Fecha'!$D$2:$E$15921,2,FALSE)</f>
        <v>JOHNSON - SC JOHNSON DE ARGENTINA SAIC</v>
      </c>
    </row>
    <row r="502" spans="1:19" x14ac:dyDescent="0.3">
      <c r="A502">
        <v>32086</v>
      </c>
      <c r="B502" t="s">
        <v>28</v>
      </c>
      <c r="C502" t="s">
        <v>15</v>
      </c>
      <c r="D502" t="s">
        <v>16</v>
      </c>
      <c r="E502" t="s">
        <v>53</v>
      </c>
      <c r="F502" s="6" t="str">
        <f t="shared" si="7"/>
        <v>3MC</v>
      </c>
      <c r="G502" s="11">
        <v>46125</v>
      </c>
      <c r="H502" s="12">
        <v>0.32777777777777778</v>
      </c>
      <c r="I502" s="11">
        <v>46125</v>
      </c>
      <c r="J502" s="1">
        <v>46125</v>
      </c>
      <c r="K502" s="1">
        <v>46125</v>
      </c>
      <c r="L502" t="s">
        <v>179</v>
      </c>
      <c r="M502">
        <v>1624</v>
      </c>
      <c r="N502" t="s">
        <v>21</v>
      </c>
      <c r="O502" t="s">
        <v>27</v>
      </c>
      <c r="P502">
        <v>27345</v>
      </c>
      <c r="Q502" t="s">
        <v>19</v>
      </c>
      <c r="R502">
        <v>39543</v>
      </c>
      <c r="S502" t="str">
        <f>VLOOKUP(L502&amp;TEXT(I502,"mmmm")&amp;YEAR(I502),'[1]Detalle C-Fecha'!$D$2:$E$15921,2,FALSE)</f>
        <v>JOHNSON - SC JOHNSON DE ARGENTINA SAIC</v>
      </c>
    </row>
    <row r="503" spans="1:19" x14ac:dyDescent="0.3">
      <c r="A503">
        <v>32086</v>
      </c>
      <c r="B503" t="s">
        <v>28</v>
      </c>
      <c r="C503" t="s">
        <v>15</v>
      </c>
      <c r="D503" t="s">
        <v>16</v>
      </c>
      <c r="E503" t="s">
        <v>53</v>
      </c>
      <c r="F503" s="6" t="str">
        <f t="shared" si="7"/>
        <v>3MC</v>
      </c>
      <c r="G503" s="11">
        <v>46125</v>
      </c>
      <c r="H503" s="12">
        <v>0.32777777777777778</v>
      </c>
      <c r="I503" s="11">
        <v>46125</v>
      </c>
      <c r="J503" s="1">
        <v>46125</v>
      </c>
      <c r="K503" s="1">
        <v>46125</v>
      </c>
      <c r="L503" t="s">
        <v>179</v>
      </c>
      <c r="M503">
        <v>1624</v>
      </c>
      <c r="N503" t="s">
        <v>21</v>
      </c>
      <c r="O503" t="s">
        <v>27</v>
      </c>
      <c r="P503">
        <v>27345</v>
      </c>
      <c r="Q503" t="s">
        <v>19</v>
      </c>
      <c r="R503">
        <v>39618</v>
      </c>
      <c r="S503" t="str">
        <f>VLOOKUP(L503&amp;TEXT(I503,"mmmm")&amp;YEAR(I503),'[1]Detalle C-Fecha'!$D$2:$E$15921,2,FALSE)</f>
        <v>JOHNSON - SC JOHNSON DE ARGENTINA SAIC</v>
      </c>
    </row>
    <row r="504" spans="1:19" x14ac:dyDescent="0.3">
      <c r="A504">
        <v>32087</v>
      </c>
      <c r="B504" t="s">
        <v>28</v>
      </c>
      <c r="C504" t="s">
        <v>15</v>
      </c>
      <c r="D504" t="s">
        <v>16</v>
      </c>
      <c r="E504" t="s">
        <v>111</v>
      </c>
      <c r="F504" s="6" t="str">
        <f t="shared" si="7"/>
        <v>6MC</v>
      </c>
      <c r="G504" s="11">
        <v>46125</v>
      </c>
      <c r="H504" s="12">
        <v>0.32847222222222222</v>
      </c>
      <c r="I504" s="11">
        <v>46125</v>
      </c>
      <c r="J504" s="1">
        <v>46125</v>
      </c>
      <c r="K504" s="1">
        <v>46125</v>
      </c>
      <c r="L504" t="s">
        <v>179</v>
      </c>
      <c r="M504">
        <v>1624</v>
      </c>
      <c r="N504" t="s">
        <v>21</v>
      </c>
      <c r="O504" t="s">
        <v>27</v>
      </c>
      <c r="P504">
        <v>27346</v>
      </c>
      <c r="Q504" t="s">
        <v>19</v>
      </c>
      <c r="R504">
        <v>39544</v>
      </c>
      <c r="S504" t="str">
        <f>VLOOKUP(L504&amp;TEXT(I504,"mmmm")&amp;YEAR(I504),'[1]Detalle C-Fecha'!$D$2:$E$15921,2,FALSE)</f>
        <v>JOHNSON - SC JOHNSON DE ARGENTINA SAIC</v>
      </c>
    </row>
    <row r="505" spans="1:19" x14ac:dyDescent="0.3">
      <c r="A505">
        <v>32087</v>
      </c>
      <c r="B505" t="s">
        <v>28</v>
      </c>
      <c r="C505" t="s">
        <v>15</v>
      </c>
      <c r="D505" t="s">
        <v>16</v>
      </c>
      <c r="E505" t="s">
        <v>111</v>
      </c>
      <c r="F505" s="6" t="str">
        <f t="shared" si="7"/>
        <v>6MC</v>
      </c>
      <c r="G505" s="11">
        <v>46125</v>
      </c>
      <c r="H505" s="12">
        <v>0.32847222222222222</v>
      </c>
      <c r="I505" s="11">
        <v>46125</v>
      </c>
      <c r="J505" s="1">
        <v>46125</v>
      </c>
      <c r="K505" s="1">
        <v>46125</v>
      </c>
      <c r="L505" t="s">
        <v>179</v>
      </c>
      <c r="M505">
        <v>1624</v>
      </c>
      <c r="N505" t="s">
        <v>21</v>
      </c>
      <c r="O505" t="s">
        <v>27</v>
      </c>
      <c r="P505">
        <v>27346</v>
      </c>
      <c r="Q505" t="s">
        <v>19</v>
      </c>
      <c r="R505">
        <v>39618</v>
      </c>
      <c r="S505" t="str">
        <f>VLOOKUP(L505&amp;TEXT(I505,"mmmm")&amp;YEAR(I505),'[1]Detalle C-Fecha'!$D$2:$E$15921,2,FALSE)</f>
        <v>JOHNSON - SC JOHNSON DE ARGENTINA SAIC</v>
      </c>
    </row>
    <row r="506" spans="1:19" x14ac:dyDescent="0.3">
      <c r="A506">
        <v>32112</v>
      </c>
      <c r="B506" t="s">
        <v>28</v>
      </c>
      <c r="C506" t="s">
        <v>15</v>
      </c>
      <c r="D506" t="s">
        <v>16</v>
      </c>
      <c r="E506" t="s">
        <v>35</v>
      </c>
      <c r="F506" s="6" t="str">
        <f t="shared" si="7"/>
        <v>2ML</v>
      </c>
      <c r="G506" s="11">
        <v>46125</v>
      </c>
      <c r="H506" s="12">
        <v>0.4465277777777778</v>
      </c>
      <c r="I506" s="11">
        <v>46125</v>
      </c>
      <c r="J506" s="1">
        <v>46125</v>
      </c>
      <c r="K506" s="1">
        <v>46125</v>
      </c>
      <c r="L506" t="s">
        <v>181</v>
      </c>
      <c r="M506" t="s">
        <v>126</v>
      </c>
      <c r="N506" t="s">
        <v>21</v>
      </c>
      <c r="O506" t="s">
        <v>25</v>
      </c>
      <c r="P506">
        <v>27365</v>
      </c>
      <c r="Q506" t="s">
        <v>19</v>
      </c>
      <c r="R506">
        <v>39546</v>
      </c>
      <c r="S506" t="str">
        <f>VLOOKUP(L506&amp;TEXT(I506,"mmmm")&amp;YEAR(I506),'[1]Detalle C-Fecha'!$D$2:$E$15921,2,FALSE)</f>
        <v>Expreso - Servicios Troncales</v>
      </c>
    </row>
    <row r="507" spans="1:19" x14ac:dyDescent="0.3">
      <c r="A507">
        <v>32112</v>
      </c>
      <c r="B507" t="s">
        <v>28</v>
      </c>
      <c r="C507" t="s">
        <v>15</v>
      </c>
      <c r="D507" t="s">
        <v>16</v>
      </c>
      <c r="E507" t="s">
        <v>35</v>
      </c>
      <c r="F507" s="6" t="str">
        <f t="shared" si="7"/>
        <v>2ML</v>
      </c>
      <c r="G507" s="11">
        <v>46125</v>
      </c>
      <c r="H507" s="12">
        <v>0.4465277777777778</v>
      </c>
      <c r="I507" s="11">
        <v>46125</v>
      </c>
      <c r="J507" s="1">
        <v>46125</v>
      </c>
      <c r="K507" s="1">
        <v>46125</v>
      </c>
      <c r="L507" t="s">
        <v>181</v>
      </c>
      <c r="M507" t="s">
        <v>126</v>
      </c>
      <c r="N507" t="s">
        <v>21</v>
      </c>
      <c r="O507" t="s">
        <v>25</v>
      </c>
      <c r="P507">
        <v>27365</v>
      </c>
      <c r="Q507" t="s">
        <v>19</v>
      </c>
      <c r="R507">
        <v>39617</v>
      </c>
      <c r="S507" t="str">
        <f>VLOOKUP(L507&amp;TEXT(I507,"mmmm")&amp;YEAR(I507),'[1]Detalle C-Fecha'!$D$2:$E$15921,2,FALSE)</f>
        <v>Expreso - Servicios Troncales</v>
      </c>
    </row>
    <row r="508" spans="1:19" x14ac:dyDescent="0.3">
      <c r="A508">
        <v>32113</v>
      </c>
      <c r="B508" t="s">
        <v>28</v>
      </c>
      <c r="C508" t="s">
        <v>15</v>
      </c>
      <c r="D508" t="s">
        <v>16</v>
      </c>
      <c r="E508" t="s">
        <v>47</v>
      </c>
      <c r="F508" s="6" t="str">
        <f t="shared" si="7"/>
        <v>3ML</v>
      </c>
      <c r="G508" s="11">
        <v>46125</v>
      </c>
      <c r="H508" s="12">
        <v>0.4465277777777778</v>
      </c>
      <c r="I508" s="11">
        <v>46125</v>
      </c>
      <c r="J508" s="1">
        <v>46125</v>
      </c>
      <c r="K508" s="1">
        <v>46125</v>
      </c>
      <c r="L508" t="s">
        <v>181</v>
      </c>
      <c r="M508" t="s">
        <v>126</v>
      </c>
      <c r="N508" t="s">
        <v>21</v>
      </c>
      <c r="O508" t="s">
        <v>25</v>
      </c>
      <c r="P508">
        <v>27366</v>
      </c>
      <c r="Q508" t="s">
        <v>19</v>
      </c>
      <c r="R508">
        <v>39547</v>
      </c>
      <c r="S508" t="str">
        <f>VLOOKUP(L508&amp;TEXT(I508,"mmmm")&amp;YEAR(I508),'[1]Detalle C-Fecha'!$D$2:$E$15921,2,FALSE)</f>
        <v>Expreso - Servicios Troncales</v>
      </c>
    </row>
    <row r="509" spans="1:19" x14ac:dyDescent="0.3">
      <c r="A509">
        <v>32113</v>
      </c>
      <c r="B509" t="s">
        <v>28</v>
      </c>
      <c r="C509" t="s">
        <v>15</v>
      </c>
      <c r="D509" t="s">
        <v>16</v>
      </c>
      <c r="E509" t="s">
        <v>47</v>
      </c>
      <c r="F509" s="6" t="str">
        <f t="shared" si="7"/>
        <v>3ML</v>
      </c>
      <c r="G509" s="11">
        <v>46125</v>
      </c>
      <c r="H509" s="12">
        <v>0.4465277777777778</v>
      </c>
      <c r="I509" s="11">
        <v>46125</v>
      </c>
      <c r="J509" s="1">
        <v>46125</v>
      </c>
      <c r="K509" s="1">
        <v>46125</v>
      </c>
      <c r="L509" t="s">
        <v>181</v>
      </c>
      <c r="M509" t="s">
        <v>126</v>
      </c>
      <c r="N509" t="s">
        <v>21</v>
      </c>
      <c r="O509" t="s">
        <v>25</v>
      </c>
      <c r="P509">
        <v>27366</v>
      </c>
      <c r="Q509" t="s">
        <v>19</v>
      </c>
      <c r="R509">
        <v>39617</v>
      </c>
      <c r="S509" t="str">
        <f>VLOOKUP(L509&amp;TEXT(I509,"mmmm")&amp;YEAR(I509),'[1]Detalle C-Fecha'!$D$2:$E$15921,2,FALSE)</f>
        <v>Expreso - Servicios Troncales</v>
      </c>
    </row>
    <row r="510" spans="1:19" x14ac:dyDescent="0.3">
      <c r="A510">
        <v>32114</v>
      </c>
      <c r="B510" t="s">
        <v>28</v>
      </c>
      <c r="C510" t="s">
        <v>15</v>
      </c>
      <c r="D510" t="s">
        <v>16</v>
      </c>
      <c r="E510" t="s">
        <v>46</v>
      </c>
      <c r="F510" s="6" t="str">
        <f t="shared" si="7"/>
        <v>6ML</v>
      </c>
      <c r="G510" s="11">
        <v>46125</v>
      </c>
      <c r="H510" s="12">
        <v>0.4465277777777778</v>
      </c>
      <c r="I510" s="11">
        <v>46125</v>
      </c>
      <c r="J510" s="1">
        <v>46125</v>
      </c>
      <c r="K510" s="1">
        <v>46125</v>
      </c>
      <c r="L510" t="s">
        <v>181</v>
      </c>
      <c r="M510" t="s">
        <v>126</v>
      </c>
      <c r="N510" t="s">
        <v>21</v>
      </c>
      <c r="O510" t="s">
        <v>25</v>
      </c>
      <c r="P510">
        <v>27367</v>
      </c>
      <c r="Q510" t="s">
        <v>19</v>
      </c>
      <c r="R510">
        <v>39548</v>
      </c>
      <c r="S510" t="str">
        <f>VLOOKUP(L510&amp;TEXT(I510,"mmmm")&amp;YEAR(I510),'[1]Detalle C-Fecha'!$D$2:$E$15921,2,FALSE)</f>
        <v>Expreso - Servicios Troncales</v>
      </c>
    </row>
    <row r="511" spans="1:19" x14ac:dyDescent="0.3">
      <c r="A511">
        <v>32114</v>
      </c>
      <c r="B511" t="s">
        <v>28</v>
      </c>
      <c r="C511" t="s">
        <v>15</v>
      </c>
      <c r="D511" t="s">
        <v>16</v>
      </c>
      <c r="E511" t="s">
        <v>46</v>
      </c>
      <c r="F511" s="6" t="str">
        <f t="shared" si="7"/>
        <v>6ML</v>
      </c>
      <c r="G511" s="11">
        <v>46125</v>
      </c>
      <c r="H511" s="12">
        <v>0.4465277777777778</v>
      </c>
      <c r="I511" s="11">
        <v>46125</v>
      </c>
      <c r="J511" s="1">
        <v>46125</v>
      </c>
      <c r="K511" s="1">
        <v>46125</v>
      </c>
      <c r="L511" t="s">
        <v>181</v>
      </c>
      <c r="M511" t="s">
        <v>126</v>
      </c>
      <c r="N511" t="s">
        <v>21</v>
      </c>
      <c r="O511" t="s">
        <v>25</v>
      </c>
      <c r="P511">
        <v>27367</v>
      </c>
      <c r="Q511" t="s">
        <v>19</v>
      </c>
      <c r="R511">
        <v>39617</v>
      </c>
      <c r="S511" t="str">
        <f>VLOOKUP(L511&amp;TEXT(I511,"mmmm")&amp;YEAR(I511),'[1]Detalle C-Fecha'!$D$2:$E$15921,2,FALSE)</f>
        <v>Expreso - Servicios Troncales</v>
      </c>
    </row>
    <row r="512" spans="1:19" x14ac:dyDescent="0.3">
      <c r="A512">
        <v>32119</v>
      </c>
      <c r="B512" t="s">
        <v>28</v>
      </c>
      <c r="C512" t="s">
        <v>15</v>
      </c>
      <c r="D512" t="s">
        <v>16</v>
      </c>
      <c r="E512" t="s">
        <v>121</v>
      </c>
      <c r="F512" s="6" t="str">
        <f t="shared" si="7"/>
        <v>2MC</v>
      </c>
      <c r="G512" s="11">
        <v>46125</v>
      </c>
      <c r="H512" s="12">
        <v>0.48680555555555555</v>
      </c>
      <c r="I512" s="11">
        <v>46125</v>
      </c>
      <c r="J512" s="1">
        <v>46125</v>
      </c>
      <c r="K512" s="1">
        <v>46125</v>
      </c>
      <c r="L512" t="s">
        <v>182</v>
      </c>
      <c r="M512">
        <v>1624</v>
      </c>
      <c r="N512" t="s">
        <v>21</v>
      </c>
      <c r="O512" t="s">
        <v>27</v>
      </c>
      <c r="P512">
        <v>27372</v>
      </c>
      <c r="Q512" t="s">
        <v>19</v>
      </c>
      <c r="R512">
        <v>39550</v>
      </c>
      <c r="S512" t="str">
        <f>VLOOKUP(L512&amp;TEXT(I512,"mmmm")&amp;YEAR(I512),'[1]Detalle C-Fecha'!$D$2:$E$15921,2,FALSE)</f>
        <v>Unilever - Unilever de Arg. S.A.</v>
      </c>
    </row>
    <row r="513" spans="1:19" x14ac:dyDescent="0.3">
      <c r="A513">
        <v>32119</v>
      </c>
      <c r="B513" t="s">
        <v>28</v>
      </c>
      <c r="C513" t="s">
        <v>15</v>
      </c>
      <c r="D513" t="s">
        <v>16</v>
      </c>
      <c r="E513" t="s">
        <v>121</v>
      </c>
      <c r="F513" s="6" t="str">
        <f t="shared" ref="F513:F576" si="8">MID(E513,1,3)</f>
        <v>2MC</v>
      </c>
      <c r="G513" s="11">
        <v>46125</v>
      </c>
      <c r="H513" s="12">
        <v>0.48680555555555555</v>
      </c>
      <c r="I513" s="11">
        <v>46125</v>
      </c>
      <c r="J513" s="1">
        <v>46125</v>
      </c>
      <c r="K513" s="1">
        <v>46125</v>
      </c>
      <c r="L513" t="s">
        <v>182</v>
      </c>
      <c r="M513">
        <v>1624</v>
      </c>
      <c r="N513" t="s">
        <v>21</v>
      </c>
      <c r="O513" t="s">
        <v>27</v>
      </c>
      <c r="P513">
        <v>27372</v>
      </c>
      <c r="Q513" t="s">
        <v>19</v>
      </c>
      <c r="R513">
        <v>39618</v>
      </c>
      <c r="S513" t="str">
        <f>VLOOKUP(L513&amp;TEXT(I513,"mmmm")&amp;YEAR(I513),'[1]Detalle C-Fecha'!$D$2:$E$15921,2,FALSE)</f>
        <v>Unilever - Unilever de Arg. S.A.</v>
      </c>
    </row>
    <row r="514" spans="1:19" x14ac:dyDescent="0.3">
      <c r="A514">
        <v>32120</v>
      </c>
      <c r="B514" t="s">
        <v>28</v>
      </c>
      <c r="C514" t="s">
        <v>15</v>
      </c>
      <c r="D514" t="s">
        <v>16</v>
      </c>
      <c r="E514" t="s">
        <v>53</v>
      </c>
      <c r="F514" s="6" t="str">
        <f t="shared" si="8"/>
        <v>3MC</v>
      </c>
      <c r="G514" s="11">
        <v>46125</v>
      </c>
      <c r="H514" s="12">
        <v>0.48680555555555555</v>
      </c>
      <c r="I514" s="11">
        <v>46125</v>
      </c>
      <c r="J514" s="1">
        <v>46125</v>
      </c>
      <c r="K514" s="1">
        <v>46125</v>
      </c>
      <c r="L514" t="s">
        <v>182</v>
      </c>
      <c r="M514">
        <v>1624</v>
      </c>
      <c r="N514" t="s">
        <v>21</v>
      </c>
      <c r="O514" t="s">
        <v>27</v>
      </c>
      <c r="P514">
        <v>27373</v>
      </c>
      <c r="Q514" t="s">
        <v>19</v>
      </c>
      <c r="R514">
        <v>39551</v>
      </c>
      <c r="S514" t="str">
        <f>VLOOKUP(L514&amp;TEXT(I514,"mmmm")&amp;YEAR(I514),'[1]Detalle C-Fecha'!$D$2:$E$15921,2,FALSE)</f>
        <v>Unilever - Unilever de Arg. S.A.</v>
      </c>
    </row>
    <row r="515" spans="1:19" x14ac:dyDescent="0.3">
      <c r="A515">
        <v>32120</v>
      </c>
      <c r="B515" t="s">
        <v>28</v>
      </c>
      <c r="C515" t="s">
        <v>15</v>
      </c>
      <c r="D515" t="s">
        <v>16</v>
      </c>
      <c r="E515" t="s">
        <v>53</v>
      </c>
      <c r="F515" s="6" t="str">
        <f t="shared" si="8"/>
        <v>3MC</v>
      </c>
      <c r="G515" s="11">
        <v>46125</v>
      </c>
      <c r="H515" s="12">
        <v>0.48680555555555555</v>
      </c>
      <c r="I515" s="11">
        <v>46125</v>
      </c>
      <c r="J515" s="1">
        <v>46125</v>
      </c>
      <c r="K515" s="1">
        <v>46125</v>
      </c>
      <c r="L515" t="s">
        <v>182</v>
      </c>
      <c r="M515">
        <v>1624</v>
      </c>
      <c r="N515" t="s">
        <v>21</v>
      </c>
      <c r="O515" t="s">
        <v>27</v>
      </c>
      <c r="P515">
        <v>27373</v>
      </c>
      <c r="Q515" t="s">
        <v>19</v>
      </c>
      <c r="R515">
        <v>39618</v>
      </c>
      <c r="S515" t="str">
        <f>VLOOKUP(L515&amp;TEXT(I515,"mmmm")&amp;YEAR(I515),'[1]Detalle C-Fecha'!$D$2:$E$15921,2,FALSE)</f>
        <v>Unilever - Unilever de Arg. S.A.</v>
      </c>
    </row>
    <row r="516" spans="1:19" x14ac:dyDescent="0.3">
      <c r="A516">
        <v>32121</v>
      </c>
      <c r="B516" t="s">
        <v>28</v>
      </c>
      <c r="C516" t="s">
        <v>15</v>
      </c>
      <c r="D516" t="s">
        <v>16</v>
      </c>
      <c r="E516" t="s">
        <v>111</v>
      </c>
      <c r="F516" s="6" t="str">
        <f t="shared" si="8"/>
        <v>6MC</v>
      </c>
      <c r="G516" s="11">
        <v>46125</v>
      </c>
      <c r="H516" s="12">
        <v>0.48680555555555555</v>
      </c>
      <c r="I516" s="11">
        <v>46125</v>
      </c>
      <c r="J516" s="1">
        <v>46125</v>
      </c>
      <c r="K516" s="1">
        <v>46125</v>
      </c>
      <c r="L516" t="s">
        <v>182</v>
      </c>
      <c r="M516">
        <v>1624</v>
      </c>
      <c r="N516" t="s">
        <v>21</v>
      </c>
      <c r="O516" t="s">
        <v>27</v>
      </c>
      <c r="P516">
        <v>27374</v>
      </c>
      <c r="Q516" t="s">
        <v>19</v>
      </c>
      <c r="R516">
        <v>39552</v>
      </c>
      <c r="S516" t="str">
        <f>VLOOKUP(L516&amp;TEXT(I516,"mmmm")&amp;YEAR(I516),'[1]Detalle C-Fecha'!$D$2:$E$15921,2,FALSE)</f>
        <v>Unilever - Unilever de Arg. S.A.</v>
      </c>
    </row>
    <row r="517" spans="1:19" x14ac:dyDescent="0.3">
      <c r="A517">
        <v>32121</v>
      </c>
      <c r="B517" t="s">
        <v>28</v>
      </c>
      <c r="C517" t="s">
        <v>15</v>
      </c>
      <c r="D517" t="s">
        <v>16</v>
      </c>
      <c r="E517" t="s">
        <v>111</v>
      </c>
      <c r="F517" s="6" t="str">
        <f t="shared" si="8"/>
        <v>6MC</v>
      </c>
      <c r="G517" s="11">
        <v>46125</v>
      </c>
      <c r="H517" s="12">
        <v>0.48680555555555555</v>
      </c>
      <c r="I517" s="11">
        <v>46125</v>
      </c>
      <c r="J517" s="1">
        <v>46125</v>
      </c>
      <c r="K517" s="1">
        <v>46125</v>
      </c>
      <c r="L517" t="s">
        <v>182</v>
      </c>
      <c r="M517">
        <v>1624</v>
      </c>
      <c r="N517" t="s">
        <v>21</v>
      </c>
      <c r="O517" t="s">
        <v>27</v>
      </c>
      <c r="P517">
        <v>27374</v>
      </c>
      <c r="Q517" t="s">
        <v>19</v>
      </c>
      <c r="R517">
        <v>39618</v>
      </c>
      <c r="S517" t="str">
        <f>VLOOKUP(L517&amp;TEXT(I517,"mmmm")&amp;YEAR(I517),'[1]Detalle C-Fecha'!$D$2:$E$15921,2,FALSE)</f>
        <v>Unilever - Unilever de Arg. S.A.</v>
      </c>
    </row>
    <row r="518" spans="1:19" x14ac:dyDescent="0.3">
      <c r="A518">
        <v>32122</v>
      </c>
      <c r="B518" t="s">
        <v>28</v>
      </c>
      <c r="C518" t="s">
        <v>15</v>
      </c>
      <c r="D518" t="s">
        <v>16</v>
      </c>
      <c r="E518" t="s">
        <v>137</v>
      </c>
      <c r="F518" s="6" t="str">
        <f t="shared" si="8"/>
        <v>7ML</v>
      </c>
      <c r="G518" s="11">
        <v>46125</v>
      </c>
      <c r="H518" s="12">
        <v>0.50277777777777777</v>
      </c>
      <c r="I518" s="11">
        <v>46125</v>
      </c>
      <c r="J518" s="1">
        <v>46125</v>
      </c>
      <c r="K518" s="1">
        <v>46125</v>
      </c>
      <c r="L518" t="s">
        <v>181</v>
      </c>
      <c r="M518" t="s">
        <v>126</v>
      </c>
      <c r="N518" t="s">
        <v>21</v>
      </c>
      <c r="S518" t="str">
        <f>VLOOKUP(L518&amp;TEXT(I518,"mmmm")&amp;YEAR(I518),'[1]Detalle C-Fecha'!$D$2:$E$15921,2,FALSE)</f>
        <v>Expreso - Servicios Troncales</v>
      </c>
    </row>
    <row r="519" spans="1:19" x14ac:dyDescent="0.3">
      <c r="A519">
        <v>32135</v>
      </c>
      <c r="B519" t="s">
        <v>28</v>
      </c>
      <c r="C519" t="s">
        <v>15</v>
      </c>
      <c r="D519" t="s">
        <v>16</v>
      </c>
      <c r="E519" t="s">
        <v>51</v>
      </c>
      <c r="F519" s="6" t="str">
        <f t="shared" si="8"/>
        <v>2MC</v>
      </c>
      <c r="G519" s="11">
        <v>46125</v>
      </c>
      <c r="H519" s="12">
        <v>0.64513888888888882</v>
      </c>
      <c r="I519" s="11">
        <v>46125</v>
      </c>
      <c r="J519" s="1">
        <v>46125</v>
      </c>
      <c r="K519" s="1">
        <v>46125</v>
      </c>
      <c r="L519" t="s">
        <v>184</v>
      </c>
      <c r="M519" t="s">
        <v>128</v>
      </c>
      <c r="N519" t="s">
        <v>21</v>
      </c>
      <c r="O519" t="s">
        <v>18</v>
      </c>
      <c r="P519">
        <v>27387</v>
      </c>
      <c r="Q519" t="s">
        <v>19</v>
      </c>
      <c r="R519">
        <v>39556</v>
      </c>
      <c r="S519" t="str">
        <f>VLOOKUP(L519&amp;TEXT(I519,"mmmm")&amp;YEAR(I519),'[1]Detalle C-Fecha'!$D$2:$E$15921,2,FALSE)</f>
        <v>CMQ_TTE - QUILMES TTE</v>
      </c>
    </row>
    <row r="520" spans="1:19" x14ac:dyDescent="0.3">
      <c r="A520">
        <v>32135</v>
      </c>
      <c r="B520" t="s">
        <v>28</v>
      </c>
      <c r="C520" t="s">
        <v>15</v>
      </c>
      <c r="D520" t="s">
        <v>16</v>
      </c>
      <c r="E520" t="s">
        <v>51</v>
      </c>
      <c r="F520" s="6" t="str">
        <f t="shared" si="8"/>
        <v>2MC</v>
      </c>
      <c r="G520" s="11">
        <v>46125</v>
      </c>
      <c r="H520" s="12">
        <v>0.64513888888888882</v>
      </c>
      <c r="I520" s="11">
        <v>46125</v>
      </c>
      <c r="J520" s="1">
        <v>46125</v>
      </c>
      <c r="K520" s="1">
        <v>46125</v>
      </c>
      <c r="L520" t="s">
        <v>184</v>
      </c>
      <c r="M520" t="s">
        <v>128</v>
      </c>
      <c r="N520" t="s">
        <v>21</v>
      </c>
      <c r="O520" t="s">
        <v>18</v>
      </c>
      <c r="P520">
        <v>27387</v>
      </c>
      <c r="Q520" t="s">
        <v>19</v>
      </c>
      <c r="R520">
        <v>39615</v>
      </c>
      <c r="S520" t="str">
        <f>VLOOKUP(L520&amp;TEXT(I520,"mmmm")&amp;YEAR(I520),'[1]Detalle C-Fecha'!$D$2:$E$15921,2,FALSE)</f>
        <v>CMQ_TTE - QUILMES TTE</v>
      </c>
    </row>
    <row r="521" spans="1:19" x14ac:dyDescent="0.3">
      <c r="A521">
        <v>32136</v>
      </c>
      <c r="B521" t="s">
        <v>28</v>
      </c>
      <c r="C521" t="s">
        <v>15</v>
      </c>
      <c r="D521" t="s">
        <v>16</v>
      </c>
      <c r="E521" t="s">
        <v>53</v>
      </c>
      <c r="F521" s="6" t="str">
        <f t="shared" si="8"/>
        <v>3MC</v>
      </c>
      <c r="G521" s="11">
        <v>46125</v>
      </c>
      <c r="H521" s="12">
        <v>0.64513888888888882</v>
      </c>
      <c r="I521" s="11">
        <v>46125</v>
      </c>
      <c r="J521" s="1">
        <v>46125</v>
      </c>
      <c r="K521" s="1">
        <v>46125</v>
      </c>
      <c r="L521" t="s">
        <v>184</v>
      </c>
      <c r="M521" t="s">
        <v>128</v>
      </c>
      <c r="N521" t="s">
        <v>21</v>
      </c>
      <c r="O521" t="s">
        <v>18</v>
      </c>
      <c r="P521">
        <v>27388</v>
      </c>
      <c r="Q521" t="s">
        <v>19</v>
      </c>
      <c r="R521">
        <v>39557</v>
      </c>
      <c r="S521" t="str">
        <f>VLOOKUP(L521&amp;TEXT(I521,"mmmm")&amp;YEAR(I521),'[1]Detalle C-Fecha'!$D$2:$E$15921,2,FALSE)</f>
        <v>CMQ_TTE - QUILMES TTE</v>
      </c>
    </row>
    <row r="522" spans="1:19" x14ac:dyDescent="0.3">
      <c r="A522">
        <v>32136</v>
      </c>
      <c r="B522" t="s">
        <v>28</v>
      </c>
      <c r="C522" t="s">
        <v>15</v>
      </c>
      <c r="D522" t="s">
        <v>16</v>
      </c>
      <c r="E522" t="s">
        <v>53</v>
      </c>
      <c r="F522" s="6" t="str">
        <f t="shared" si="8"/>
        <v>3MC</v>
      </c>
      <c r="G522" s="11">
        <v>46125</v>
      </c>
      <c r="H522" s="12">
        <v>0.64513888888888882</v>
      </c>
      <c r="I522" s="11">
        <v>46125</v>
      </c>
      <c r="J522" s="1">
        <v>46125</v>
      </c>
      <c r="K522" s="1">
        <v>46125</v>
      </c>
      <c r="L522" t="s">
        <v>184</v>
      </c>
      <c r="M522" t="s">
        <v>128</v>
      </c>
      <c r="N522" t="s">
        <v>21</v>
      </c>
      <c r="O522" t="s">
        <v>18</v>
      </c>
      <c r="P522">
        <v>27388</v>
      </c>
      <c r="Q522" t="s">
        <v>19</v>
      </c>
      <c r="R522">
        <v>39615</v>
      </c>
      <c r="S522" t="str">
        <f>VLOOKUP(L522&amp;TEXT(I522,"mmmm")&amp;YEAR(I522),'[1]Detalle C-Fecha'!$D$2:$E$15921,2,FALSE)</f>
        <v>CMQ_TTE - QUILMES TTE</v>
      </c>
    </row>
    <row r="523" spans="1:19" x14ac:dyDescent="0.3">
      <c r="A523">
        <v>32137</v>
      </c>
      <c r="B523" t="s">
        <v>28</v>
      </c>
      <c r="C523" t="s">
        <v>15</v>
      </c>
      <c r="D523" t="s">
        <v>16</v>
      </c>
      <c r="E523" t="s">
        <v>52</v>
      </c>
      <c r="F523" s="6" t="str">
        <f t="shared" si="8"/>
        <v>6MC</v>
      </c>
      <c r="G523" s="11">
        <v>46125</v>
      </c>
      <c r="H523" s="12">
        <v>0.64513888888888882</v>
      </c>
      <c r="I523" s="11">
        <v>46125</v>
      </c>
      <c r="J523" s="1">
        <v>46125</v>
      </c>
      <c r="K523" s="1">
        <v>46125</v>
      </c>
      <c r="L523" t="s">
        <v>184</v>
      </c>
      <c r="M523" t="s">
        <v>128</v>
      </c>
      <c r="N523" t="s">
        <v>21</v>
      </c>
      <c r="O523" t="s">
        <v>18</v>
      </c>
      <c r="P523">
        <v>27389</v>
      </c>
      <c r="Q523" t="s">
        <v>19</v>
      </c>
      <c r="R523">
        <v>39558</v>
      </c>
      <c r="S523" t="str">
        <f>VLOOKUP(L523&amp;TEXT(I523,"mmmm")&amp;YEAR(I523),'[1]Detalle C-Fecha'!$D$2:$E$15921,2,FALSE)</f>
        <v>CMQ_TTE - QUILMES TTE</v>
      </c>
    </row>
    <row r="524" spans="1:19" x14ac:dyDescent="0.3">
      <c r="A524">
        <v>32137</v>
      </c>
      <c r="B524" t="s">
        <v>28</v>
      </c>
      <c r="C524" t="s">
        <v>15</v>
      </c>
      <c r="D524" t="s">
        <v>16</v>
      </c>
      <c r="E524" t="s">
        <v>52</v>
      </c>
      <c r="F524" s="6" t="str">
        <f t="shared" si="8"/>
        <v>6MC</v>
      </c>
      <c r="G524" s="11">
        <v>46125</v>
      </c>
      <c r="H524" s="12">
        <v>0.64513888888888882</v>
      </c>
      <c r="I524" s="11">
        <v>46125</v>
      </c>
      <c r="J524" s="1">
        <v>46125</v>
      </c>
      <c r="K524" s="1">
        <v>46125</v>
      </c>
      <c r="L524" t="s">
        <v>184</v>
      </c>
      <c r="M524" t="s">
        <v>128</v>
      </c>
      <c r="N524" t="s">
        <v>21</v>
      </c>
      <c r="O524" t="s">
        <v>18</v>
      </c>
      <c r="P524">
        <v>27389</v>
      </c>
      <c r="Q524" t="s">
        <v>19</v>
      </c>
      <c r="R524">
        <v>39615</v>
      </c>
      <c r="S524" t="str">
        <f>VLOOKUP(L524&amp;TEXT(I524,"mmmm")&amp;YEAR(I524),'[1]Detalle C-Fecha'!$D$2:$E$15921,2,FALSE)</f>
        <v>CMQ_TTE - QUILMES TTE</v>
      </c>
    </row>
    <row r="525" spans="1:19" x14ac:dyDescent="0.3">
      <c r="A525">
        <v>32143</v>
      </c>
      <c r="B525" t="s">
        <v>28</v>
      </c>
      <c r="C525" t="s">
        <v>15</v>
      </c>
      <c r="D525" t="s">
        <v>16</v>
      </c>
      <c r="E525" t="s">
        <v>51</v>
      </c>
      <c r="F525" s="6" t="str">
        <f t="shared" si="8"/>
        <v>2MC</v>
      </c>
      <c r="G525" s="11">
        <v>46125</v>
      </c>
      <c r="H525" s="12">
        <v>0.66597222222222219</v>
      </c>
      <c r="I525" s="11">
        <v>46125</v>
      </c>
      <c r="J525" s="1">
        <v>46125</v>
      </c>
      <c r="K525" s="1">
        <v>46125</v>
      </c>
      <c r="L525" t="s">
        <v>185</v>
      </c>
      <c r="M525" t="s">
        <v>130</v>
      </c>
      <c r="N525" t="s">
        <v>21</v>
      </c>
      <c r="O525" t="s">
        <v>24</v>
      </c>
      <c r="P525">
        <v>27397</v>
      </c>
      <c r="Q525" t="s">
        <v>19</v>
      </c>
      <c r="R525">
        <v>39560</v>
      </c>
      <c r="S525" t="str">
        <f>VLOOKUP(L525&amp;TEXT(I525,"mmmm")&amp;YEAR(I525),'[1]Detalle C-Fecha'!$D$2:$E$15921,2,FALSE)</f>
        <v>CCUDyAZA</v>
      </c>
    </row>
    <row r="526" spans="1:19" x14ac:dyDescent="0.3">
      <c r="A526">
        <v>32143</v>
      </c>
      <c r="B526" t="s">
        <v>28</v>
      </c>
      <c r="C526" t="s">
        <v>15</v>
      </c>
      <c r="D526" t="s">
        <v>16</v>
      </c>
      <c r="E526" t="s">
        <v>51</v>
      </c>
      <c r="F526" s="6" t="str">
        <f t="shared" si="8"/>
        <v>2MC</v>
      </c>
      <c r="G526" s="11">
        <v>46125</v>
      </c>
      <c r="H526" s="12">
        <v>0.66597222222222219</v>
      </c>
      <c r="I526" s="11">
        <v>46125</v>
      </c>
      <c r="J526" s="1">
        <v>46125</v>
      </c>
      <c r="K526" s="1">
        <v>46125</v>
      </c>
      <c r="L526" t="s">
        <v>185</v>
      </c>
      <c r="M526" t="s">
        <v>130</v>
      </c>
      <c r="N526" t="s">
        <v>21</v>
      </c>
      <c r="O526" t="s">
        <v>24</v>
      </c>
      <c r="P526">
        <v>27397</v>
      </c>
      <c r="Q526" t="s">
        <v>19</v>
      </c>
      <c r="R526">
        <v>39616</v>
      </c>
      <c r="S526" t="str">
        <f>VLOOKUP(L526&amp;TEXT(I526,"mmmm")&amp;YEAR(I526),'[1]Detalle C-Fecha'!$D$2:$E$15921,2,FALSE)</f>
        <v>CCUDyAZA</v>
      </c>
    </row>
    <row r="527" spans="1:19" x14ac:dyDescent="0.3">
      <c r="A527">
        <v>32144</v>
      </c>
      <c r="B527" t="s">
        <v>28</v>
      </c>
      <c r="C527" t="s">
        <v>15</v>
      </c>
      <c r="D527" t="s">
        <v>16</v>
      </c>
      <c r="E527" t="s">
        <v>53</v>
      </c>
      <c r="F527" s="6" t="str">
        <f t="shared" si="8"/>
        <v>3MC</v>
      </c>
      <c r="G527" s="11">
        <v>46125</v>
      </c>
      <c r="H527" s="12">
        <v>0.66597222222222219</v>
      </c>
      <c r="I527" s="11">
        <v>46125</v>
      </c>
      <c r="J527" s="1">
        <v>46125</v>
      </c>
      <c r="K527" s="1">
        <v>46125</v>
      </c>
      <c r="L527" t="s">
        <v>185</v>
      </c>
      <c r="M527" t="s">
        <v>130</v>
      </c>
      <c r="N527" t="s">
        <v>21</v>
      </c>
      <c r="O527" t="s">
        <v>24</v>
      </c>
      <c r="P527">
        <v>27398</v>
      </c>
      <c r="Q527" t="s">
        <v>19</v>
      </c>
      <c r="R527">
        <v>39561</v>
      </c>
      <c r="S527" t="str">
        <f>VLOOKUP(L527&amp;TEXT(I527,"mmmm")&amp;YEAR(I527),'[1]Detalle C-Fecha'!$D$2:$E$15921,2,FALSE)</f>
        <v>CCUDyAZA</v>
      </c>
    </row>
    <row r="528" spans="1:19" x14ac:dyDescent="0.3">
      <c r="A528">
        <v>32144</v>
      </c>
      <c r="B528" t="s">
        <v>28</v>
      </c>
      <c r="C528" t="s">
        <v>15</v>
      </c>
      <c r="D528" t="s">
        <v>16</v>
      </c>
      <c r="E528" t="s">
        <v>53</v>
      </c>
      <c r="F528" s="6" t="str">
        <f t="shared" si="8"/>
        <v>3MC</v>
      </c>
      <c r="G528" s="11">
        <v>46125</v>
      </c>
      <c r="H528" s="12">
        <v>0.66597222222222219</v>
      </c>
      <c r="I528" s="11">
        <v>46125</v>
      </c>
      <c r="J528" s="1">
        <v>46125</v>
      </c>
      <c r="K528" s="1">
        <v>46125</v>
      </c>
      <c r="L528" t="s">
        <v>185</v>
      </c>
      <c r="M528" t="s">
        <v>130</v>
      </c>
      <c r="N528" t="s">
        <v>21</v>
      </c>
      <c r="O528" t="s">
        <v>24</v>
      </c>
      <c r="P528">
        <v>27398</v>
      </c>
      <c r="Q528" t="s">
        <v>19</v>
      </c>
      <c r="R528">
        <v>39616</v>
      </c>
      <c r="S528" t="str">
        <f>VLOOKUP(L528&amp;TEXT(I528,"mmmm")&amp;YEAR(I528),'[1]Detalle C-Fecha'!$D$2:$E$15921,2,FALSE)</f>
        <v>CCUDyAZA</v>
      </c>
    </row>
    <row r="529" spans="1:19" x14ac:dyDescent="0.3">
      <c r="A529">
        <v>32145</v>
      </c>
      <c r="B529" t="s">
        <v>28</v>
      </c>
      <c r="C529" t="s">
        <v>15</v>
      </c>
      <c r="D529" t="s">
        <v>16</v>
      </c>
      <c r="E529" t="s">
        <v>52</v>
      </c>
      <c r="F529" s="6" t="str">
        <f t="shared" si="8"/>
        <v>6MC</v>
      </c>
      <c r="G529" s="11">
        <v>46125</v>
      </c>
      <c r="H529" s="12">
        <v>0.66597222222222219</v>
      </c>
      <c r="I529" s="11">
        <v>46125</v>
      </c>
      <c r="J529" s="1">
        <v>46125</v>
      </c>
      <c r="K529" s="1">
        <v>46125</v>
      </c>
      <c r="L529" t="s">
        <v>185</v>
      </c>
      <c r="M529" t="s">
        <v>130</v>
      </c>
      <c r="N529" t="s">
        <v>21</v>
      </c>
      <c r="O529" t="s">
        <v>24</v>
      </c>
      <c r="P529">
        <v>27399</v>
      </c>
      <c r="Q529" t="s">
        <v>19</v>
      </c>
      <c r="R529">
        <v>39562</v>
      </c>
      <c r="S529" t="str">
        <f>VLOOKUP(L529&amp;TEXT(I529,"mmmm")&amp;YEAR(I529),'[1]Detalle C-Fecha'!$D$2:$E$15921,2,FALSE)</f>
        <v>CCUDyAZA</v>
      </c>
    </row>
    <row r="530" spans="1:19" x14ac:dyDescent="0.3">
      <c r="A530">
        <v>32145</v>
      </c>
      <c r="B530" t="s">
        <v>28</v>
      </c>
      <c r="C530" t="s">
        <v>15</v>
      </c>
      <c r="D530" t="s">
        <v>16</v>
      </c>
      <c r="E530" t="s">
        <v>52</v>
      </c>
      <c r="F530" s="6" t="str">
        <f t="shared" si="8"/>
        <v>6MC</v>
      </c>
      <c r="G530" s="11">
        <v>46125</v>
      </c>
      <c r="H530" s="12">
        <v>0.66597222222222219</v>
      </c>
      <c r="I530" s="11">
        <v>46125</v>
      </c>
      <c r="J530" s="1">
        <v>46125</v>
      </c>
      <c r="K530" s="1">
        <v>46125</v>
      </c>
      <c r="L530" t="s">
        <v>185</v>
      </c>
      <c r="M530" t="s">
        <v>130</v>
      </c>
      <c r="N530" t="s">
        <v>21</v>
      </c>
      <c r="O530" t="s">
        <v>24</v>
      </c>
      <c r="P530">
        <v>27399</v>
      </c>
      <c r="Q530" t="s">
        <v>19</v>
      </c>
      <c r="R530">
        <v>39616</v>
      </c>
      <c r="S530" t="str">
        <f>VLOOKUP(L530&amp;TEXT(I530,"mmmm")&amp;YEAR(I530),'[1]Detalle C-Fecha'!$D$2:$E$15921,2,FALSE)</f>
        <v>CCUDyAZA</v>
      </c>
    </row>
    <row r="531" spans="1:19" x14ac:dyDescent="0.3">
      <c r="A531">
        <v>32146</v>
      </c>
      <c r="B531" t="s">
        <v>28</v>
      </c>
      <c r="C531" t="s">
        <v>15</v>
      </c>
      <c r="D531" t="s">
        <v>16</v>
      </c>
      <c r="E531" t="s">
        <v>51</v>
      </c>
      <c r="F531" s="6" t="str">
        <f t="shared" si="8"/>
        <v>2MC</v>
      </c>
      <c r="G531" s="11">
        <v>46125</v>
      </c>
      <c r="H531" s="12">
        <v>0.66597222222222219</v>
      </c>
      <c r="I531" s="11">
        <v>46125</v>
      </c>
      <c r="J531" s="1">
        <v>46125</v>
      </c>
      <c r="K531" s="1">
        <v>46125</v>
      </c>
      <c r="L531" t="s">
        <v>186</v>
      </c>
      <c r="M531" t="s">
        <v>155</v>
      </c>
      <c r="N531" t="s">
        <v>21</v>
      </c>
      <c r="O531" t="s">
        <v>24</v>
      </c>
      <c r="P531">
        <v>27400</v>
      </c>
      <c r="Q531" t="s">
        <v>19</v>
      </c>
      <c r="R531">
        <v>39563</v>
      </c>
      <c r="S531" t="str">
        <f>VLOOKUP(L531&amp;TEXT(I531,"mmmm")&amp;YEAR(I531),'[1]Detalle C-Fecha'!$D$2:$E$15921,2,FALSE)</f>
        <v>CCUDyAZA</v>
      </c>
    </row>
    <row r="532" spans="1:19" x14ac:dyDescent="0.3">
      <c r="A532">
        <v>32146</v>
      </c>
      <c r="B532" t="s">
        <v>28</v>
      </c>
      <c r="C532" t="s">
        <v>15</v>
      </c>
      <c r="D532" t="s">
        <v>16</v>
      </c>
      <c r="E532" t="s">
        <v>51</v>
      </c>
      <c r="F532" s="6" t="str">
        <f t="shared" si="8"/>
        <v>2MC</v>
      </c>
      <c r="G532" s="11">
        <v>46125</v>
      </c>
      <c r="H532" s="12">
        <v>0.66597222222222219</v>
      </c>
      <c r="I532" s="11">
        <v>46125</v>
      </c>
      <c r="J532" s="1">
        <v>46125</v>
      </c>
      <c r="K532" s="1">
        <v>46125</v>
      </c>
      <c r="L532" t="s">
        <v>186</v>
      </c>
      <c r="M532" t="s">
        <v>155</v>
      </c>
      <c r="N532" t="s">
        <v>21</v>
      </c>
      <c r="O532" t="s">
        <v>24</v>
      </c>
      <c r="P532">
        <v>27400</v>
      </c>
      <c r="Q532" t="s">
        <v>19</v>
      </c>
      <c r="R532">
        <v>39616</v>
      </c>
      <c r="S532" t="str">
        <f>VLOOKUP(L532&amp;TEXT(I532,"mmmm")&amp;YEAR(I532),'[1]Detalle C-Fecha'!$D$2:$E$15921,2,FALSE)</f>
        <v>CCUDyAZA</v>
      </c>
    </row>
    <row r="533" spans="1:19" x14ac:dyDescent="0.3">
      <c r="A533">
        <v>32147</v>
      </c>
      <c r="B533" t="s">
        <v>28</v>
      </c>
      <c r="C533" t="s">
        <v>15</v>
      </c>
      <c r="D533" t="s">
        <v>16</v>
      </c>
      <c r="E533" t="s">
        <v>53</v>
      </c>
      <c r="F533" s="6" t="str">
        <f t="shared" si="8"/>
        <v>3MC</v>
      </c>
      <c r="G533" s="11">
        <v>46125</v>
      </c>
      <c r="H533" s="12">
        <v>0.66597222222222219</v>
      </c>
      <c r="I533" s="11">
        <v>46125</v>
      </c>
      <c r="J533" s="1">
        <v>46125</v>
      </c>
      <c r="K533" s="1">
        <v>46125</v>
      </c>
      <c r="L533" t="s">
        <v>186</v>
      </c>
      <c r="M533" t="s">
        <v>155</v>
      </c>
      <c r="N533" t="s">
        <v>21</v>
      </c>
      <c r="O533" t="s">
        <v>24</v>
      </c>
      <c r="P533">
        <v>27401</v>
      </c>
      <c r="Q533" t="s">
        <v>19</v>
      </c>
      <c r="R533">
        <v>39564</v>
      </c>
      <c r="S533" t="str">
        <f>VLOOKUP(L533&amp;TEXT(I533,"mmmm")&amp;YEAR(I533),'[1]Detalle C-Fecha'!$D$2:$E$15921,2,FALSE)</f>
        <v>CCUDyAZA</v>
      </c>
    </row>
    <row r="534" spans="1:19" x14ac:dyDescent="0.3">
      <c r="A534">
        <v>32147</v>
      </c>
      <c r="B534" t="s">
        <v>28</v>
      </c>
      <c r="C534" t="s">
        <v>15</v>
      </c>
      <c r="D534" t="s">
        <v>16</v>
      </c>
      <c r="E534" t="s">
        <v>53</v>
      </c>
      <c r="F534" s="6" t="str">
        <f t="shared" si="8"/>
        <v>3MC</v>
      </c>
      <c r="G534" s="11">
        <v>46125</v>
      </c>
      <c r="H534" s="12">
        <v>0.66597222222222219</v>
      </c>
      <c r="I534" s="11">
        <v>46125</v>
      </c>
      <c r="J534" s="1">
        <v>46125</v>
      </c>
      <c r="K534" s="1">
        <v>46125</v>
      </c>
      <c r="L534" t="s">
        <v>186</v>
      </c>
      <c r="M534" t="s">
        <v>155</v>
      </c>
      <c r="N534" t="s">
        <v>21</v>
      </c>
      <c r="O534" t="s">
        <v>24</v>
      </c>
      <c r="P534">
        <v>27401</v>
      </c>
      <c r="Q534" t="s">
        <v>19</v>
      </c>
      <c r="R534">
        <v>39616</v>
      </c>
      <c r="S534" t="str">
        <f>VLOOKUP(L534&amp;TEXT(I534,"mmmm")&amp;YEAR(I534),'[1]Detalle C-Fecha'!$D$2:$E$15921,2,FALSE)</f>
        <v>CCUDyAZA</v>
      </c>
    </row>
    <row r="535" spans="1:19" x14ac:dyDescent="0.3">
      <c r="A535">
        <v>32148</v>
      </c>
      <c r="B535" t="s">
        <v>28</v>
      </c>
      <c r="C535" t="s">
        <v>15</v>
      </c>
      <c r="D535" t="s">
        <v>16</v>
      </c>
      <c r="E535" t="s">
        <v>111</v>
      </c>
      <c r="F535" s="6" t="str">
        <f t="shared" si="8"/>
        <v>6MC</v>
      </c>
      <c r="G535" s="11">
        <v>46125</v>
      </c>
      <c r="H535" s="12">
        <v>0.66597222222222219</v>
      </c>
      <c r="I535" s="11">
        <v>46125</v>
      </c>
      <c r="J535" s="1">
        <v>46125</v>
      </c>
      <c r="K535" s="1">
        <v>46125</v>
      </c>
      <c r="L535" t="s">
        <v>186</v>
      </c>
      <c r="M535" t="s">
        <v>155</v>
      </c>
      <c r="N535" t="s">
        <v>21</v>
      </c>
      <c r="O535" t="s">
        <v>24</v>
      </c>
      <c r="P535">
        <v>27402</v>
      </c>
      <c r="Q535" t="s">
        <v>19</v>
      </c>
      <c r="R535">
        <v>39565</v>
      </c>
      <c r="S535" t="str">
        <f>VLOOKUP(L535&amp;TEXT(I535,"mmmm")&amp;YEAR(I535),'[1]Detalle C-Fecha'!$D$2:$E$15921,2,FALSE)</f>
        <v>CCUDyAZA</v>
      </c>
    </row>
    <row r="536" spans="1:19" x14ac:dyDescent="0.3">
      <c r="A536">
        <v>32148</v>
      </c>
      <c r="B536" t="s">
        <v>28</v>
      </c>
      <c r="C536" t="s">
        <v>15</v>
      </c>
      <c r="D536" t="s">
        <v>16</v>
      </c>
      <c r="E536" t="s">
        <v>111</v>
      </c>
      <c r="F536" s="6" t="str">
        <f t="shared" si="8"/>
        <v>6MC</v>
      </c>
      <c r="G536" s="11">
        <v>46125</v>
      </c>
      <c r="H536" s="12">
        <v>0.66597222222222219</v>
      </c>
      <c r="I536" s="11">
        <v>46125</v>
      </c>
      <c r="J536" s="1">
        <v>46125</v>
      </c>
      <c r="K536" s="1">
        <v>46125</v>
      </c>
      <c r="L536" t="s">
        <v>186</v>
      </c>
      <c r="M536" t="s">
        <v>155</v>
      </c>
      <c r="N536" t="s">
        <v>21</v>
      </c>
      <c r="O536" t="s">
        <v>24</v>
      </c>
      <c r="P536">
        <v>27402</v>
      </c>
      <c r="Q536" t="s">
        <v>19</v>
      </c>
      <c r="R536">
        <v>39616</v>
      </c>
      <c r="S536" t="str">
        <f>VLOOKUP(L536&amp;TEXT(I536,"mmmm")&amp;YEAR(I536),'[1]Detalle C-Fecha'!$D$2:$E$15921,2,FALSE)</f>
        <v>CCUDyAZA</v>
      </c>
    </row>
    <row r="537" spans="1:19" x14ac:dyDescent="0.3">
      <c r="A537">
        <v>32153</v>
      </c>
      <c r="B537" t="s">
        <v>28</v>
      </c>
      <c r="C537" t="s">
        <v>15</v>
      </c>
      <c r="D537" t="s">
        <v>16</v>
      </c>
      <c r="E537" t="s">
        <v>115</v>
      </c>
      <c r="F537" s="6" t="str">
        <f t="shared" si="8"/>
        <v>2ML</v>
      </c>
      <c r="G537" s="11">
        <v>46126</v>
      </c>
      <c r="H537" s="12">
        <v>0.32083333333333336</v>
      </c>
      <c r="I537" s="11">
        <v>46126</v>
      </c>
      <c r="J537" s="1">
        <v>46126</v>
      </c>
      <c r="K537" s="1">
        <v>46126</v>
      </c>
      <c r="L537" t="s">
        <v>70</v>
      </c>
      <c r="M537" t="s">
        <v>129</v>
      </c>
      <c r="N537" t="s">
        <v>21</v>
      </c>
      <c r="O537" t="s">
        <v>24</v>
      </c>
      <c r="P537">
        <v>27425</v>
      </c>
      <c r="Q537" t="s">
        <v>19</v>
      </c>
      <c r="R537">
        <v>39567</v>
      </c>
      <c r="S537" t="str">
        <f>VLOOKUP(L537&amp;TEXT(I537,"mmmm")&amp;YEAR(I537),'[1]Detalle C-Fecha'!$D$2:$E$15921,2,FALSE)</f>
        <v>ADA_CH - Danone Arg. S.A. - Chascomus</v>
      </c>
    </row>
    <row r="538" spans="1:19" x14ac:dyDescent="0.3">
      <c r="A538">
        <v>32153</v>
      </c>
      <c r="B538" t="s">
        <v>28</v>
      </c>
      <c r="C538" t="s">
        <v>15</v>
      </c>
      <c r="D538" t="s">
        <v>16</v>
      </c>
      <c r="E538" t="s">
        <v>115</v>
      </c>
      <c r="F538" s="6" t="str">
        <f t="shared" si="8"/>
        <v>2ML</v>
      </c>
      <c r="G538" s="11">
        <v>46126</v>
      </c>
      <c r="H538" s="12">
        <v>0.32083333333333336</v>
      </c>
      <c r="I538" s="11">
        <v>46126</v>
      </c>
      <c r="J538" s="1">
        <v>46126</v>
      </c>
      <c r="K538" s="1">
        <v>46126</v>
      </c>
      <c r="L538" t="s">
        <v>70</v>
      </c>
      <c r="M538" t="s">
        <v>129</v>
      </c>
      <c r="N538" t="s">
        <v>21</v>
      </c>
      <c r="O538" t="s">
        <v>24</v>
      </c>
      <c r="P538">
        <v>27425</v>
      </c>
      <c r="Q538" t="s">
        <v>19</v>
      </c>
      <c r="R538">
        <v>39616</v>
      </c>
      <c r="S538" t="str">
        <f>VLOOKUP(L538&amp;TEXT(I538,"mmmm")&amp;YEAR(I538),'[1]Detalle C-Fecha'!$D$2:$E$15921,2,FALSE)</f>
        <v>ADA_CH - Danone Arg. S.A. - Chascomus</v>
      </c>
    </row>
    <row r="539" spans="1:19" x14ac:dyDescent="0.3">
      <c r="A539">
        <v>32154</v>
      </c>
      <c r="B539" t="s">
        <v>28</v>
      </c>
      <c r="C539" t="s">
        <v>15</v>
      </c>
      <c r="D539" t="s">
        <v>16</v>
      </c>
      <c r="E539" t="s">
        <v>116</v>
      </c>
      <c r="F539" s="6" t="str">
        <f t="shared" si="8"/>
        <v>3ML</v>
      </c>
      <c r="G539" s="11">
        <v>46126</v>
      </c>
      <c r="H539" s="12">
        <v>0.32083333333333336</v>
      </c>
      <c r="I539" s="11">
        <v>46126</v>
      </c>
      <c r="J539" s="1">
        <v>46126</v>
      </c>
      <c r="K539" s="1">
        <v>46126</v>
      </c>
      <c r="L539" t="s">
        <v>70</v>
      </c>
      <c r="M539" t="s">
        <v>129</v>
      </c>
      <c r="N539" t="s">
        <v>21</v>
      </c>
      <c r="O539" t="s">
        <v>24</v>
      </c>
      <c r="P539">
        <v>27426</v>
      </c>
      <c r="Q539" t="s">
        <v>19</v>
      </c>
      <c r="R539">
        <v>39568</v>
      </c>
      <c r="S539" t="str">
        <f>VLOOKUP(L539&amp;TEXT(I539,"mmmm")&amp;YEAR(I539),'[1]Detalle C-Fecha'!$D$2:$E$15921,2,FALSE)</f>
        <v>ADA_CH - Danone Arg. S.A. - Chascomus</v>
      </c>
    </row>
    <row r="540" spans="1:19" x14ac:dyDescent="0.3">
      <c r="A540">
        <v>32154</v>
      </c>
      <c r="B540" t="s">
        <v>28</v>
      </c>
      <c r="C540" t="s">
        <v>15</v>
      </c>
      <c r="D540" t="s">
        <v>16</v>
      </c>
      <c r="E540" t="s">
        <v>116</v>
      </c>
      <c r="F540" s="6" t="str">
        <f t="shared" si="8"/>
        <v>3ML</v>
      </c>
      <c r="G540" s="11">
        <v>46126</v>
      </c>
      <c r="H540" s="12">
        <v>0.32083333333333336</v>
      </c>
      <c r="I540" s="11">
        <v>46126</v>
      </c>
      <c r="J540" s="1">
        <v>46126</v>
      </c>
      <c r="K540" s="1">
        <v>46126</v>
      </c>
      <c r="L540" t="s">
        <v>70</v>
      </c>
      <c r="M540" t="s">
        <v>129</v>
      </c>
      <c r="N540" t="s">
        <v>21</v>
      </c>
      <c r="O540" t="s">
        <v>24</v>
      </c>
      <c r="P540">
        <v>27426</v>
      </c>
      <c r="Q540" t="s">
        <v>19</v>
      </c>
      <c r="R540">
        <v>39616</v>
      </c>
      <c r="S540" t="str">
        <f>VLOOKUP(L540&amp;TEXT(I540,"mmmm")&amp;YEAR(I540),'[1]Detalle C-Fecha'!$D$2:$E$15921,2,FALSE)</f>
        <v>ADA_CH - Danone Arg. S.A. - Chascomus</v>
      </c>
    </row>
    <row r="541" spans="1:19" x14ac:dyDescent="0.3">
      <c r="A541">
        <v>32155</v>
      </c>
      <c r="B541" t="s">
        <v>28</v>
      </c>
      <c r="C541" t="s">
        <v>15</v>
      </c>
      <c r="D541" t="s">
        <v>16</v>
      </c>
      <c r="E541" t="s">
        <v>117</v>
      </c>
      <c r="F541" s="6" t="str">
        <f t="shared" si="8"/>
        <v>6ML</v>
      </c>
      <c r="G541" s="11">
        <v>46126</v>
      </c>
      <c r="H541" s="12">
        <v>0.32083333333333336</v>
      </c>
      <c r="I541" s="11">
        <v>46126</v>
      </c>
      <c r="J541" s="1">
        <v>46126</v>
      </c>
      <c r="K541" s="1">
        <v>46126</v>
      </c>
      <c r="L541" t="s">
        <v>70</v>
      </c>
      <c r="M541" t="s">
        <v>129</v>
      </c>
      <c r="N541" t="s">
        <v>21</v>
      </c>
      <c r="O541" t="s">
        <v>24</v>
      </c>
      <c r="P541">
        <v>27427</v>
      </c>
      <c r="Q541" t="s">
        <v>19</v>
      </c>
      <c r="R541">
        <v>39569</v>
      </c>
      <c r="S541" t="str">
        <f>VLOOKUP(L541&amp;TEXT(I541,"mmmm")&amp;YEAR(I541),'[1]Detalle C-Fecha'!$D$2:$E$15921,2,FALSE)</f>
        <v>ADA_CH - Danone Arg. S.A. - Chascomus</v>
      </c>
    </row>
    <row r="542" spans="1:19" x14ac:dyDescent="0.3">
      <c r="A542">
        <v>32155</v>
      </c>
      <c r="B542" t="s">
        <v>28</v>
      </c>
      <c r="C542" t="s">
        <v>15</v>
      </c>
      <c r="D542" t="s">
        <v>16</v>
      </c>
      <c r="E542" t="s">
        <v>117</v>
      </c>
      <c r="F542" s="6" t="str">
        <f t="shared" si="8"/>
        <v>6ML</v>
      </c>
      <c r="G542" s="11">
        <v>46126</v>
      </c>
      <c r="H542" s="12">
        <v>0.32083333333333336</v>
      </c>
      <c r="I542" s="11">
        <v>46126</v>
      </c>
      <c r="J542" s="1">
        <v>46126</v>
      </c>
      <c r="K542" s="1">
        <v>46126</v>
      </c>
      <c r="L542" t="s">
        <v>70</v>
      </c>
      <c r="M542" t="s">
        <v>129</v>
      </c>
      <c r="N542" t="s">
        <v>21</v>
      </c>
      <c r="O542" t="s">
        <v>24</v>
      </c>
      <c r="P542">
        <v>27427</v>
      </c>
      <c r="Q542" t="s">
        <v>19</v>
      </c>
      <c r="R542">
        <v>39616</v>
      </c>
      <c r="S542" t="str">
        <f>VLOOKUP(L542&amp;TEXT(I542,"mmmm")&amp;YEAR(I542),'[1]Detalle C-Fecha'!$D$2:$E$15921,2,FALSE)</f>
        <v>ADA_CH - Danone Arg. S.A. - Chascomus</v>
      </c>
    </row>
    <row r="543" spans="1:19" x14ac:dyDescent="0.3">
      <c r="A543">
        <v>32177</v>
      </c>
      <c r="B543" t="s">
        <v>28</v>
      </c>
      <c r="C543" t="s">
        <v>15</v>
      </c>
      <c r="D543" t="s">
        <v>16</v>
      </c>
      <c r="E543" t="s">
        <v>51</v>
      </c>
      <c r="F543" s="6" t="str">
        <f t="shared" si="8"/>
        <v>2MC</v>
      </c>
      <c r="G543" s="11">
        <v>46126</v>
      </c>
      <c r="H543" s="12">
        <v>0.62430555555555556</v>
      </c>
      <c r="I543" s="11">
        <v>46126</v>
      </c>
      <c r="J543" s="1">
        <v>46126</v>
      </c>
      <c r="K543" s="1">
        <v>46126</v>
      </c>
      <c r="L543" t="s">
        <v>187</v>
      </c>
      <c r="M543" t="s">
        <v>163</v>
      </c>
      <c r="N543" t="s">
        <v>21</v>
      </c>
      <c r="O543" t="s">
        <v>24</v>
      </c>
      <c r="P543">
        <v>27472</v>
      </c>
      <c r="Q543" t="s">
        <v>19</v>
      </c>
      <c r="R543">
        <v>39573</v>
      </c>
      <c r="S543" t="str">
        <f>VLOOKUP(L543&amp;TEXT(I543,"mmmm")&amp;YEAR(I543),'[1]Detalle C-Fecha'!$D$2:$E$15921,2,FALSE)</f>
        <v>CCUDyAZA</v>
      </c>
    </row>
    <row r="544" spans="1:19" x14ac:dyDescent="0.3">
      <c r="A544">
        <v>32177</v>
      </c>
      <c r="B544" t="s">
        <v>28</v>
      </c>
      <c r="C544" t="s">
        <v>15</v>
      </c>
      <c r="D544" t="s">
        <v>16</v>
      </c>
      <c r="E544" t="s">
        <v>51</v>
      </c>
      <c r="F544" s="6" t="str">
        <f t="shared" si="8"/>
        <v>2MC</v>
      </c>
      <c r="G544" s="11">
        <v>46126</v>
      </c>
      <c r="H544" s="12">
        <v>0.62430555555555556</v>
      </c>
      <c r="I544" s="11">
        <v>46126</v>
      </c>
      <c r="J544" s="1">
        <v>46126</v>
      </c>
      <c r="K544" s="1">
        <v>46126</v>
      </c>
      <c r="L544" t="s">
        <v>187</v>
      </c>
      <c r="M544" t="s">
        <v>163</v>
      </c>
      <c r="N544" t="s">
        <v>21</v>
      </c>
      <c r="O544" t="s">
        <v>24</v>
      </c>
      <c r="P544">
        <v>27472</v>
      </c>
      <c r="Q544" t="s">
        <v>19</v>
      </c>
      <c r="R544">
        <v>39616</v>
      </c>
      <c r="S544" t="str">
        <f>VLOOKUP(L544&amp;TEXT(I544,"mmmm")&amp;YEAR(I544),'[1]Detalle C-Fecha'!$D$2:$E$15921,2,FALSE)</f>
        <v>CCUDyAZA</v>
      </c>
    </row>
    <row r="545" spans="1:19" x14ac:dyDescent="0.3">
      <c r="A545">
        <v>32178</v>
      </c>
      <c r="B545" t="s">
        <v>28</v>
      </c>
      <c r="C545" t="s">
        <v>15</v>
      </c>
      <c r="D545" t="s">
        <v>16</v>
      </c>
      <c r="E545" t="s">
        <v>53</v>
      </c>
      <c r="F545" s="6" t="str">
        <f t="shared" si="8"/>
        <v>3MC</v>
      </c>
      <c r="G545" s="11">
        <v>46126</v>
      </c>
      <c r="H545" s="12">
        <v>0.62430555555555556</v>
      </c>
      <c r="I545" s="11">
        <v>46126</v>
      </c>
      <c r="J545" s="1">
        <v>46126</v>
      </c>
      <c r="K545" s="1">
        <v>46126</v>
      </c>
      <c r="L545" t="s">
        <v>187</v>
      </c>
      <c r="M545" t="s">
        <v>163</v>
      </c>
      <c r="N545" t="s">
        <v>21</v>
      </c>
      <c r="O545" t="s">
        <v>24</v>
      </c>
      <c r="P545">
        <v>27473</v>
      </c>
      <c r="Q545" t="s">
        <v>19</v>
      </c>
      <c r="R545">
        <v>39574</v>
      </c>
      <c r="S545" t="str">
        <f>VLOOKUP(L545&amp;TEXT(I545,"mmmm")&amp;YEAR(I545),'[1]Detalle C-Fecha'!$D$2:$E$15921,2,FALSE)</f>
        <v>CCUDyAZA</v>
      </c>
    </row>
    <row r="546" spans="1:19" x14ac:dyDescent="0.3">
      <c r="A546">
        <v>32178</v>
      </c>
      <c r="B546" t="s">
        <v>28</v>
      </c>
      <c r="C546" t="s">
        <v>15</v>
      </c>
      <c r="D546" t="s">
        <v>16</v>
      </c>
      <c r="E546" t="s">
        <v>53</v>
      </c>
      <c r="F546" s="6" t="str">
        <f t="shared" si="8"/>
        <v>3MC</v>
      </c>
      <c r="G546" s="11">
        <v>46126</v>
      </c>
      <c r="H546" s="12">
        <v>0.62430555555555556</v>
      </c>
      <c r="I546" s="11">
        <v>46126</v>
      </c>
      <c r="J546" s="1">
        <v>46126</v>
      </c>
      <c r="K546" s="1">
        <v>46126</v>
      </c>
      <c r="L546" t="s">
        <v>187</v>
      </c>
      <c r="M546" t="s">
        <v>163</v>
      </c>
      <c r="N546" t="s">
        <v>21</v>
      </c>
      <c r="O546" t="s">
        <v>24</v>
      </c>
      <c r="P546">
        <v>27473</v>
      </c>
      <c r="Q546" t="s">
        <v>19</v>
      </c>
      <c r="R546">
        <v>39616</v>
      </c>
      <c r="S546" t="str">
        <f>VLOOKUP(L546&amp;TEXT(I546,"mmmm")&amp;YEAR(I546),'[1]Detalle C-Fecha'!$D$2:$E$15921,2,FALSE)</f>
        <v>CCUDyAZA</v>
      </c>
    </row>
    <row r="547" spans="1:19" x14ac:dyDescent="0.3">
      <c r="A547">
        <v>32179</v>
      </c>
      <c r="B547" t="s">
        <v>28</v>
      </c>
      <c r="C547" t="s">
        <v>15</v>
      </c>
      <c r="D547" t="s">
        <v>16</v>
      </c>
      <c r="E547" t="s">
        <v>112</v>
      </c>
      <c r="F547" s="6" t="str">
        <f t="shared" si="8"/>
        <v>6MC</v>
      </c>
      <c r="G547" s="11">
        <v>46126</v>
      </c>
      <c r="H547" s="12">
        <v>0.62430555555555556</v>
      </c>
      <c r="I547" s="11">
        <v>46126</v>
      </c>
      <c r="J547" s="1">
        <v>46126</v>
      </c>
      <c r="K547" s="1">
        <v>46126</v>
      </c>
      <c r="L547" t="s">
        <v>187</v>
      </c>
      <c r="M547" t="s">
        <v>163</v>
      </c>
      <c r="N547" t="s">
        <v>21</v>
      </c>
      <c r="O547" t="s">
        <v>24</v>
      </c>
      <c r="P547">
        <v>27474</v>
      </c>
      <c r="Q547" t="s">
        <v>19</v>
      </c>
      <c r="R547">
        <v>39575</v>
      </c>
      <c r="S547" t="str">
        <f>VLOOKUP(L547&amp;TEXT(I547,"mmmm")&amp;YEAR(I547),'[1]Detalle C-Fecha'!$D$2:$E$15921,2,FALSE)</f>
        <v>CCUDyAZA</v>
      </c>
    </row>
    <row r="548" spans="1:19" x14ac:dyDescent="0.3">
      <c r="A548">
        <v>32179</v>
      </c>
      <c r="B548" t="s">
        <v>28</v>
      </c>
      <c r="C548" t="s">
        <v>15</v>
      </c>
      <c r="D548" t="s">
        <v>16</v>
      </c>
      <c r="E548" t="s">
        <v>112</v>
      </c>
      <c r="F548" s="6" t="str">
        <f t="shared" si="8"/>
        <v>6MC</v>
      </c>
      <c r="G548" s="11">
        <v>46126</v>
      </c>
      <c r="H548" s="12">
        <v>0.62430555555555556</v>
      </c>
      <c r="I548" s="11">
        <v>46126</v>
      </c>
      <c r="J548" s="1">
        <v>46126</v>
      </c>
      <c r="K548" s="1">
        <v>46126</v>
      </c>
      <c r="L548" t="s">
        <v>187</v>
      </c>
      <c r="M548" t="s">
        <v>163</v>
      </c>
      <c r="N548" t="s">
        <v>21</v>
      </c>
      <c r="O548" t="s">
        <v>24</v>
      </c>
      <c r="P548">
        <v>27474</v>
      </c>
      <c r="Q548" t="s">
        <v>19</v>
      </c>
      <c r="R548">
        <v>39616</v>
      </c>
      <c r="S548" t="str">
        <f>VLOOKUP(L548&amp;TEXT(I548,"mmmm")&amp;YEAR(I548),'[1]Detalle C-Fecha'!$D$2:$E$15921,2,FALSE)</f>
        <v>CCUDyAZA</v>
      </c>
    </row>
    <row r="549" spans="1:19" x14ac:dyDescent="0.3">
      <c r="A549">
        <v>32192</v>
      </c>
      <c r="B549" t="s">
        <v>28</v>
      </c>
      <c r="C549" t="s">
        <v>15</v>
      </c>
      <c r="D549" t="s">
        <v>16</v>
      </c>
      <c r="E549" t="s">
        <v>115</v>
      </c>
      <c r="F549" s="6" t="str">
        <f t="shared" si="8"/>
        <v>2ML</v>
      </c>
      <c r="G549" s="11">
        <v>46127</v>
      </c>
      <c r="H549" s="12">
        <v>0.33333333333333331</v>
      </c>
      <c r="I549" s="11">
        <v>46127</v>
      </c>
      <c r="J549" s="1">
        <v>46127</v>
      </c>
      <c r="K549" s="1">
        <v>46127</v>
      </c>
      <c r="L549" t="s">
        <v>92</v>
      </c>
      <c r="M549" t="s">
        <v>129</v>
      </c>
      <c r="N549" t="s">
        <v>21</v>
      </c>
      <c r="O549" t="s">
        <v>24</v>
      </c>
      <c r="P549">
        <v>27506</v>
      </c>
      <c r="Q549" t="s">
        <v>19</v>
      </c>
      <c r="R549">
        <v>39576</v>
      </c>
      <c r="S549" t="str">
        <f>VLOOKUP(L549&amp;TEXT(I549,"mmmm")&amp;YEAR(I549),'[1]Detalle C-Fecha'!$D$2:$E$15921,2,FALSE)</f>
        <v>ADA_CH - Danone Arg. S.A. - Chascomus</v>
      </c>
    </row>
    <row r="550" spans="1:19" x14ac:dyDescent="0.3">
      <c r="A550">
        <v>32192</v>
      </c>
      <c r="B550" t="s">
        <v>28</v>
      </c>
      <c r="C550" t="s">
        <v>15</v>
      </c>
      <c r="D550" t="s">
        <v>16</v>
      </c>
      <c r="E550" t="s">
        <v>115</v>
      </c>
      <c r="F550" s="6" t="str">
        <f t="shared" si="8"/>
        <v>2ML</v>
      </c>
      <c r="G550" s="11">
        <v>46127</v>
      </c>
      <c r="H550" s="12">
        <v>0.33333333333333331</v>
      </c>
      <c r="I550" s="11">
        <v>46127</v>
      </c>
      <c r="J550" s="1">
        <v>46127</v>
      </c>
      <c r="K550" s="1">
        <v>46127</v>
      </c>
      <c r="L550" t="s">
        <v>92</v>
      </c>
      <c r="M550" t="s">
        <v>129</v>
      </c>
      <c r="N550" t="s">
        <v>21</v>
      </c>
      <c r="O550" t="s">
        <v>24</v>
      </c>
      <c r="P550">
        <v>27506</v>
      </c>
      <c r="Q550" t="s">
        <v>19</v>
      </c>
      <c r="R550">
        <v>39616</v>
      </c>
      <c r="S550" t="str">
        <f>VLOOKUP(L550&amp;TEXT(I550,"mmmm")&amp;YEAR(I550),'[1]Detalle C-Fecha'!$D$2:$E$15921,2,FALSE)</f>
        <v>ADA_CH - Danone Arg. S.A. - Chascomus</v>
      </c>
    </row>
    <row r="551" spans="1:19" x14ac:dyDescent="0.3">
      <c r="A551">
        <v>32193</v>
      </c>
      <c r="B551" t="s">
        <v>28</v>
      </c>
      <c r="C551" t="s">
        <v>15</v>
      </c>
      <c r="D551" t="s">
        <v>16</v>
      </c>
      <c r="E551" t="s">
        <v>116</v>
      </c>
      <c r="F551" s="6" t="str">
        <f t="shared" si="8"/>
        <v>3ML</v>
      </c>
      <c r="G551" s="11">
        <v>46127</v>
      </c>
      <c r="H551" s="12">
        <v>0.33333333333333331</v>
      </c>
      <c r="I551" s="11">
        <v>46127</v>
      </c>
      <c r="J551" s="1">
        <v>46127</v>
      </c>
      <c r="K551" s="1">
        <v>46127</v>
      </c>
      <c r="L551" t="s">
        <v>92</v>
      </c>
      <c r="M551" t="s">
        <v>129</v>
      </c>
      <c r="N551" t="s">
        <v>21</v>
      </c>
      <c r="O551" t="s">
        <v>24</v>
      </c>
      <c r="P551">
        <v>27507</v>
      </c>
      <c r="Q551" t="s">
        <v>19</v>
      </c>
      <c r="R551">
        <v>39577</v>
      </c>
      <c r="S551" t="str">
        <f>VLOOKUP(L551&amp;TEXT(I551,"mmmm")&amp;YEAR(I551),'[1]Detalle C-Fecha'!$D$2:$E$15921,2,FALSE)</f>
        <v>ADA_CH - Danone Arg. S.A. - Chascomus</v>
      </c>
    </row>
    <row r="552" spans="1:19" x14ac:dyDescent="0.3">
      <c r="A552">
        <v>32193</v>
      </c>
      <c r="B552" t="s">
        <v>28</v>
      </c>
      <c r="C552" t="s">
        <v>15</v>
      </c>
      <c r="D552" t="s">
        <v>16</v>
      </c>
      <c r="E552" t="s">
        <v>116</v>
      </c>
      <c r="F552" s="6" t="str">
        <f t="shared" si="8"/>
        <v>3ML</v>
      </c>
      <c r="G552" s="11">
        <v>46127</v>
      </c>
      <c r="H552" s="12">
        <v>0.33333333333333331</v>
      </c>
      <c r="I552" s="11">
        <v>46127</v>
      </c>
      <c r="J552" s="1">
        <v>46127</v>
      </c>
      <c r="K552" s="1">
        <v>46127</v>
      </c>
      <c r="L552" t="s">
        <v>92</v>
      </c>
      <c r="M552" t="s">
        <v>129</v>
      </c>
      <c r="N552" t="s">
        <v>21</v>
      </c>
      <c r="O552" t="s">
        <v>24</v>
      </c>
      <c r="P552">
        <v>27507</v>
      </c>
      <c r="Q552" t="s">
        <v>19</v>
      </c>
      <c r="R552">
        <v>39616</v>
      </c>
      <c r="S552" t="str">
        <f>VLOOKUP(L552&amp;TEXT(I552,"mmmm")&amp;YEAR(I552),'[1]Detalle C-Fecha'!$D$2:$E$15921,2,FALSE)</f>
        <v>ADA_CH - Danone Arg. S.A. - Chascomus</v>
      </c>
    </row>
    <row r="553" spans="1:19" x14ac:dyDescent="0.3">
      <c r="A553">
        <v>32194</v>
      </c>
      <c r="B553" t="s">
        <v>28</v>
      </c>
      <c r="C553" t="s">
        <v>15</v>
      </c>
      <c r="D553" t="s">
        <v>16</v>
      </c>
      <c r="E553" t="s">
        <v>117</v>
      </c>
      <c r="F553" s="6" t="str">
        <f t="shared" si="8"/>
        <v>6ML</v>
      </c>
      <c r="G553" s="11">
        <v>46127</v>
      </c>
      <c r="H553" s="12">
        <v>0.33333333333333331</v>
      </c>
      <c r="I553" s="11">
        <v>46127</v>
      </c>
      <c r="J553" s="1">
        <v>46127</v>
      </c>
      <c r="K553" s="1">
        <v>46127</v>
      </c>
      <c r="L553" t="s">
        <v>92</v>
      </c>
      <c r="M553" t="s">
        <v>129</v>
      </c>
      <c r="N553" t="s">
        <v>21</v>
      </c>
      <c r="O553" t="s">
        <v>24</v>
      </c>
      <c r="P553">
        <v>27508</v>
      </c>
      <c r="Q553" t="s">
        <v>19</v>
      </c>
      <c r="R553">
        <v>39578</v>
      </c>
      <c r="S553" t="str">
        <f>VLOOKUP(L553&amp;TEXT(I553,"mmmm")&amp;YEAR(I553),'[1]Detalle C-Fecha'!$D$2:$E$15921,2,FALSE)</f>
        <v>ADA_CH - Danone Arg. S.A. - Chascomus</v>
      </c>
    </row>
    <row r="554" spans="1:19" x14ac:dyDescent="0.3">
      <c r="A554">
        <v>32194</v>
      </c>
      <c r="B554" t="s">
        <v>28</v>
      </c>
      <c r="C554" t="s">
        <v>15</v>
      </c>
      <c r="D554" t="s">
        <v>16</v>
      </c>
      <c r="E554" t="s">
        <v>117</v>
      </c>
      <c r="F554" s="6" t="str">
        <f t="shared" si="8"/>
        <v>6ML</v>
      </c>
      <c r="G554" s="11">
        <v>46127</v>
      </c>
      <c r="H554" s="12">
        <v>0.33333333333333331</v>
      </c>
      <c r="I554" s="11">
        <v>46127</v>
      </c>
      <c r="J554" s="1">
        <v>46127</v>
      </c>
      <c r="K554" s="1">
        <v>46127</v>
      </c>
      <c r="L554" t="s">
        <v>92</v>
      </c>
      <c r="M554" t="s">
        <v>129</v>
      </c>
      <c r="N554" t="s">
        <v>21</v>
      </c>
      <c r="O554" t="s">
        <v>24</v>
      </c>
      <c r="P554">
        <v>27508</v>
      </c>
      <c r="Q554" t="s">
        <v>19</v>
      </c>
      <c r="R554">
        <v>39616</v>
      </c>
      <c r="S554" t="str">
        <f>VLOOKUP(L554&amp;TEXT(I554,"mmmm")&amp;YEAR(I554),'[1]Detalle C-Fecha'!$D$2:$E$15921,2,FALSE)</f>
        <v>ADA_CH - Danone Arg. S.A. - Chascomus</v>
      </c>
    </row>
    <row r="555" spans="1:19" x14ac:dyDescent="0.3">
      <c r="A555">
        <v>32203</v>
      </c>
      <c r="B555" t="s">
        <v>28</v>
      </c>
      <c r="C555" t="s">
        <v>15</v>
      </c>
      <c r="D555" t="s">
        <v>16</v>
      </c>
      <c r="E555" t="s">
        <v>35</v>
      </c>
      <c r="F555" s="6" t="str">
        <f t="shared" si="8"/>
        <v>2ML</v>
      </c>
      <c r="G555" s="11">
        <v>46127</v>
      </c>
      <c r="H555" s="12">
        <v>0.45069444444444445</v>
      </c>
      <c r="I555" s="11">
        <v>46127</v>
      </c>
      <c r="J555" s="1">
        <v>46127</v>
      </c>
      <c r="K555" s="1">
        <v>46127</v>
      </c>
      <c r="L555" t="s">
        <v>188</v>
      </c>
      <c r="M555" t="s">
        <v>126</v>
      </c>
      <c r="N555" t="s">
        <v>21</v>
      </c>
      <c r="O555" t="s">
        <v>27</v>
      </c>
      <c r="P555">
        <v>27544</v>
      </c>
      <c r="Q555" t="s">
        <v>19</v>
      </c>
      <c r="R555">
        <v>39654</v>
      </c>
      <c r="S555" t="str">
        <f>VLOOKUP(L555&amp;TEXT(I555,"mmmm")&amp;YEAR(I555),'[1]Detalle C-Fecha'!$D$2:$E$15921,2,FALSE)</f>
        <v>JOHNSON - SC JOHNSON DE ARGENTINA SAIC</v>
      </c>
    </row>
    <row r="556" spans="1:19" x14ac:dyDescent="0.3">
      <c r="A556">
        <v>32203</v>
      </c>
      <c r="B556" t="s">
        <v>28</v>
      </c>
      <c r="C556" t="s">
        <v>15</v>
      </c>
      <c r="D556" t="s">
        <v>16</v>
      </c>
      <c r="E556" t="s">
        <v>35</v>
      </c>
      <c r="F556" s="6" t="str">
        <f t="shared" si="8"/>
        <v>2ML</v>
      </c>
      <c r="G556" s="11">
        <v>46127</v>
      </c>
      <c r="H556" s="12">
        <v>0.45069444444444445</v>
      </c>
      <c r="I556" s="11">
        <v>46127</v>
      </c>
      <c r="J556" s="1">
        <v>46127</v>
      </c>
      <c r="K556" s="1">
        <v>46127</v>
      </c>
      <c r="L556" t="s">
        <v>188</v>
      </c>
      <c r="M556" t="s">
        <v>126</v>
      </c>
      <c r="N556" t="s">
        <v>21</v>
      </c>
      <c r="O556" t="s">
        <v>27</v>
      </c>
      <c r="P556">
        <v>27544</v>
      </c>
      <c r="Q556" t="s">
        <v>19</v>
      </c>
      <c r="R556">
        <v>39895</v>
      </c>
      <c r="S556" t="str">
        <f>VLOOKUP(L556&amp;TEXT(I556,"mmmm")&amp;YEAR(I556),'[1]Detalle C-Fecha'!$D$2:$E$15921,2,FALSE)</f>
        <v>JOHNSON - SC JOHNSON DE ARGENTINA SAIC</v>
      </c>
    </row>
    <row r="557" spans="1:19" x14ac:dyDescent="0.3">
      <c r="A557">
        <v>32204</v>
      </c>
      <c r="B557" t="s">
        <v>28</v>
      </c>
      <c r="C557" t="s">
        <v>15</v>
      </c>
      <c r="D557" t="s">
        <v>16</v>
      </c>
      <c r="E557" t="s">
        <v>47</v>
      </c>
      <c r="F557" s="6" t="str">
        <f t="shared" si="8"/>
        <v>3ML</v>
      </c>
      <c r="G557" s="11">
        <v>46127</v>
      </c>
      <c r="H557" s="12">
        <v>0.45069444444444445</v>
      </c>
      <c r="I557" s="11">
        <v>46127</v>
      </c>
      <c r="J557" s="1">
        <v>46127</v>
      </c>
      <c r="K557" s="1">
        <v>46127</v>
      </c>
      <c r="L557" t="s">
        <v>188</v>
      </c>
      <c r="M557" t="s">
        <v>126</v>
      </c>
      <c r="N557" t="s">
        <v>21</v>
      </c>
      <c r="O557" t="s">
        <v>27</v>
      </c>
      <c r="P557">
        <v>27545</v>
      </c>
      <c r="Q557" t="s">
        <v>19</v>
      </c>
      <c r="R557">
        <v>39655</v>
      </c>
      <c r="S557" t="str">
        <f>VLOOKUP(L557&amp;TEXT(I557,"mmmm")&amp;YEAR(I557),'[1]Detalle C-Fecha'!$D$2:$E$15921,2,FALSE)</f>
        <v>JOHNSON - SC JOHNSON DE ARGENTINA SAIC</v>
      </c>
    </row>
    <row r="558" spans="1:19" x14ac:dyDescent="0.3">
      <c r="A558">
        <v>32204</v>
      </c>
      <c r="B558" t="s">
        <v>28</v>
      </c>
      <c r="C558" t="s">
        <v>15</v>
      </c>
      <c r="D558" t="s">
        <v>16</v>
      </c>
      <c r="E558" t="s">
        <v>47</v>
      </c>
      <c r="F558" s="6" t="str">
        <f t="shared" si="8"/>
        <v>3ML</v>
      </c>
      <c r="G558" s="11">
        <v>46127</v>
      </c>
      <c r="H558" s="12">
        <v>0.45069444444444445</v>
      </c>
      <c r="I558" s="11">
        <v>46127</v>
      </c>
      <c r="J558" s="1">
        <v>46127</v>
      </c>
      <c r="K558" s="1">
        <v>46127</v>
      </c>
      <c r="L558" t="s">
        <v>188</v>
      </c>
      <c r="M558" t="s">
        <v>126</v>
      </c>
      <c r="N558" t="s">
        <v>21</v>
      </c>
      <c r="O558" t="s">
        <v>27</v>
      </c>
      <c r="P558">
        <v>27545</v>
      </c>
      <c r="Q558" t="s">
        <v>19</v>
      </c>
      <c r="R558">
        <v>39895</v>
      </c>
      <c r="S558" t="str">
        <f>VLOOKUP(L558&amp;TEXT(I558,"mmmm")&amp;YEAR(I558),'[1]Detalle C-Fecha'!$D$2:$E$15921,2,FALSE)</f>
        <v>JOHNSON - SC JOHNSON DE ARGENTINA SAIC</v>
      </c>
    </row>
    <row r="559" spans="1:19" x14ac:dyDescent="0.3">
      <c r="A559">
        <v>32205</v>
      </c>
      <c r="B559" t="s">
        <v>28</v>
      </c>
      <c r="C559" t="s">
        <v>15</v>
      </c>
      <c r="D559" t="s">
        <v>16</v>
      </c>
      <c r="E559" t="s">
        <v>46</v>
      </c>
      <c r="F559" s="6" t="str">
        <f t="shared" si="8"/>
        <v>6ML</v>
      </c>
      <c r="G559" s="11">
        <v>46127</v>
      </c>
      <c r="H559" s="12">
        <v>0.45069444444444445</v>
      </c>
      <c r="I559" s="11">
        <v>46127</v>
      </c>
      <c r="J559" s="1">
        <v>46127</v>
      </c>
      <c r="K559" s="1">
        <v>46127</v>
      </c>
      <c r="L559" t="s">
        <v>188</v>
      </c>
      <c r="M559" t="s">
        <v>126</v>
      </c>
      <c r="N559" t="s">
        <v>21</v>
      </c>
      <c r="O559" t="s">
        <v>27</v>
      </c>
      <c r="P559">
        <v>27546</v>
      </c>
      <c r="Q559" t="s">
        <v>19</v>
      </c>
      <c r="R559">
        <v>39657</v>
      </c>
      <c r="S559" t="str">
        <f>VLOOKUP(L559&amp;TEXT(I559,"mmmm")&amp;YEAR(I559),'[1]Detalle C-Fecha'!$D$2:$E$15921,2,FALSE)</f>
        <v>JOHNSON - SC JOHNSON DE ARGENTINA SAIC</v>
      </c>
    </row>
    <row r="560" spans="1:19" x14ac:dyDescent="0.3">
      <c r="A560">
        <v>32205</v>
      </c>
      <c r="B560" t="s">
        <v>28</v>
      </c>
      <c r="C560" t="s">
        <v>15</v>
      </c>
      <c r="D560" t="s">
        <v>16</v>
      </c>
      <c r="E560" t="s">
        <v>46</v>
      </c>
      <c r="F560" s="6" t="str">
        <f t="shared" si="8"/>
        <v>6ML</v>
      </c>
      <c r="G560" s="11">
        <v>46127</v>
      </c>
      <c r="H560" s="12">
        <v>0.45069444444444445</v>
      </c>
      <c r="I560" s="11">
        <v>46127</v>
      </c>
      <c r="J560" s="1">
        <v>46127</v>
      </c>
      <c r="K560" s="1">
        <v>46127</v>
      </c>
      <c r="L560" t="s">
        <v>188</v>
      </c>
      <c r="M560" t="s">
        <v>126</v>
      </c>
      <c r="N560" t="s">
        <v>21</v>
      </c>
      <c r="O560" t="s">
        <v>27</v>
      </c>
      <c r="P560">
        <v>27546</v>
      </c>
      <c r="Q560" t="s">
        <v>19</v>
      </c>
      <c r="R560">
        <v>39751</v>
      </c>
      <c r="S560" t="str">
        <f>VLOOKUP(L560&amp;TEXT(I560,"mmmm")&amp;YEAR(I560),'[1]Detalle C-Fecha'!$D$2:$E$15921,2,FALSE)</f>
        <v>JOHNSON - SC JOHNSON DE ARGENTINA SAIC</v>
      </c>
    </row>
    <row r="561" spans="1:19" x14ac:dyDescent="0.3">
      <c r="A561">
        <v>32208</v>
      </c>
      <c r="B561" t="s">
        <v>28</v>
      </c>
      <c r="C561" t="s">
        <v>15</v>
      </c>
      <c r="D561" t="s">
        <v>16</v>
      </c>
      <c r="E561" t="s">
        <v>51</v>
      </c>
      <c r="F561" s="6" t="str">
        <f t="shared" si="8"/>
        <v>2MC</v>
      </c>
      <c r="G561" s="11">
        <v>46127</v>
      </c>
      <c r="H561" s="12">
        <v>0.4513888888888889</v>
      </c>
      <c r="I561" s="11">
        <v>46127</v>
      </c>
      <c r="J561" s="1">
        <v>46127</v>
      </c>
      <c r="K561" s="1">
        <v>46127</v>
      </c>
      <c r="L561" t="s">
        <v>189</v>
      </c>
      <c r="M561">
        <v>1318</v>
      </c>
      <c r="N561" t="s">
        <v>21</v>
      </c>
      <c r="O561" t="s">
        <v>27</v>
      </c>
      <c r="P561">
        <v>27549</v>
      </c>
      <c r="Q561" t="s">
        <v>19</v>
      </c>
      <c r="R561">
        <v>39661</v>
      </c>
      <c r="S561" t="str">
        <f>VLOOKUP(L561&amp;TEXT(I561,"mmmm")&amp;YEAR(I561),'[1]Detalle C-Fecha'!$D$2:$E$15921,2,FALSE)</f>
        <v>Unilever - Unilever de Arg. S.A.</v>
      </c>
    </row>
    <row r="562" spans="1:19" x14ac:dyDescent="0.3">
      <c r="A562">
        <v>32208</v>
      </c>
      <c r="B562" t="s">
        <v>28</v>
      </c>
      <c r="C562" t="s">
        <v>15</v>
      </c>
      <c r="D562" t="s">
        <v>16</v>
      </c>
      <c r="E562" t="s">
        <v>51</v>
      </c>
      <c r="F562" s="6" t="str">
        <f t="shared" si="8"/>
        <v>2MC</v>
      </c>
      <c r="G562" s="11">
        <v>46127</v>
      </c>
      <c r="H562" s="12">
        <v>0.4513888888888889</v>
      </c>
      <c r="I562" s="11">
        <v>46127</v>
      </c>
      <c r="J562" s="1">
        <v>46127</v>
      </c>
      <c r="K562" s="1">
        <v>46127</v>
      </c>
      <c r="L562" t="s">
        <v>189</v>
      </c>
      <c r="M562">
        <v>1318</v>
      </c>
      <c r="N562" t="s">
        <v>21</v>
      </c>
      <c r="O562" t="s">
        <v>27</v>
      </c>
      <c r="P562">
        <v>27549</v>
      </c>
      <c r="Q562" t="s">
        <v>19</v>
      </c>
      <c r="R562">
        <v>39895</v>
      </c>
      <c r="S562" t="str">
        <f>VLOOKUP(L562&amp;TEXT(I562,"mmmm")&amp;YEAR(I562),'[1]Detalle C-Fecha'!$D$2:$E$15921,2,FALSE)</f>
        <v>Unilever - Unilever de Arg. S.A.</v>
      </c>
    </row>
    <row r="563" spans="1:19" x14ac:dyDescent="0.3">
      <c r="A563">
        <v>32209</v>
      </c>
      <c r="B563" t="s">
        <v>28</v>
      </c>
      <c r="C563" t="s">
        <v>15</v>
      </c>
      <c r="D563" t="s">
        <v>16</v>
      </c>
      <c r="E563" t="s">
        <v>53</v>
      </c>
      <c r="F563" s="6" t="str">
        <f t="shared" si="8"/>
        <v>3MC</v>
      </c>
      <c r="G563" s="11">
        <v>46127</v>
      </c>
      <c r="H563" s="12">
        <v>0.4513888888888889</v>
      </c>
      <c r="I563" s="11">
        <v>46127</v>
      </c>
      <c r="J563" s="1">
        <v>46127</v>
      </c>
      <c r="K563" s="1">
        <v>46127</v>
      </c>
      <c r="L563" t="s">
        <v>189</v>
      </c>
      <c r="M563">
        <v>1318</v>
      </c>
      <c r="N563" t="s">
        <v>21</v>
      </c>
      <c r="O563" t="s">
        <v>27</v>
      </c>
      <c r="P563">
        <v>27550</v>
      </c>
      <c r="Q563" t="s">
        <v>19</v>
      </c>
      <c r="R563">
        <v>39662</v>
      </c>
      <c r="S563" t="str">
        <f>VLOOKUP(L563&amp;TEXT(I563,"mmmm")&amp;YEAR(I563),'[1]Detalle C-Fecha'!$D$2:$E$15921,2,FALSE)</f>
        <v>Unilever - Unilever de Arg. S.A.</v>
      </c>
    </row>
    <row r="564" spans="1:19" x14ac:dyDescent="0.3">
      <c r="A564">
        <v>32209</v>
      </c>
      <c r="B564" t="s">
        <v>28</v>
      </c>
      <c r="C564" t="s">
        <v>15</v>
      </c>
      <c r="D564" t="s">
        <v>16</v>
      </c>
      <c r="E564" t="s">
        <v>53</v>
      </c>
      <c r="F564" s="6" t="str">
        <f t="shared" si="8"/>
        <v>3MC</v>
      </c>
      <c r="G564" s="11">
        <v>46127</v>
      </c>
      <c r="H564" s="12">
        <v>0.4513888888888889</v>
      </c>
      <c r="I564" s="11">
        <v>46127</v>
      </c>
      <c r="J564" s="1">
        <v>46127</v>
      </c>
      <c r="K564" s="1">
        <v>46127</v>
      </c>
      <c r="L564" t="s">
        <v>189</v>
      </c>
      <c r="M564">
        <v>1318</v>
      </c>
      <c r="N564" t="s">
        <v>21</v>
      </c>
      <c r="O564" t="s">
        <v>27</v>
      </c>
      <c r="P564">
        <v>27550</v>
      </c>
      <c r="Q564" t="s">
        <v>19</v>
      </c>
      <c r="R564">
        <v>39895</v>
      </c>
      <c r="S564" t="str">
        <f>VLOOKUP(L564&amp;TEXT(I564,"mmmm")&amp;YEAR(I564),'[1]Detalle C-Fecha'!$D$2:$E$15921,2,FALSE)</f>
        <v>Unilever - Unilever de Arg. S.A.</v>
      </c>
    </row>
    <row r="565" spans="1:19" x14ac:dyDescent="0.3">
      <c r="A565">
        <v>32210</v>
      </c>
      <c r="B565" t="s">
        <v>28</v>
      </c>
      <c r="C565" t="s">
        <v>15</v>
      </c>
      <c r="D565" t="s">
        <v>16</v>
      </c>
      <c r="E565" t="s">
        <v>52</v>
      </c>
      <c r="F565" s="6" t="str">
        <f t="shared" si="8"/>
        <v>6MC</v>
      </c>
      <c r="G565" s="11">
        <v>46127</v>
      </c>
      <c r="H565" s="12">
        <v>0.4513888888888889</v>
      </c>
      <c r="I565" s="11">
        <v>46127</v>
      </c>
      <c r="J565" s="1">
        <v>46127</v>
      </c>
      <c r="K565" s="1">
        <v>46127</v>
      </c>
      <c r="L565" t="s">
        <v>189</v>
      </c>
      <c r="M565">
        <v>1318</v>
      </c>
      <c r="N565" t="s">
        <v>21</v>
      </c>
      <c r="O565" t="s">
        <v>27</v>
      </c>
      <c r="P565">
        <v>27551</v>
      </c>
      <c r="Q565" t="s">
        <v>19</v>
      </c>
      <c r="R565">
        <v>39663</v>
      </c>
      <c r="S565" t="str">
        <f>VLOOKUP(L565&amp;TEXT(I565,"mmmm")&amp;YEAR(I565),'[1]Detalle C-Fecha'!$D$2:$E$15921,2,FALSE)</f>
        <v>Unilever - Unilever de Arg. S.A.</v>
      </c>
    </row>
    <row r="566" spans="1:19" x14ac:dyDescent="0.3">
      <c r="A566">
        <v>32210</v>
      </c>
      <c r="B566" t="s">
        <v>28</v>
      </c>
      <c r="C566" t="s">
        <v>15</v>
      </c>
      <c r="D566" t="s">
        <v>16</v>
      </c>
      <c r="E566" t="s">
        <v>52</v>
      </c>
      <c r="F566" s="6" t="str">
        <f t="shared" si="8"/>
        <v>6MC</v>
      </c>
      <c r="G566" s="11">
        <v>46127</v>
      </c>
      <c r="H566" s="12">
        <v>0.4513888888888889</v>
      </c>
      <c r="I566" s="11">
        <v>46127</v>
      </c>
      <c r="J566" s="1">
        <v>46127</v>
      </c>
      <c r="K566" s="1">
        <v>46127</v>
      </c>
      <c r="L566" t="s">
        <v>189</v>
      </c>
      <c r="M566">
        <v>1318</v>
      </c>
      <c r="N566" t="s">
        <v>21</v>
      </c>
      <c r="O566" t="s">
        <v>27</v>
      </c>
      <c r="P566">
        <v>27551</v>
      </c>
      <c r="Q566" t="s">
        <v>19</v>
      </c>
      <c r="R566">
        <v>39895</v>
      </c>
      <c r="S566" t="str">
        <f>VLOOKUP(L566&amp;TEXT(I566,"mmmm")&amp;YEAR(I566),'[1]Detalle C-Fecha'!$D$2:$E$15921,2,FALSE)</f>
        <v>Unilever - Unilever de Arg. S.A.</v>
      </c>
    </row>
    <row r="567" spans="1:19" x14ac:dyDescent="0.3">
      <c r="A567">
        <v>32224</v>
      </c>
      <c r="B567" t="s">
        <v>28</v>
      </c>
      <c r="C567" t="s">
        <v>15</v>
      </c>
      <c r="D567" t="s">
        <v>16</v>
      </c>
      <c r="E567" t="s">
        <v>51</v>
      </c>
      <c r="F567" s="6" t="str">
        <f t="shared" si="8"/>
        <v>2MC</v>
      </c>
      <c r="G567" s="11">
        <v>46127</v>
      </c>
      <c r="H567" s="12">
        <v>0.75902777777777775</v>
      </c>
      <c r="I567" s="11">
        <v>46127</v>
      </c>
      <c r="J567" s="1">
        <v>46127</v>
      </c>
      <c r="K567" s="1">
        <v>46127</v>
      </c>
      <c r="L567" t="s">
        <v>190</v>
      </c>
      <c r="M567" t="s">
        <v>130</v>
      </c>
      <c r="N567" t="s">
        <v>21</v>
      </c>
      <c r="O567" t="s">
        <v>24</v>
      </c>
      <c r="P567">
        <v>27611</v>
      </c>
      <c r="Q567" t="s">
        <v>19</v>
      </c>
      <c r="R567">
        <v>39673</v>
      </c>
      <c r="S567" t="str">
        <f>VLOOKUP(L567&amp;TEXT(I567,"mmmm")&amp;YEAR(I567),'[1]Detalle C-Fecha'!$D$2:$E$15921,2,FALSE)</f>
        <v>CCUDyAZA</v>
      </c>
    </row>
    <row r="568" spans="1:19" x14ac:dyDescent="0.3">
      <c r="A568">
        <v>32224</v>
      </c>
      <c r="B568" t="s">
        <v>28</v>
      </c>
      <c r="C568" t="s">
        <v>15</v>
      </c>
      <c r="D568" t="s">
        <v>16</v>
      </c>
      <c r="E568" t="s">
        <v>51</v>
      </c>
      <c r="F568" s="6" t="str">
        <f t="shared" si="8"/>
        <v>2MC</v>
      </c>
      <c r="G568" s="11">
        <v>46127</v>
      </c>
      <c r="H568" s="12">
        <v>0.75902777777777775</v>
      </c>
      <c r="I568" s="11">
        <v>46127</v>
      </c>
      <c r="J568" s="1">
        <v>46127</v>
      </c>
      <c r="K568" s="1">
        <v>46127</v>
      </c>
      <c r="L568" t="s">
        <v>190</v>
      </c>
      <c r="M568" t="s">
        <v>130</v>
      </c>
      <c r="N568" t="s">
        <v>21</v>
      </c>
      <c r="O568" t="s">
        <v>24</v>
      </c>
      <c r="P568">
        <v>27611</v>
      </c>
      <c r="Q568" t="s">
        <v>19</v>
      </c>
      <c r="R568">
        <v>39729</v>
      </c>
      <c r="S568" t="str">
        <f>VLOOKUP(L568&amp;TEXT(I568,"mmmm")&amp;YEAR(I568),'[1]Detalle C-Fecha'!$D$2:$E$15921,2,FALSE)</f>
        <v>CCUDyAZA</v>
      </c>
    </row>
    <row r="569" spans="1:19" x14ac:dyDescent="0.3">
      <c r="A569">
        <v>32225</v>
      </c>
      <c r="B569" t="s">
        <v>28</v>
      </c>
      <c r="C569" t="s">
        <v>15</v>
      </c>
      <c r="D569" t="s">
        <v>16</v>
      </c>
      <c r="E569" t="s">
        <v>53</v>
      </c>
      <c r="F569" s="6" t="str">
        <f t="shared" si="8"/>
        <v>3MC</v>
      </c>
      <c r="G569" s="11">
        <v>46127</v>
      </c>
      <c r="H569" s="12">
        <v>0.75902777777777775</v>
      </c>
      <c r="I569" s="11">
        <v>46127</v>
      </c>
      <c r="J569" s="1">
        <v>46127</v>
      </c>
      <c r="K569" s="1">
        <v>46127</v>
      </c>
      <c r="L569" t="s">
        <v>190</v>
      </c>
      <c r="M569" t="s">
        <v>130</v>
      </c>
      <c r="N569" t="s">
        <v>21</v>
      </c>
      <c r="O569" t="s">
        <v>24</v>
      </c>
      <c r="P569">
        <v>27612</v>
      </c>
      <c r="Q569" t="s">
        <v>19</v>
      </c>
      <c r="R569">
        <v>39674</v>
      </c>
      <c r="S569" t="str">
        <f>VLOOKUP(L569&amp;TEXT(I569,"mmmm")&amp;YEAR(I569),'[1]Detalle C-Fecha'!$D$2:$E$15921,2,FALSE)</f>
        <v>CCUDyAZA</v>
      </c>
    </row>
    <row r="570" spans="1:19" x14ac:dyDescent="0.3">
      <c r="A570">
        <v>32225</v>
      </c>
      <c r="B570" t="s">
        <v>28</v>
      </c>
      <c r="C570" t="s">
        <v>15</v>
      </c>
      <c r="D570" t="s">
        <v>16</v>
      </c>
      <c r="E570" t="s">
        <v>53</v>
      </c>
      <c r="F570" s="6" t="str">
        <f t="shared" si="8"/>
        <v>3MC</v>
      </c>
      <c r="G570" s="11">
        <v>46127</v>
      </c>
      <c r="H570" s="12">
        <v>0.75902777777777775</v>
      </c>
      <c r="I570" s="11">
        <v>46127</v>
      </c>
      <c r="J570" s="1">
        <v>46127</v>
      </c>
      <c r="K570" s="1">
        <v>46127</v>
      </c>
      <c r="L570" t="s">
        <v>190</v>
      </c>
      <c r="M570" t="s">
        <v>130</v>
      </c>
      <c r="N570" t="s">
        <v>21</v>
      </c>
      <c r="O570" t="s">
        <v>24</v>
      </c>
      <c r="P570">
        <v>27612</v>
      </c>
      <c r="Q570" t="s">
        <v>19</v>
      </c>
      <c r="R570">
        <v>39730</v>
      </c>
      <c r="S570" t="str">
        <f>VLOOKUP(L570&amp;TEXT(I570,"mmmm")&amp;YEAR(I570),'[1]Detalle C-Fecha'!$D$2:$E$15921,2,FALSE)</f>
        <v>CCUDyAZA</v>
      </c>
    </row>
    <row r="571" spans="1:19" x14ac:dyDescent="0.3">
      <c r="A571">
        <v>32226</v>
      </c>
      <c r="B571" t="s">
        <v>28</v>
      </c>
      <c r="C571" t="s">
        <v>15</v>
      </c>
      <c r="D571" t="s">
        <v>16</v>
      </c>
      <c r="E571" t="s">
        <v>52</v>
      </c>
      <c r="F571" s="6" t="str">
        <f t="shared" si="8"/>
        <v>6MC</v>
      </c>
      <c r="G571" s="11">
        <v>46127</v>
      </c>
      <c r="H571" s="12">
        <v>0.7597222222222223</v>
      </c>
      <c r="I571" s="11">
        <v>46127</v>
      </c>
      <c r="J571" s="1">
        <v>46127</v>
      </c>
      <c r="K571" s="1">
        <v>46127</v>
      </c>
      <c r="L571" t="s">
        <v>190</v>
      </c>
      <c r="M571" t="s">
        <v>130</v>
      </c>
      <c r="N571" t="s">
        <v>21</v>
      </c>
      <c r="O571" t="s">
        <v>24</v>
      </c>
      <c r="P571">
        <v>27613</v>
      </c>
      <c r="Q571" t="s">
        <v>19</v>
      </c>
      <c r="R571">
        <v>39675</v>
      </c>
      <c r="S571" t="str">
        <f>VLOOKUP(L571&amp;TEXT(I571,"mmmm")&amp;YEAR(I571),'[1]Detalle C-Fecha'!$D$2:$E$15921,2,FALSE)</f>
        <v>CCUDyAZA</v>
      </c>
    </row>
    <row r="572" spans="1:19" x14ac:dyDescent="0.3">
      <c r="A572">
        <v>32226</v>
      </c>
      <c r="B572" t="s">
        <v>28</v>
      </c>
      <c r="C572" t="s">
        <v>15</v>
      </c>
      <c r="D572" t="s">
        <v>16</v>
      </c>
      <c r="E572" t="s">
        <v>52</v>
      </c>
      <c r="F572" s="6" t="str">
        <f t="shared" si="8"/>
        <v>6MC</v>
      </c>
      <c r="G572" s="11">
        <v>46127</v>
      </c>
      <c r="H572" s="12">
        <v>0.7597222222222223</v>
      </c>
      <c r="I572" s="11">
        <v>46127</v>
      </c>
      <c r="J572" s="1">
        <v>46127</v>
      </c>
      <c r="K572" s="1">
        <v>46127</v>
      </c>
      <c r="L572" t="s">
        <v>190</v>
      </c>
      <c r="M572" t="s">
        <v>130</v>
      </c>
      <c r="N572" t="s">
        <v>21</v>
      </c>
      <c r="O572" t="s">
        <v>24</v>
      </c>
      <c r="P572">
        <v>27613</v>
      </c>
      <c r="Q572" t="s">
        <v>19</v>
      </c>
      <c r="R572">
        <v>39731</v>
      </c>
      <c r="S572" t="str">
        <f>VLOOKUP(L572&amp;TEXT(I572,"mmmm")&amp;YEAR(I572),'[1]Detalle C-Fecha'!$D$2:$E$15921,2,FALSE)</f>
        <v>CCUDyAZA</v>
      </c>
    </row>
    <row r="573" spans="1:19" x14ac:dyDescent="0.3">
      <c r="A573">
        <v>32274</v>
      </c>
      <c r="B573" t="s">
        <v>28</v>
      </c>
      <c r="C573" t="s">
        <v>15</v>
      </c>
      <c r="D573" t="s">
        <v>16</v>
      </c>
      <c r="E573" t="s">
        <v>51</v>
      </c>
      <c r="F573" s="6" t="str">
        <f t="shared" si="8"/>
        <v>2MC</v>
      </c>
      <c r="G573" s="11">
        <v>46127</v>
      </c>
      <c r="H573" s="12">
        <v>0.84513888888888899</v>
      </c>
      <c r="I573" s="11">
        <v>46127</v>
      </c>
      <c r="J573" s="1">
        <v>46127</v>
      </c>
      <c r="K573" s="1">
        <v>46127</v>
      </c>
      <c r="L573" t="s">
        <v>191</v>
      </c>
      <c r="M573" t="s">
        <v>192</v>
      </c>
      <c r="N573" t="s">
        <v>21</v>
      </c>
      <c r="O573" t="s">
        <v>24</v>
      </c>
      <c r="P573">
        <v>27627</v>
      </c>
      <c r="Q573" t="s">
        <v>19</v>
      </c>
      <c r="R573">
        <v>39678</v>
      </c>
      <c r="S573" t="str">
        <f>VLOOKUP(L573&amp;TEXT(I573,"mmmm")&amp;YEAR(I573),'[1]Detalle C-Fecha'!$D$2:$E$15921,2,FALSE)</f>
        <v>CCUDyAZA</v>
      </c>
    </row>
    <row r="574" spans="1:19" x14ac:dyDescent="0.3">
      <c r="A574">
        <v>32274</v>
      </c>
      <c r="B574" t="s">
        <v>28</v>
      </c>
      <c r="C574" t="s">
        <v>15</v>
      </c>
      <c r="D574" t="s">
        <v>16</v>
      </c>
      <c r="E574" t="s">
        <v>51</v>
      </c>
      <c r="F574" s="6" t="str">
        <f t="shared" si="8"/>
        <v>2MC</v>
      </c>
      <c r="G574" s="11">
        <v>46127</v>
      </c>
      <c r="H574" s="12">
        <v>0.84513888888888899</v>
      </c>
      <c r="I574" s="11">
        <v>46127</v>
      </c>
      <c r="J574" s="1">
        <v>46127</v>
      </c>
      <c r="K574" s="1">
        <v>46127</v>
      </c>
      <c r="L574" t="s">
        <v>191</v>
      </c>
      <c r="M574" t="s">
        <v>192</v>
      </c>
      <c r="N574" t="s">
        <v>21</v>
      </c>
      <c r="O574" t="s">
        <v>24</v>
      </c>
      <c r="P574">
        <v>27627</v>
      </c>
      <c r="Q574" t="s">
        <v>19</v>
      </c>
      <c r="R574">
        <v>39734</v>
      </c>
      <c r="S574" t="str">
        <f>VLOOKUP(L574&amp;TEXT(I574,"mmmm")&amp;YEAR(I574),'[1]Detalle C-Fecha'!$D$2:$E$15921,2,FALSE)</f>
        <v>CCUDyAZA</v>
      </c>
    </row>
    <row r="575" spans="1:19" x14ac:dyDescent="0.3">
      <c r="A575">
        <v>32275</v>
      </c>
      <c r="B575" t="s">
        <v>28</v>
      </c>
      <c r="C575" t="s">
        <v>15</v>
      </c>
      <c r="D575" t="s">
        <v>16</v>
      </c>
      <c r="E575" t="s">
        <v>53</v>
      </c>
      <c r="F575" s="6" t="str">
        <f t="shared" si="8"/>
        <v>3MC</v>
      </c>
      <c r="G575" s="11">
        <v>46127</v>
      </c>
      <c r="H575" s="12">
        <v>0.84513888888888899</v>
      </c>
      <c r="I575" s="11">
        <v>46127</v>
      </c>
      <c r="J575" s="1">
        <v>46127</v>
      </c>
      <c r="K575" s="1">
        <v>46127</v>
      </c>
      <c r="L575" t="s">
        <v>191</v>
      </c>
      <c r="M575" t="s">
        <v>192</v>
      </c>
      <c r="N575" t="s">
        <v>21</v>
      </c>
      <c r="O575" t="s">
        <v>24</v>
      </c>
      <c r="P575">
        <v>27628</v>
      </c>
      <c r="Q575" t="s">
        <v>19</v>
      </c>
      <c r="R575">
        <v>39679</v>
      </c>
      <c r="S575" t="str">
        <f>VLOOKUP(L575&amp;TEXT(I575,"mmmm")&amp;YEAR(I575),'[1]Detalle C-Fecha'!$D$2:$E$15921,2,FALSE)</f>
        <v>CCUDyAZA</v>
      </c>
    </row>
    <row r="576" spans="1:19" x14ac:dyDescent="0.3">
      <c r="A576">
        <v>32275</v>
      </c>
      <c r="B576" t="s">
        <v>28</v>
      </c>
      <c r="C576" t="s">
        <v>15</v>
      </c>
      <c r="D576" t="s">
        <v>16</v>
      </c>
      <c r="E576" t="s">
        <v>53</v>
      </c>
      <c r="F576" s="6" t="str">
        <f t="shared" si="8"/>
        <v>3MC</v>
      </c>
      <c r="G576" s="11">
        <v>46127</v>
      </c>
      <c r="H576" s="12">
        <v>0.84513888888888899</v>
      </c>
      <c r="I576" s="11">
        <v>46127</v>
      </c>
      <c r="J576" s="1">
        <v>46127</v>
      </c>
      <c r="K576" s="1">
        <v>46127</v>
      </c>
      <c r="L576" t="s">
        <v>191</v>
      </c>
      <c r="M576" t="s">
        <v>192</v>
      </c>
      <c r="N576" t="s">
        <v>21</v>
      </c>
      <c r="O576" t="s">
        <v>24</v>
      </c>
      <c r="P576">
        <v>27628</v>
      </c>
      <c r="Q576" t="s">
        <v>19</v>
      </c>
      <c r="R576">
        <v>39735</v>
      </c>
      <c r="S576" t="str">
        <f>VLOOKUP(L576&amp;TEXT(I576,"mmmm")&amp;YEAR(I576),'[1]Detalle C-Fecha'!$D$2:$E$15921,2,FALSE)</f>
        <v>CCUDyAZA</v>
      </c>
    </row>
    <row r="577" spans="1:19" x14ac:dyDescent="0.3">
      <c r="A577">
        <v>32434</v>
      </c>
      <c r="B577" t="s">
        <v>28</v>
      </c>
      <c r="C577" t="s">
        <v>15</v>
      </c>
      <c r="D577" t="s">
        <v>16</v>
      </c>
      <c r="E577" t="s">
        <v>35</v>
      </c>
      <c r="F577" s="6" t="str">
        <f t="shared" ref="F577:F640" si="9">MID(E577,1,3)</f>
        <v>2ML</v>
      </c>
      <c r="G577" s="11">
        <v>46128</v>
      </c>
      <c r="H577" s="12">
        <v>0.41388888888888892</v>
      </c>
      <c r="I577" s="11">
        <v>46128</v>
      </c>
      <c r="J577" s="1">
        <v>46128</v>
      </c>
      <c r="K577" s="1">
        <v>46128</v>
      </c>
      <c r="L577" t="s">
        <v>55</v>
      </c>
      <c r="M577" t="s">
        <v>131</v>
      </c>
      <c r="N577" t="s">
        <v>21</v>
      </c>
      <c r="O577" t="s">
        <v>25</v>
      </c>
      <c r="P577">
        <v>27639</v>
      </c>
      <c r="Q577" t="s">
        <v>19</v>
      </c>
      <c r="R577">
        <v>39680</v>
      </c>
      <c r="S577" t="str">
        <f>VLOOKUP(L577&amp;TEXT(I577,"mmmm")&amp;YEAR(I577),'[1]Detalle C-Fecha'!$D$2:$E$15921,2,FALSE)</f>
        <v>Expreso - Servicios Troncales</v>
      </c>
    </row>
    <row r="578" spans="1:19" x14ac:dyDescent="0.3">
      <c r="A578">
        <v>32434</v>
      </c>
      <c r="B578" t="s">
        <v>28</v>
      </c>
      <c r="C578" t="s">
        <v>15</v>
      </c>
      <c r="D578" t="s">
        <v>16</v>
      </c>
      <c r="E578" t="s">
        <v>35</v>
      </c>
      <c r="F578" s="6" t="str">
        <f t="shared" si="9"/>
        <v>2ML</v>
      </c>
      <c r="G578" s="11">
        <v>46128</v>
      </c>
      <c r="H578" s="12">
        <v>0.41388888888888892</v>
      </c>
      <c r="I578" s="11">
        <v>46128</v>
      </c>
      <c r="J578" s="1">
        <v>46128</v>
      </c>
      <c r="K578" s="1">
        <v>46128</v>
      </c>
      <c r="L578" t="s">
        <v>55</v>
      </c>
      <c r="M578" t="s">
        <v>131</v>
      </c>
      <c r="N578" t="s">
        <v>21</v>
      </c>
      <c r="O578" t="s">
        <v>25</v>
      </c>
      <c r="P578">
        <v>27639</v>
      </c>
      <c r="Q578" t="s">
        <v>19</v>
      </c>
      <c r="R578">
        <v>39894</v>
      </c>
      <c r="S578" t="str">
        <f>VLOOKUP(L578&amp;TEXT(I578,"mmmm")&amp;YEAR(I578),'[1]Detalle C-Fecha'!$D$2:$E$15921,2,FALSE)</f>
        <v>Expreso - Servicios Troncales</v>
      </c>
    </row>
    <row r="579" spans="1:19" x14ac:dyDescent="0.3">
      <c r="A579">
        <v>32435</v>
      </c>
      <c r="B579" t="s">
        <v>28</v>
      </c>
      <c r="C579" t="s">
        <v>15</v>
      </c>
      <c r="D579" t="s">
        <v>16</v>
      </c>
      <c r="E579" t="s">
        <v>47</v>
      </c>
      <c r="F579" s="6" t="str">
        <f t="shared" si="9"/>
        <v>3ML</v>
      </c>
      <c r="G579" s="11">
        <v>46128</v>
      </c>
      <c r="H579" s="12">
        <v>0.41388888888888892</v>
      </c>
      <c r="I579" s="11">
        <v>46128</v>
      </c>
      <c r="J579" s="1">
        <v>46128</v>
      </c>
      <c r="K579" s="1">
        <v>46128</v>
      </c>
      <c r="L579" t="s">
        <v>55</v>
      </c>
      <c r="M579" t="s">
        <v>131</v>
      </c>
      <c r="N579" t="s">
        <v>21</v>
      </c>
      <c r="O579" t="s">
        <v>25</v>
      </c>
      <c r="P579">
        <v>27640</v>
      </c>
      <c r="Q579" t="s">
        <v>19</v>
      </c>
      <c r="R579">
        <v>39681</v>
      </c>
      <c r="S579" t="str">
        <f>VLOOKUP(L579&amp;TEXT(I579,"mmmm")&amp;YEAR(I579),'[1]Detalle C-Fecha'!$D$2:$E$15921,2,FALSE)</f>
        <v>Expreso - Servicios Troncales</v>
      </c>
    </row>
    <row r="580" spans="1:19" x14ac:dyDescent="0.3">
      <c r="A580">
        <v>32435</v>
      </c>
      <c r="B580" t="s">
        <v>28</v>
      </c>
      <c r="C580" t="s">
        <v>15</v>
      </c>
      <c r="D580" t="s">
        <v>16</v>
      </c>
      <c r="E580" t="s">
        <v>47</v>
      </c>
      <c r="F580" s="6" t="str">
        <f t="shared" si="9"/>
        <v>3ML</v>
      </c>
      <c r="G580" s="11">
        <v>46128</v>
      </c>
      <c r="H580" s="12">
        <v>0.41388888888888892</v>
      </c>
      <c r="I580" s="11">
        <v>46128</v>
      </c>
      <c r="J580" s="1">
        <v>46128</v>
      </c>
      <c r="K580" s="1">
        <v>46128</v>
      </c>
      <c r="L580" t="s">
        <v>55</v>
      </c>
      <c r="M580" t="s">
        <v>131</v>
      </c>
      <c r="N580" t="s">
        <v>21</v>
      </c>
      <c r="O580" t="s">
        <v>25</v>
      </c>
      <c r="P580">
        <v>27640</v>
      </c>
      <c r="Q580" t="s">
        <v>19</v>
      </c>
      <c r="R580">
        <v>39894</v>
      </c>
      <c r="S580" t="str">
        <f>VLOOKUP(L580&amp;TEXT(I580,"mmmm")&amp;YEAR(I580),'[1]Detalle C-Fecha'!$D$2:$E$15921,2,FALSE)</f>
        <v>Expreso - Servicios Troncales</v>
      </c>
    </row>
    <row r="581" spans="1:19" x14ac:dyDescent="0.3">
      <c r="A581">
        <v>32438</v>
      </c>
      <c r="B581" t="s">
        <v>28</v>
      </c>
      <c r="C581" t="s">
        <v>15</v>
      </c>
      <c r="D581" t="s">
        <v>16</v>
      </c>
      <c r="E581" t="s">
        <v>51</v>
      </c>
      <c r="F581" s="6" t="str">
        <f t="shared" si="9"/>
        <v>2MC</v>
      </c>
      <c r="G581" s="11">
        <v>46128</v>
      </c>
      <c r="H581" s="12">
        <v>0.4236111111111111</v>
      </c>
      <c r="I581" s="11">
        <v>46127</v>
      </c>
      <c r="J581" s="1">
        <v>46133</v>
      </c>
      <c r="K581" s="1">
        <v>46133</v>
      </c>
      <c r="L581" t="s">
        <v>193</v>
      </c>
      <c r="M581" t="s">
        <v>155</v>
      </c>
      <c r="N581" t="s">
        <v>17</v>
      </c>
      <c r="O581" t="s">
        <v>24</v>
      </c>
      <c r="P581">
        <v>27643</v>
      </c>
      <c r="Q581" t="s">
        <v>19</v>
      </c>
      <c r="R581">
        <v>39938</v>
      </c>
      <c r="S581" t="str">
        <f>VLOOKUP(L581&amp;TEXT(I581,"mmmm")&amp;YEAR(I581),'[1]Detalle C-Fecha'!$D$2:$E$15921,2,FALSE)</f>
        <v>CCU_MZA - Comp. Cerv. Unidas - MZA</v>
      </c>
    </row>
    <row r="582" spans="1:19" x14ac:dyDescent="0.3">
      <c r="A582">
        <v>32438</v>
      </c>
      <c r="B582" t="s">
        <v>28</v>
      </c>
      <c r="C582" t="s">
        <v>15</v>
      </c>
      <c r="D582" t="s">
        <v>16</v>
      </c>
      <c r="E582" t="s">
        <v>51</v>
      </c>
      <c r="F582" s="6" t="str">
        <f t="shared" si="9"/>
        <v>2MC</v>
      </c>
      <c r="G582" s="11">
        <v>46128</v>
      </c>
      <c r="H582" s="12">
        <v>0.4236111111111111</v>
      </c>
      <c r="I582" s="11">
        <v>46127</v>
      </c>
      <c r="J582" s="1">
        <v>46133</v>
      </c>
      <c r="K582" s="1">
        <v>46133</v>
      </c>
      <c r="L582" t="s">
        <v>193</v>
      </c>
      <c r="M582" t="s">
        <v>155</v>
      </c>
      <c r="N582" t="s">
        <v>17</v>
      </c>
      <c r="O582" t="s">
        <v>24</v>
      </c>
      <c r="P582">
        <v>27643</v>
      </c>
      <c r="Q582" t="s">
        <v>19</v>
      </c>
      <c r="R582">
        <v>39939</v>
      </c>
      <c r="S582" t="str">
        <f>VLOOKUP(L582&amp;TEXT(I582,"mmmm")&amp;YEAR(I582),'[1]Detalle C-Fecha'!$D$2:$E$15921,2,FALSE)</f>
        <v>CCU_MZA - Comp. Cerv. Unidas - MZA</v>
      </c>
    </row>
    <row r="583" spans="1:19" x14ac:dyDescent="0.3">
      <c r="A583">
        <v>32439</v>
      </c>
      <c r="B583" t="s">
        <v>28</v>
      </c>
      <c r="C583" t="s">
        <v>15</v>
      </c>
      <c r="D583" t="s">
        <v>16</v>
      </c>
      <c r="E583" t="s">
        <v>53</v>
      </c>
      <c r="F583" s="6" t="str">
        <f t="shared" si="9"/>
        <v>3MC</v>
      </c>
      <c r="G583" s="11">
        <v>46128</v>
      </c>
      <c r="H583" s="12">
        <v>0.4236111111111111</v>
      </c>
      <c r="I583" s="11">
        <v>46127</v>
      </c>
      <c r="J583" s="1">
        <v>46133</v>
      </c>
      <c r="K583" s="1">
        <v>46133</v>
      </c>
      <c r="L583" t="s">
        <v>193</v>
      </c>
      <c r="M583" t="s">
        <v>155</v>
      </c>
      <c r="N583" t="s">
        <v>17</v>
      </c>
      <c r="O583" t="s">
        <v>24</v>
      </c>
      <c r="P583">
        <v>27644</v>
      </c>
      <c r="Q583" t="s">
        <v>19</v>
      </c>
      <c r="R583">
        <v>39936</v>
      </c>
      <c r="S583" t="str">
        <f>VLOOKUP(L583&amp;TEXT(I583,"mmmm")&amp;YEAR(I583),'[1]Detalle C-Fecha'!$D$2:$E$15921,2,FALSE)</f>
        <v>CCU_MZA - Comp. Cerv. Unidas - MZA</v>
      </c>
    </row>
    <row r="584" spans="1:19" x14ac:dyDescent="0.3">
      <c r="A584">
        <v>32439</v>
      </c>
      <c r="B584" t="s">
        <v>28</v>
      </c>
      <c r="C584" t="s">
        <v>15</v>
      </c>
      <c r="D584" t="s">
        <v>16</v>
      </c>
      <c r="E584" t="s">
        <v>53</v>
      </c>
      <c r="F584" s="6" t="str">
        <f t="shared" si="9"/>
        <v>3MC</v>
      </c>
      <c r="G584" s="11">
        <v>46128</v>
      </c>
      <c r="H584" s="12">
        <v>0.4236111111111111</v>
      </c>
      <c r="I584" s="11">
        <v>46127</v>
      </c>
      <c r="J584" s="1">
        <v>46133</v>
      </c>
      <c r="K584" s="1">
        <v>46133</v>
      </c>
      <c r="L584" t="s">
        <v>193</v>
      </c>
      <c r="M584" t="s">
        <v>155</v>
      </c>
      <c r="N584" t="s">
        <v>17</v>
      </c>
      <c r="O584" t="s">
        <v>24</v>
      </c>
      <c r="P584">
        <v>27644</v>
      </c>
      <c r="Q584" t="s">
        <v>19</v>
      </c>
      <c r="R584">
        <v>39937</v>
      </c>
      <c r="S584" t="str">
        <f>VLOOKUP(L584&amp;TEXT(I584,"mmmm")&amp;YEAR(I584),'[1]Detalle C-Fecha'!$D$2:$E$15921,2,FALSE)</f>
        <v>CCU_MZA - Comp. Cerv. Unidas - MZA</v>
      </c>
    </row>
    <row r="585" spans="1:19" x14ac:dyDescent="0.3">
      <c r="A585">
        <v>32440</v>
      </c>
      <c r="B585" t="s">
        <v>28</v>
      </c>
      <c r="C585" t="s">
        <v>15</v>
      </c>
      <c r="D585" t="s">
        <v>16</v>
      </c>
      <c r="E585" t="s">
        <v>111</v>
      </c>
      <c r="F585" s="6" t="str">
        <f t="shared" si="9"/>
        <v>6MC</v>
      </c>
      <c r="G585" s="11">
        <v>46128</v>
      </c>
      <c r="H585" s="12">
        <v>0.4236111111111111</v>
      </c>
      <c r="I585" s="11">
        <v>46127</v>
      </c>
      <c r="J585" s="1">
        <v>46133</v>
      </c>
      <c r="K585" s="1">
        <v>46133</v>
      </c>
      <c r="L585" t="s">
        <v>193</v>
      </c>
      <c r="M585" t="s">
        <v>155</v>
      </c>
      <c r="N585" t="s">
        <v>17</v>
      </c>
      <c r="O585" t="s">
        <v>24</v>
      </c>
      <c r="P585">
        <v>27645</v>
      </c>
      <c r="Q585" t="s">
        <v>19</v>
      </c>
      <c r="R585">
        <v>39934</v>
      </c>
      <c r="S585" t="str">
        <f>VLOOKUP(L585&amp;TEXT(I585,"mmmm")&amp;YEAR(I585),'[1]Detalle C-Fecha'!$D$2:$E$15921,2,FALSE)</f>
        <v>CCU_MZA - Comp. Cerv. Unidas - MZA</v>
      </c>
    </row>
    <row r="586" spans="1:19" x14ac:dyDescent="0.3">
      <c r="A586">
        <v>32440</v>
      </c>
      <c r="B586" t="s">
        <v>28</v>
      </c>
      <c r="C586" t="s">
        <v>15</v>
      </c>
      <c r="D586" t="s">
        <v>16</v>
      </c>
      <c r="E586" t="s">
        <v>111</v>
      </c>
      <c r="F586" s="6" t="str">
        <f t="shared" si="9"/>
        <v>6MC</v>
      </c>
      <c r="G586" s="11">
        <v>46128</v>
      </c>
      <c r="H586" s="12">
        <v>0.4236111111111111</v>
      </c>
      <c r="I586" s="11">
        <v>46127</v>
      </c>
      <c r="J586" s="1">
        <v>46133</v>
      </c>
      <c r="K586" s="1">
        <v>46133</v>
      </c>
      <c r="L586" t="s">
        <v>193</v>
      </c>
      <c r="M586" t="s">
        <v>155</v>
      </c>
      <c r="N586" t="s">
        <v>17</v>
      </c>
      <c r="O586" t="s">
        <v>24</v>
      </c>
      <c r="P586">
        <v>27645</v>
      </c>
      <c r="Q586" t="s">
        <v>19</v>
      </c>
      <c r="R586">
        <v>39935</v>
      </c>
      <c r="S586" t="str">
        <f>VLOOKUP(L586&amp;TEXT(I586,"mmmm")&amp;YEAR(I586),'[1]Detalle C-Fecha'!$D$2:$E$15921,2,FALSE)</f>
        <v>CCU_MZA - Comp. Cerv. Unidas - MZA</v>
      </c>
    </row>
    <row r="587" spans="1:19" x14ac:dyDescent="0.3">
      <c r="A587">
        <v>32443</v>
      </c>
      <c r="B587" t="s">
        <v>28</v>
      </c>
      <c r="C587" t="s">
        <v>15</v>
      </c>
      <c r="D587" t="s">
        <v>16</v>
      </c>
      <c r="E587" t="s">
        <v>35</v>
      </c>
      <c r="F587" s="6" t="str">
        <f t="shared" si="9"/>
        <v>2ML</v>
      </c>
      <c r="G587" s="11">
        <v>46128</v>
      </c>
      <c r="H587" s="12">
        <v>0.44791666666666669</v>
      </c>
      <c r="I587" s="11">
        <v>46127</v>
      </c>
      <c r="J587" s="1">
        <v>46127</v>
      </c>
      <c r="K587" s="1">
        <v>46127</v>
      </c>
      <c r="L587" t="s">
        <v>194</v>
      </c>
      <c r="M587" t="s">
        <v>163</v>
      </c>
      <c r="N587" t="s">
        <v>17</v>
      </c>
      <c r="O587" t="s">
        <v>24</v>
      </c>
      <c r="P587">
        <v>27647</v>
      </c>
      <c r="Q587" t="s">
        <v>19</v>
      </c>
      <c r="R587">
        <v>39932</v>
      </c>
      <c r="S587" t="str">
        <f>VLOOKUP(L587&amp;TEXT(I587,"mmmm")&amp;YEAR(I587),'[1]Detalle C-Fecha'!$D$2:$E$15921,2,FALSE)</f>
        <v>CENCOMLD - Cencosud SA - Mendoza</v>
      </c>
    </row>
    <row r="588" spans="1:19" x14ac:dyDescent="0.3">
      <c r="A588">
        <v>32443</v>
      </c>
      <c r="B588" t="s">
        <v>28</v>
      </c>
      <c r="C588" t="s">
        <v>15</v>
      </c>
      <c r="D588" t="s">
        <v>16</v>
      </c>
      <c r="E588" t="s">
        <v>35</v>
      </c>
      <c r="F588" s="6" t="str">
        <f t="shared" si="9"/>
        <v>2ML</v>
      </c>
      <c r="G588" s="11">
        <v>46128</v>
      </c>
      <c r="H588" s="12">
        <v>0.44791666666666669</v>
      </c>
      <c r="I588" s="11">
        <v>46127</v>
      </c>
      <c r="J588" s="1">
        <v>46127</v>
      </c>
      <c r="K588" s="1">
        <v>46127</v>
      </c>
      <c r="L588" t="s">
        <v>194</v>
      </c>
      <c r="M588" t="s">
        <v>163</v>
      </c>
      <c r="N588" t="s">
        <v>17</v>
      </c>
      <c r="O588" t="s">
        <v>24</v>
      </c>
      <c r="P588">
        <v>27647</v>
      </c>
      <c r="Q588" t="s">
        <v>19</v>
      </c>
      <c r="R588">
        <v>39933</v>
      </c>
      <c r="S588" t="str">
        <f>VLOOKUP(L588&amp;TEXT(I588,"mmmm")&amp;YEAR(I588),'[1]Detalle C-Fecha'!$D$2:$E$15921,2,FALSE)</f>
        <v>CENCOMLD - Cencosud SA - Mendoza</v>
      </c>
    </row>
    <row r="589" spans="1:19" x14ac:dyDescent="0.3">
      <c r="A589">
        <v>32444</v>
      </c>
      <c r="B589" t="s">
        <v>28</v>
      </c>
      <c r="C589" t="s">
        <v>15</v>
      </c>
      <c r="D589" t="s">
        <v>16</v>
      </c>
      <c r="E589" t="s">
        <v>47</v>
      </c>
      <c r="F589" s="6" t="str">
        <f t="shared" si="9"/>
        <v>3ML</v>
      </c>
      <c r="G589" s="11">
        <v>46128</v>
      </c>
      <c r="H589" s="12">
        <v>0.44791666666666669</v>
      </c>
      <c r="I589" s="11">
        <v>46127</v>
      </c>
      <c r="J589" s="1">
        <v>46127</v>
      </c>
      <c r="K589" s="1">
        <v>46127</v>
      </c>
      <c r="L589" t="s">
        <v>194</v>
      </c>
      <c r="M589" t="s">
        <v>163</v>
      </c>
      <c r="N589" t="s">
        <v>17</v>
      </c>
      <c r="O589" t="s">
        <v>24</v>
      </c>
      <c r="P589">
        <v>27648</v>
      </c>
      <c r="Q589" t="s">
        <v>19</v>
      </c>
      <c r="R589">
        <v>39930</v>
      </c>
      <c r="S589" t="str">
        <f>VLOOKUP(L589&amp;TEXT(I589,"mmmm")&amp;YEAR(I589),'[1]Detalle C-Fecha'!$D$2:$E$15921,2,FALSE)</f>
        <v>CENCOMLD - Cencosud SA - Mendoza</v>
      </c>
    </row>
    <row r="590" spans="1:19" x14ac:dyDescent="0.3">
      <c r="A590">
        <v>32444</v>
      </c>
      <c r="B590" t="s">
        <v>28</v>
      </c>
      <c r="C590" t="s">
        <v>15</v>
      </c>
      <c r="D590" t="s">
        <v>16</v>
      </c>
      <c r="E590" t="s">
        <v>47</v>
      </c>
      <c r="F590" s="6" t="str">
        <f t="shared" si="9"/>
        <v>3ML</v>
      </c>
      <c r="G590" s="11">
        <v>46128</v>
      </c>
      <c r="H590" s="12">
        <v>0.44791666666666669</v>
      </c>
      <c r="I590" s="11">
        <v>46127</v>
      </c>
      <c r="J590" s="1">
        <v>46127</v>
      </c>
      <c r="K590" s="1">
        <v>46127</v>
      </c>
      <c r="L590" t="s">
        <v>194</v>
      </c>
      <c r="M590" t="s">
        <v>163</v>
      </c>
      <c r="N590" t="s">
        <v>17</v>
      </c>
      <c r="O590" t="s">
        <v>24</v>
      </c>
      <c r="P590">
        <v>27648</v>
      </c>
      <c r="Q590" t="s">
        <v>19</v>
      </c>
      <c r="R590">
        <v>39931</v>
      </c>
      <c r="S590" t="str">
        <f>VLOOKUP(L590&amp;TEXT(I590,"mmmm")&amp;YEAR(I590),'[1]Detalle C-Fecha'!$D$2:$E$15921,2,FALSE)</f>
        <v>CENCOMLD - Cencosud SA - Mendoza</v>
      </c>
    </row>
    <row r="591" spans="1:19" x14ac:dyDescent="0.3">
      <c r="A591">
        <v>32445</v>
      </c>
      <c r="B591" t="s">
        <v>28</v>
      </c>
      <c r="C591" t="s">
        <v>15</v>
      </c>
      <c r="D591" t="s">
        <v>16</v>
      </c>
      <c r="E591" t="s">
        <v>112</v>
      </c>
      <c r="F591" s="6" t="str">
        <f t="shared" si="9"/>
        <v>6MC</v>
      </c>
      <c r="G591" s="11">
        <v>46128</v>
      </c>
      <c r="H591" s="12">
        <v>0.44791666666666669</v>
      </c>
      <c r="I591" s="11">
        <v>46127</v>
      </c>
      <c r="J591" s="1">
        <v>46127</v>
      </c>
      <c r="K591" s="1">
        <v>46127</v>
      </c>
      <c r="L591" t="s">
        <v>194</v>
      </c>
      <c r="M591" t="s">
        <v>163</v>
      </c>
      <c r="N591" t="s">
        <v>17</v>
      </c>
      <c r="O591" t="s">
        <v>24</v>
      </c>
      <c r="P591">
        <v>27649</v>
      </c>
      <c r="Q591" t="s">
        <v>19</v>
      </c>
      <c r="R591">
        <v>39928</v>
      </c>
      <c r="S591" t="str">
        <f>VLOOKUP(L591&amp;TEXT(I591,"mmmm")&amp;YEAR(I591),'[1]Detalle C-Fecha'!$D$2:$E$15921,2,FALSE)</f>
        <v>CENCOMLD - Cencosud SA - Mendoza</v>
      </c>
    </row>
    <row r="592" spans="1:19" x14ac:dyDescent="0.3">
      <c r="A592">
        <v>32445</v>
      </c>
      <c r="B592" t="s">
        <v>28</v>
      </c>
      <c r="C592" t="s">
        <v>15</v>
      </c>
      <c r="D592" t="s">
        <v>16</v>
      </c>
      <c r="E592" t="s">
        <v>112</v>
      </c>
      <c r="F592" s="6" t="str">
        <f t="shared" si="9"/>
        <v>6MC</v>
      </c>
      <c r="G592" s="11">
        <v>46128</v>
      </c>
      <c r="H592" s="12">
        <v>0.44791666666666669</v>
      </c>
      <c r="I592" s="11">
        <v>46127</v>
      </c>
      <c r="J592" s="1">
        <v>46127</v>
      </c>
      <c r="K592" s="1">
        <v>46127</v>
      </c>
      <c r="L592" t="s">
        <v>194</v>
      </c>
      <c r="M592" t="s">
        <v>163</v>
      </c>
      <c r="N592" t="s">
        <v>17</v>
      </c>
      <c r="O592" t="s">
        <v>24</v>
      </c>
      <c r="P592">
        <v>27649</v>
      </c>
      <c r="Q592" t="s">
        <v>19</v>
      </c>
      <c r="R592">
        <v>39929</v>
      </c>
      <c r="S592" t="str">
        <f>VLOOKUP(L592&amp;TEXT(I592,"mmmm")&amp;YEAR(I592),'[1]Detalle C-Fecha'!$D$2:$E$15921,2,FALSE)</f>
        <v>CENCOMLD - Cencosud SA - Mendoza</v>
      </c>
    </row>
    <row r="593" spans="1:19" x14ac:dyDescent="0.3">
      <c r="A593">
        <v>32496</v>
      </c>
      <c r="B593" t="s">
        <v>28</v>
      </c>
      <c r="C593" t="s">
        <v>15</v>
      </c>
      <c r="D593" t="s">
        <v>16</v>
      </c>
      <c r="E593" t="s">
        <v>51</v>
      </c>
      <c r="F593" s="6" t="str">
        <f t="shared" si="9"/>
        <v>2MC</v>
      </c>
      <c r="G593" s="11">
        <v>46128</v>
      </c>
      <c r="H593" s="12">
        <v>0.69374999999999998</v>
      </c>
      <c r="I593" s="11">
        <v>46128</v>
      </c>
      <c r="J593" s="1">
        <v>46128</v>
      </c>
      <c r="K593" s="1">
        <v>46128</v>
      </c>
      <c r="L593" t="s">
        <v>195</v>
      </c>
      <c r="M593">
        <v>1318</v>
      </c>
      <c r="N593" t="s">
        <v>21</v>
      </c>
      <c r="O593" t="s">
        <v>27</v>
      </c>
      <c r="P593">
        <v>27663</v>
      </c>
      <c r="Q593" t="s">
        <v>19</v>
      </c>
      <c r="R593">
        <v>40020</v>
      </c>
      <c r="S593" t="str">
        <f>VLOOKUP(L593&amp;TEXT(I593,"mmmm")&amp;YEAR(I593),'[1]Detalle C-Fecha'!$D$2:$E$15921,2,FALSE)</f>
        <v>CCUCoAZA</v>
      </c>
    </row>
    <row r="594" spans="1:19" x14ac:dyDescent="0.3">
      <c r="A594">
        <v>32496</v>
      </c>
      <c r="B594" t="s">
        <v>28</v>
      </c>
      <c r="C594" t="s">
        <v>15</v>
      </c>
      <c r="D594" t="s">
        <v>16</v>
      </c>
      <c r="E594" t="s">
        <v>51</v>
      </c>
      <c r="F594" s="6" t="str">
        <f t="shared" si="9"/>
        <v>2MC</v>
      </c>
      <c r="G594" s="11">
        <v>46128</v>
      </c>
      <c r="H594" s="12">
        <v>0.69374999999999998</v>
      </c>
      <c r="I594" s="11">
        <v>46128</v>
      </c>
      <c r="J594" s="1">
        <v>46128</v>
      </c>
      <c r="K594" s="1">
        <v>46128</v>
      </c>
      <c r="L594" t="s">
        <v>195</v>
      </c>
      <c r="M594">
        <v>1318</v>
      </c>
      <c r="N594" t="s">
        <v>21</v>
      </c>
      <c r="O594" t="s">
        <v>27</v>
      </c>
      <c r="P594">
        <v>27663</v>
      </c>
      <c r="Q594" t="s">
        <v>19</v>
      </c>
      <c r="R594">
        <v>40324</v>
      </c>
      <c r="S594" t="str">
        <f>VLOOKUP(L594&amp;TEXT(I594,"mmmm")&amp;YEAR(I594),'[1]Detalle C-Fecha'!$D$2:$E$15921,2,FALSE)</f>
        <v>CCUCoAZA</v>
      </c>
    </row>
    <row r="595" spans="1:19" x14ac:dyDescent="0.3">
      <c r="A595">
        <v>32497</v>
      </c>
      <c r="B595" t="s">
        <v>28</v>
      </c>
      <c r="C595" t="s">
        <v>15</v>
      </c>
      <c r="D595" t="s">
        <v>16</v>
      </c>
      <c r="E595" t="s">
        <v>53</v>
      </c>
      <c r="F595" s="6" t="str">
        <f t="shared" si="9"/>
        <v>3MC</v>
      </c>
      <c r="G595" s="11">
        <v>46128</v>
      </c>
      <c r="H595" s="12">
        <v>0.69374999999999998</v>
      </c>
      <c r="I595" s="11">
        <v>46128</v>
      </c>
      <c r="J595" s="1">
        <v>46128</v>
      </c>
      <c r="K595" s="1">
        <v>46128</v>
      </c>
      <c r="L595" t="s">
        <v>195</v>
      </c>
      <c r="M595">
        <v>1318</v>
      </c>
      <c r="N595" t="s">
        <v>21</v>
      </c>
      <c r="O595" t="s">
        <v>27</v>
      </c>
      <c r="P595">
        <v>27664</v>
      </c>
      <c r="Q595" t="s">
        <v>19</v>
      </c>
      <c r="R595">
        <v>40021</v>
      </c>
      <c r="S595" t="str">
        <f>VLOOKUP(L595&amp;TEXT(I595,"mmmm")&amp;YEAR(I595),'[1]Detalle C-Fecha'!$D$2:$E$15921,2,FALSE)</f>
        <v>CCUCoAZA</v>
      </c>
    </row>
    <row r="596" spans="1:19" x14ac:dyDescent="0.3">
      <c r="A596">
        <v>32497</v>
      </c>
      <c r="B596" t="s">
        <v>28</v>
      </c>
      <c r="C596" t="s">
        <v>15</v>
      </c>
      <c r="D596" t="s">
        <v>16</v>
      </c>
      <c r="E596" t="s">
        <v>53</v>
      </c>
      <c r="F596" s="6" t="str">
        <f t="shared" si="9"/>
        <v>3MC</v>
      </c>
      <c r="G596" s="11">
        <v>46128</v>
      </c>
      <c r="H596" s="12">
        <v>0.69374999999999998</v>
      </c>
      <c r="I596" s="11">
        <v>46128</v>
      </c>
      <c r="J596" s="1">
        <v>46128</v>
      </c>
      <c r="K596" s="1">
        <v>46128</v>
      </c>
      <c r="L596" t="s">
        <v>195</v>
      </c>
      <c r="M596">
        <v>1318</v>
      </c>
      <c r="N596" t="s">
        <v>21</v>
      </c>
      <c r="O596" t="s">
        <v>27</v>
      </c>
      <c r="P596">
        <v>27664</v>
      </c>
      <c r="Q596" t="s">
        <v>19</v>
      </c>
      <c r="R596">
        <v>40324</v>
      </c>
      <c r="S596" t="str">
        <f>VLOOKUP(L596&amp;TEXT(I596,"mmmm")&amp;YEAR(I596),'[1]Detalle C-Fecha'!$D$2:$E$15921,2,FALSE)</f>
        <v>CCUCoAZA</v>
      </c>
    </row>
    <row r="597" spans="1:19" x14ac:dyDescent="0.3">
      <c r="A597">
        <v>32498</v>
      </c>
      <c r="B597" t="s">
        <v>28</v>
      </c>
      <c r="C597" t="s">
        <v>15</v>
      </c>
      <c r="D597" t="s">
        <v>16</v>
      </c>
      <c r="E597" t="s">
        <v>52</v>
      </c>
      <c r="F597" s="6" t="str">
        <f t="shared" si="9"/>
        <v>6MC</v>
      </c>
      <c r="G597" s="11">
        <v>46128</v>
      </c>
      <c r="H597" s="12">
        <v>0.69374999999999998</v>
      </c>
      <c r="I597" s="11">
        <v>46128</v>
      </c>
      <c r="J597" s="1">
        <v>46128</v>
      </c>
      <c r="K597" s="1">
        <v>46128</v>
      </c>
      <c r="L597" t="s">
        <v>195</v>
      </c>
      <c r="M597">
        <v>1318</v>
      </c>
      <c r="N597" t="s">
        <v>21</v>
      </c>
      <c r="O597" t="s">
        <v>27</v>
      </c>
      <c r="P597">
        <v>27665</v>
      </c>
      <c r="Q597" t="s">
        <v>19</v>
      </c>
      <c r="R597">
        <v>40022</v>
      </c>
      <c r="S597" t="str">
        <f>VLOOKUP(L597&amp;TEXT(I597,"mmmm")&amp;YEAR(I597),'[1]Detalle C-Fecha'!$D$2:$E$15921,2,FALSE)</f>
        <v>CCUCoAZA</v>
      </c>
    </row>
    <row r="598" spans="1:19" x14ac:dyDescent="0.3">
      <c r="A598">
        <v>32498</v>
      </c>
      <c r="B598" t="s">
        <v>28</v>
      </c>
      <c r="C598" t="s">
        <v>15</v>
      </c>
      <c r="D598" t="s">
        <v>16</v>
      </c>
      <c r="E598" t="s">
        <v>52</v>
      </c>
      <c r="F598" s="6" t="str">
        <f t="shared" si="9"/>
        <v>6MC</v>
      </c>
      <c r="G598" s="11">
        <v>46128</v>
      </c>
      <c r="H598" s="12">
        <v>0.69374999999999998</v>
      </c>
      <c r="I598" s="11">
        <v>46128</v>
      </c>
      <c r="J598" s="1">
        <v>46128</v>
      </c>
      <c r="K598" s="1">
        <v>46128</v>
      </c>
      <c r="L598" t="s">
        <v>195</v>
      </c>
      <c r="M598">
        <v>1318</v>
      </c>
      <c r="N598" t="s">
        <v>21</v>
      </c>
      <c r="O598" t="s">
        <v>27</v>
      </c>
      <c r="P598">
        <v>27665</v>
      </c>
      <c r="Q598" t="s">
        <v>19</v>
      </c>
      <c r="R598">
        <v>40324</v>
      </c>
      <c r="S598" t="str">
        <f>VLOOKUP(L598&amp;TEXT(I598,"mmmm")&amp;YEAR(I598),'[1]Detalle C-Fecha'!$D$2:$E$15921,2,FALSE)</f>
        <v>CCUCoAZA</v>
      </c>
    </row>
    <row r="599" spans="1:19" x14ac:dyDescent="0.3">
      <c r="A599">
        <v>32504</v>
      </c>
      <c r="B599" t="s">
        <v>28</v>
      </c>
      <c r="C599" t="s">
        <v>15</v>
      </c>
      <c r="D599" t="s">
        <v>16</v>
      </c>
      <c r="E599" t="s">
        <v>115</v>
      </c>
      <c r="F599" s="6" t="str">
        <f t="shared" si="9"/>
        <v>2ML</v>
      </c>
      <c r="G599" s="11">
        <v>46129</v>
      </c>
      <c r="H599" s="12">
        <v>0.34722222222222227</v>
      </c>
      <c r="I599" s="11">
        <v>46129</v>
      </c>
      <c r="J599" s="1">
        <v>46129</v>
      </c>
      <c r="K599" s="1">
        <v>46129</v>
      </c>
      <c r="L599" t="s">
        <v>36</v>
      </c>
      <c r="M599" t="s">
        <v>129</v>
      </c>
      <c r="N599" t="s">
        <v>21</v>
      </c>
      <c r="O599" t="s">
        <v>24</v>
      </c>
      <c r="P599">
        <v>27671</v>
      </c>
      <c r="Q599" t="s">
        <v>19</v>
      </c>
      <c r="R599">
        <v>40026</v>
      </c>
      <c r="S599" t="str">
        <f>VLOOKUP(L599&amp;TEXT(I599,"mmmm")&amp;YEAR(I599),'[1]Detalle C-Fecha'!$D$2:$E$15921,2,FALSE)</f>
        <v>ADA_CH - Danone Arg. S.A. - Chascomus</v>
      </c>
    </row>
    <row r="600" spans="1:19" x14ac:dyDescent="0.3">
      <c r="A600">
        <v>32504</v>
      </c>
      <c r="B600" t="s">
        <v>28</v>
      </c>
      <c r="C600" t="s">
        <v>15</v>
      </c>
      <c r="D600" t="s">
        <v>16</v>
      </c>
      <c r="E600" t="s">
        <v>115</v>
      </c>
      <c r="F600" s="6" t="str">
        <f t="shared" si="9"/>
        <v>2ML</v>
      </c>
      <c r="G600" s="11">
        <v>46129</v>
      </c>
      <c r="H600" s="12">
        <v>0.34722222222222227</v>
      </c>
      <c r="I600" s="11">
        <v>46129</v>
      </c>
      <c r="J600" s="1">
        <v>46129</v>
      </c>
      <c r="K600" s="1">
        <v>46129</v>
      </c>
      <c r="L600" t="s">
        <v>36</v>
      </c>
      <c r="M600" t="s">
        <v>129</v>
      </c>
      <c r="N600" t="s">
        <v>21</v>
      </c>
      <c r="O600" t="s">
        <v>24</v>
      </c>
      <c r="P600">
        <v>27671</v>
      </c>
      <c r="Q600" t="s">
        <v>19</v>
      </c>
      <c r="R600">
        <v>40321</v>
      </c>
      <c r="S600" t="str">
        <f>VLOOKUP(L600&amp;TEXT(I600,"mmmm")&amp;YEAR(I600),'[1]Detalle C-Fecha'!$D$2:$E$15921,2,FALSE)</f>
        <v>ADA_CH - Danone Arg. S.A. - Chascomus</v>
      </c>
    </row>
    <row r="601" spans="1:19" x14ac:dyDescent="0.3">
      <c r="A601">
        <v>32505</v>
      </c>
      <c r="B601" t="s">
        <v>28</v>
      </c>
      <c r="C601" t="s">
        <v>15</v>
      </c>
      <c r="D601" t="s">
        <v>16</v>
      </c>
      <c r="E601" t="s">
        <v>116</v>
      </c>
      <c r="F601" s="6" t="str">
        <f t="shared" si="9"/>
        <v>3ML</v>
      </c>
      <c r="G601" s="11">
        <v>46129</v>
      </c>
      <c r="H601" s="12">
        <v>0.34722222222222227</v>
      </c>
      <c r="I601" s="11">
        <v>46129</v>
      </c>
      <c r="J601" s="1">
        <v>46129</v>
      </c>
      <c r="K601" s="1">
        <v>46129</v>
      </c>
      <c r="L601" t="s">
        <v>36</v>
      </c>
      <c r="M601" t="s">
        <v>129</v>
      </c>
      <c r="N601" t="s">
        <v>21</v>
      </c>
      <c r="O601" t="s">
        <v>24</v>
      </c>
      <c r="P601">
        <v>27672</v>
      </c>
      <c r="Q601" t="s">
        <v>19</v>
      </c>
      <c r="R601">
        <v>40027</v>
      </c>
      <c r="S601" t="str">
        <f>VLOOKUP(L601&amp;TEXT(I601,"mmmm")&amp;YEAR(I601),'[1]Detalle C-Fecha'!$D$2:$E$15921,2,FALSE)</f>
        <v>ADA_CH - Danone Arg. S.A. - Chascomus</v>
      </c>
    </row>
    <row r="602" spans="1:19" x14ac:dyDescent="0.3">
      <c r="A602">
        <v>32505</v>
      </c>
      <c r="B602" t="s">
        <v>28</v>
      </c>
      <c r="C602" t="s">
        <v>15</v>
      </c>
      <c r="D602" t="s">
        <v>16</v>
      </c>
      <c r="E602" t="s">
        <v>116</v>
      </c>
      <c r="F602" s="6" t="str">
        <f t="shared" si="9"/>
        <v>3ML</v>
      </c>
      <c r="G602" s="11">
        <v>46129</v>
      </c>
      <c r="H602" s="12">
        <v>0.34722222222222227</v>
      </c>
      <c r="I602" s="11">
        <v>46129</v>
      </c>
      <c r="J602" s="1">
        <v>46129</v>
      </c>
      <c r="K602" s="1">
        <v>46129</v>
      </c>
      <c r="L602" t="s">
        <v>36</v>
      </c>
      <c r="M602" t="s">
        <v>129</v>
      </c>
      <c r="N602" t="s">
        <v>21</v>
      </c>
      <c r="O602" t="s">
        <v>24</v>
      </c>
      <c r="P602">
        <v>27672</v>
      </c>
      <c r="Q602" t="s">
        <v>19</v>
      </c>
      <c r="R602">
        <v>40321</v>
      </c>
      <c r="S602" t="str">
        <f>VLOOKUP(L602&amp;TEXT(I602,"mmmm")&amp;YEAR(I602),'[1]Detalle C-Fecha'!$D$2:$E$15921,2,FALSE)</f>
        <v>ADA_CH - Danone Arg. S.A. - Chascomus</v>
      </c>
    </row>
    <row r="603" spans="1:19" x14ac:dyDescent="0.3">
      <c r="A603">
        <v>32506</v>
      </c>
      <c r="B603" t="s">
        <v>28</v>
      </c>
      <c r="C603" t="s">
        <v>15</v>
      </c>
      <c r="D603" t="s">
        <v>16</v>
      </c>
      <c r="E603" t="s">
        <v>117</v>
      </c>
      <c r="F603" s="6" t="str">
        <f t="shared" si="9"/>
        <v>6ML</v>
      </c>
      <c r="G603" s="11">
        <v>46129</v>
      </c>
      <c r="H603" s="12">
        <v>0.34722222222222227</v>
      </c>
      <c r="I603" s="11">
        <v>46129</v>
      </c>
      <c r="J603" s="1">
        <v>46129</v>
      </c>
      <c r="K603" s="1">
        <v>46129</v>
      </c>
      <c r="L603" t="s">
        <v>36</v>
      </c>
      <c r="M603" t="s">
        <v>129</v>
      </c>
      <c r="N603" t="s">
        <v>21</v>
      </c>
      <c r="O603" t="s">
        <v>24</v>
      </c>
      <c r="P603">
        <v>27673</v>
      </c>
      <c r="Q603" t="s">
        <v>19</v>
      </c>
      <c r="R603">
        <v>40028</v>
      </c>
      <c r="S603" t="str">
        <f>VLOOKUP(L603&amp;TEXT(I603,"mmmm")&amp;YEAR(I603),'[1]Detalle C-Fecha'!$D$2:$E$15921,2,FALSE)</f>
        <v>ADA_CH - Danone Arg. S.A. - Chascomus</v>
      </c>
    </row>
    <row r="604" spans="1:19" x14ac:dyDescent="0.3">
      <c r="A604">
        <v>32506</v>
      </c>
      <c r="B604" t="s">
        <v>28</v>
      </c>
      <c r="C604" t="s">
        <v>15</v>
      </c>
      <c r="D604" t="s">
        <v>16</v>
      </c>
      <c r="E604" t="s">
        <v>117</v>
      </c>
      <c r="F604" s="6" t="str">
        <f t="shared" si="9"/>
        <v>6ML</v>
      </c>
      <c r="G604" s="11">
        <v>46129</v>
      </c>
      <c r="H604" s="12">
        <v>0.34722222222222227</v>
      </c>
      <c r="I604" s="11">
        <v>46129</v>
      </c>
      <c r="J604" s="1">
        <v>46129</v>
      </c>
      <c r="K604" s="1">
        <v>46129</v>
      </c>
      <c r="L604" t="s">
        <v>36</v>
      </c>
      <c r="M604" t="s">
        <v>129</v>
      </c>
      <c r="N604" t="s">
        <v>21</v>
      </c>
      <c r="O604" t="s">
        <v>24</v>
      </c>
      <c r="P604">
        <v>27673</v>
      </c>
      <c r="Q604" t="s">
        <v>19</v>
      </c>
      <c r="R604">
        <v>40321</v>
      </c>
      <c r="S604" t="str">
        <f>VLOOKUP(L604&amp;TEXT(I604,"mmmm")&amp;YEAR(I604),'[1]Detalle C-Fecha'!$D$2:$E$15921,2,FALSE)</f>
        <v>ADA_CH - Danone Arg. S.A. - Chascomus</v>
      </c>
    </row>
    <row r="605" spans="1:19" x14ac:dyDescent="0.3">
      <c r="A605">
        <v>32518</v>
      </c>
      <c r="B605" t="s">
        <v>28</v>
      </c>
      <c r="C605" t="s">
        <v>15</v>
      </c>
      <c r="D605" t="s">
        <v>16</v>
      </c>
      <c r="E605" t="s">
        <v>121</v>
      </c>
      <c r="F605" s="6" t="str">
        <f t="shared" si="9"/>
        <v>2MC</v>
      </c>
      <c r="G605" s="11">
        <v>46129</v>
      </c>
      <c r="H605" s="12">
        <v>0.4069444444444445</v>
      </c>
      <c r="I605" s="11">
        <v>46129</v>
      </c>
      <c r="J605" s="1">
        <v>46129</v>
      </c>
      <c r="K605" s="1">
        <v>46129</v>
      </c>
      <c r="L605" t="s">
        <v>196</v>
      </c>
      <c r="M605">
        <v>1624</v>
      </c>
      <c r="N605" t="s">
        <v>21</v>
      </c>
      <c r="O605" t="s">
        <v>27</v>
      </c>
      <c r="P605">
        <v>27685</v>
      </c>
      <c r="Q605" t="s">
        <v>19</v>
      </c>
      <c r="R605">
        <v>40029</v>
      </c>
      <c r="S605" t="str">
        <f>VLOOKUP(L605&amp;TEXT(I605,"mmmm")&amp;YEAR(I605),'[1]Detalle C-Fecha'!$D$2:$E$15921,2,FALSE)</f>
        <v>Papelera - Papelera del Plata S.A.</v>
      </c>
    </row>
    <row r="606" spans="1:19" x14ac:dyDescent="0.3">
      <c r="A606">
        <v>32518</v>
      </c>
      <c r="B606" t="s">
        <v>28</v>
      </c>
      <c r="C606" t="s">
        <v>15</v>
      </c>
      <c r="D606" t="s">
        <v>16</v>
      </c>
      <c r="E606" t="s">
        <v>121</v>
      </c>
      <c r="F606" s="6" t="str">
        <f t="shared" si="9"/>
        <v>2MC</v>
      </c>
      <c r="G606" s="11">
        <v>46129</v>
      </c>
      <c r="H606" s="12">
        <v>0.4069444444444445</v>
      </c>
      <c r="I606" s="11">
        <v>46129</v>
      </c>
      <c r="J606" s="1">
        <v>46129</v>
      </c>
      <c r="K606" s="1">
        <v>46129</v>
      </c>
      <c r="L606" t="s">
        <v>196</v>
      </c>
      <c r="M606">
        <v>1624</v>
      </c>
      <c r="N606" t="s">
        <v>21</v>
      </c>
      <c r="O606" t="s">
        <v>27</v>
      </c>
      <c r="P606">
        <v>27685</v>
      </c>
      <c r="Q606" t="s">
        <v>19</v>
      </c>
      <c r="R606">
        <v>40324</v>
      </c>
      <c r="S606" t="str">
        <f>VLOOKUP(L606&amp;TEXT(I606,"mmmm")&amp;YEAR(I606),'[1]Detalle C-Fecha'!$D$2:$E$15921,2,FALSE)</f>
        <v>Papelera - Papelera del Plata S.A.</v>
      </c>
    </row>
    <row r="607" spans="1:19" x14ac:dyDescent="0.3">
      <c r="A607">
        <v>32519</v>
      </c>
      <c r="B607" t="s">
        <v>28</v>
      </c>
      <c r="C607" t="s">
        <v>15</v>
      </c>
      <c r="D607" t="s">
        <v>16</v>
      </c>
      <c r="E607" t="s">
        <v>53</v>
      </c>
      <c r="F607" s="6" t="str">
        <f t="shared" si="9"/>
        <v>3MC</v>
      </c>
      <c r="G607" s="11">
        <v>46129</v>
      </c>
      <c r="H607" s="12">
        <v>0.4069444444444445</v>
      </c>
      <c r="I607" s="11">
        <v>46129</v>
      </c>
      <c r="J607" s="1">
        <v>46129</v>
      </c>
      <c r="K607" s="1">
        <v>46129</v>
      </c>
      <c r="L607" t="s">
        <v>196</v>
      </c>
      <c r="M607">
        <v>1624</v>
      </c>
      <c r="N607" t="s">
        <v>21</v>
      </c>
      <c r="O607" t="s">
        <v>27</v>
      </c>
      <c r="P607">
        <v>27686</v>
      </c>
      <c r="Q607" t="s">
        <v>19</v>
      </c>
      <c r="R607">
        <v>40030</v>
      </c>
      <c r="S607" t="str">
        <f>VLOOKUP(L607&amp;TEXT(I607,"mmmm")&amp;YEAR(I607),'[1]Detalle C-Fecha'!$D$2:$E$15921,2,FALSE)</f>
        <v>Papelera - Papelera del Plata S.A.</v>
      </c>
    </row>
    <row r="608" spans="1:19" x14ac:dyDescent="0.3">
      <c r="A608">
        <v>32519</v>
      </c>
      <c r="B608" t="s">
        <v>28</v>
      </c>
      <c r="C608" t="s">
        <v>15</v>
      </c>
      <c r="D608" t="s">
        <v>16</v>
      </c>
      <c r="E608" t="s">
        <v>53</v>
      </c>
      <c r="F608" s="6" t="str">
        <f t="shared" si="9"/>
        <v>3MC</v>
      </c>
      <c r="G608" s="11">
        <v>46129</v>
      </c>
      <c r="H608" s="12">
        <v>0.4069444444444445</v>
      </c>
      <c r="I608" s="11">
        <v>46129</v>
      </c>
      <c r="J608" s="1">
        <v>46129</v>
      </c>
      <c r="K608" s="1">
        <v>46129</v>
      </c>
      <c r="L608" t="s">
        <v>196</v>
      </c>
      <c r="M608">
        <v>1624</v>
      </c>
      <c r="N608" t="s">
        <v>21</v>
      </c>
      <c r="O608" t="s">
        <v>27</v>
      </c>
      <c r="P608">
        <v>27686</v>
      </c>
      <c r="Q608" t="s">
        <v>19</v>
      </c>
      <c r="R608">
        <v>40324</v>
      </c>
      <c r="S608" t="str">
        <f>VLOOKUP(L608&amp;TEXT(I608,"mmmm")&amp;YEAR(I608),'[1]Detalle C-Fecha'!$D$2:$E$15921,2,FALSE)</f>
        <v>Papelera - Papelera del Plata S.A.</v>
      </c>
    </row>
    <row r="609" spans="1:19" x14ac:dyDescent="0.3">
      <c r="A609">
        <v>32520</v>
      </c>
      <c r="B609" t="s">
        <v>28</v>
      </c>
      <c r="C609" t="s">
        <v>15</v>
      </c>
      <c r="D609" t="s">
        <v>16</v>
      </c>
      <c r="E609" t="s">
        <v>111</v>
      </c>
      <c r="F609" s="6" t="str">
        <f t="shared" si="9"/>
        <v>6MC</v>
      </c>
      <c r="G609" s="11">
        <v>46129</v>
      </c>
      <c r="H609" s="12">
        <v>0.4069444444444445</v>
      </c>
      <c r="I609" s="11">
        <v>46129</v>
      </c>
      <c r="J609" s="1">
        <v>46129</v>
      </c>
      <c r="K609" s="1">
        <v>46129</v>
      </c>
      <c r="L609" t="s">
        <v>196</v>
      </c>
      <c r="M609">
        <v>1624</v>
      </c>
      <c r="N609" t="s">
        <v>21</v>
      </c>
      <c r="O609" t="s">
        <v>27</v>
      </c>
      <c r="P609">
        <v>27687</v>
      </c>
      <c r="Q609" t="s">
        <v>19</v>
      </c>
      <c r="R609">
        <v>40031</v>
      </c>
      <c r="S609" t="str">
        <f>VLOOKUP(L609&amp;TEXT(I609,"mmmm")&amp;YEAR(I609),'[1]Detalle C-Fecha'!$D$2:$E$15921,2,FALSE)</f>
        <v>Papelera - Papelera del Plata S.A.</v>
      </c>
    </row>
    <row r="610" spans="1:19" x14ac:dyDescent="0.3">
      <c r="A610">
        <v>32520</v>
      </c>
      <c r="B610" t="s">
        <v>28</v>
      </c>
      <c r="C610" t="s">
        <v>15</v>
      </c>
      <c r="D610" t="s">
        <v>16</v>
      </c>
      <c r="E610" t="s">
        <v>111</v>
      </c>
      <c r="F610" s="6" t="str">
        <f t="shared" si="9"/>
        <v>6MC</v>
      </c>
      <c r="G610" s="11">
        <v>46129</v>
      </c>
      <c r="H610" s="12">
        <v>0.4069444444444445</v>
      </c>
      <c r="I610" s="11">
        <v>46129</v>
      </c>
      <c r="J610" s="1">
        <v>46129</v>
      </c>
      <c r="K610" s="1">
        <v>46129</v>
      </c>
      <c r="L610" t="s">
        <v>196</v>
      </c>
      <c r="M610">
        <v>1624</v>
      </c>
      <c r="N610" t="s">
        <v>21</v>
      </c>
      <c r="O610" t="s">
        <v>27</v>
      </c>
      <c r="P610">
        <v>27687</v>
      </c>
      <c r="Q610" t="s">
        <v>19</v>
      </c>
      <c r="R610">
        <v>40324</v>
      </c>
      <c r="S610" t="str">
        <f>VLOOKUP(L610&amp;TEXT(I610,"mmmm")&amp;YEAR(I610),'[1]Detalle C-Fecha'!$D$2:$E$15921,2,FALSE)</f>
        <v>Papelera - Papelera del Plata S.A.</v>
      </c>
    </row>
    <row r="611" spans="1:19" x14ac:dyDescent="0.3">
      <c r="A611">
        <v>32664</v>
      </c>
      <c r="B611" t="s">
        <v>28</v>
      </c>
      <c r="C611" t="s">
        <v>15</v>
      </c>
      <c r="D611" t="s">
        <v>16</v>
      </c>
      <c r="E611" t="s">
        <v>35</v>
      </c>
      <c r="F611" s="6" t="str">
        <f t="shared" si="9"/>
        <v>2ML</v>
      </c>
      <c r="G611" s="11">
        <v>46132</v>
      </c>
      <c r="H611" s="12">
        <v>0.52222222222222225</v>
      </c>
      <c r="I611" s="11">
        <v>46132</v>
      </c>
      <c r="J611" s="1">
        <v>46132</v>
      </c>
      <c r="K611" s="1">
        <v>46132</v>
      </c>
      <c r="L611" t="s">
        <v>76</v>
      </c>
      <c r="M611" t="s">
        <v>127</v>
      </c>
      <c r="N611" t="s">
        <v>17</v>
      </c>
      <c r="O611" t="s">
        <v>24</v>
      </c>
      <c r="P611">
        <v>27790</v>
      </c>
      <c r="Q611" t="s">
        <v>19</v>
      </c>
      <c r="R611">
        <v>40198</v>
      </c>
      <c r="S611" t="str">
        <f>VLOOKUP(L611&amp;TEXT(I611,"mmmm")&amp;YEAR(I611),'[1]Detalle C-Fecha'!$D$2:$E$15921,2,FALSE)</f>
        <v>CENCOMLD - Cencosud SA - Mendoza</v>
      </c>
    </row>
    <row r="612" spans="1:19" x14ac:dyDescent="0.3">
      <c r="A612">
        <v>32664</v>
      </c>
      <c r="B612" t="s">
        <v>28</v>
      </c>
      <c r="C612" t="s">
        <v>15</v>
      </c>
      <c r="D612" t="s">
        <v>16</v>
      </c>
      <c r="E612" t="s">
        <v>35</v>
      </c>
      <c r="F612" s="6" t="str">
        <f t="shared" si="9"/>
        <v>2ML</v>
      </c>
      <c r="G612" s="11">
        <v>46132</v>
      </c>
      <c r="H612" s="12">
        <v>0.52222222222222225</v>
      </c>
      <c r="I612" s="11">
        <v>46132</v>
      </c>
      <c r="J612" s="1">
        <v>46132</v>
      </c>
      <c r="K612" s="1">
        <v>46132</v>
      </c>
      <c r="L612" t="s">
        <v>76</v>
      </c>
      <c r="M612" t="s">
        <v>127</v>
      </c>
      <c r="N612" t="s">
        <v>17</v>
      </c>
      <c r="O612" t="s">
        <v>24</v>
      </c>
      <c r="P612">
        <v>27790</v>
      </c>
      <c r="Q612" t="s">
        <v>19</v>
      </c>
      <c r="R612">
        <v>40199</v>
      </c>
      <c r="S612" t="str">
        <f>VLOOKUP(L612&amp;TEXT(I612,"mmmm")&amp;YEAR(I612),'[1]Detalle C-Fecha'!$D$2:$E$15921,2,FALSE)</f>
        <v>CENCOMLD - Cencosud SA - Mendoza</v>
      </c>
    </row>
    <row r="613" spans="1:19" x14ac:dyDescent="0.3">
      <c r="A613">
        <v>32665</v>
      </c>
      <c r="B613" t="s">
        <v>28</v>
      </c>
      <c r="C613" t="s">
        <v>15</v>
      </c>
      <c r="D613" t="s">
        <v>16</v>
      </c>
      <c r="E613" t="s">
        <v>47</v>
      </c>
      <c r="F613" s="6" t="str">
        <f t="shared" si="9"/>
        <v>3ML</v>
      </c>
      <c r="G613" s="11">
        <v>46132</v>
      </c>
      <c r="H613" s="12">
        <v>0.52222222222222225</v>
      </c>
      <c r="I613" s="11">
        <v>46132</v>
      </c>
      <c r="J613" s="1">
        <v>46132</v>
      </c>
      <c r="K613" s="1">
        <v>46132</v>
      </c>
      <c r="L613" t="s">
        <v>76</v>
      </c>
      <c r="M613" t="s">
        <v>127</v>
      </c>
      <c r="N613" t="s">
        <v>17</v>
      </c>
      <c r="O613" t="s">
        <v>24</v>
      </c>
      <c r="P613">
        <v>27791</v>
      </c>
      <c r="Q613" t="s">
        <v>19</v>
      </c>
      <c r="R613">
        <v>40200</v>
      </c>
      <c r="S613" t="str">
        <f>VLOOKUP(L613&amp;TEXT(I613,"mmmm")&amp;YEAR(I613),'[1]Detalle C-Fecha'!$D$2:$E$15921,2,FALSE)</f>
        <v>CENCOMLD - Cencosud SA - Mendoza</v>
      </c>
    </row>
    <row r="614" spans="1:19" x14ac:dyDescent="0.3">
      <c r="A614">
        <v>32665</v>
      </c>
      <c r="B614" t="s">
        <v>28</v>
      </c>
      <c r="C614" t="s">
        <v>15</v>
      </c>
      <c r="D614" t="s">
        <v>16</v>
      </c>
      <c r="E614" t="s">
        <v>47</v>
      </c>
      <c r="F614" s="6" t="str">
        <f t="shared" si="9"/>
        <v>3ML</v>
      </c>
      <c r="G614" s="11">
        <v>46132</v>
      </c>
      <c r="H614" s="12">
        <v>0.52222222222222225</v>
      </c>
      <c r="I614" s="11">
        <v>46132</v>
      </c>
      <c r="J614" s="1">
        <v>46132</v>
      </c>
      <c r="K614" s="1">
        <v>46132</v>
      </c>
      <c r="L614" t="s">
        <v>76</v>
      </c>
      <c r="M614" t="s">
        <v>127</v>
      </c>
      <c r="N614" t="s">
        <v>17</v>
      </c>
      <c r="O614" t="s">
        <v>24</v>
      </c>
      <c r="P614">
        <v>27791</v>
      </c>
      <c r="Q614" t="s">
        <v>19</v>
      </c>
      <c r="R614">
        <v>40201</v>
      </c>
      <c r="S614" t="str">
        <f>VLOOKUP(L614&amp;TEXT(I614,"mmmm")&amp;YEAR(I614),'[1]Detalle C-Fecha'!$D$2:$E$15921,2,FALSE)</f>
        <v>CENCOMLD - Cencosud SA - Mendoza</v>
      </c>
    </row>
    <row r="615" spans="1:19" x14ac:dyDescent="0.3">
      <c r="A615">
        <v>32666</v>
      </c>
      <c r="B615" t="s">
        <v>28</v>
      </c>
      <c r="C615" t="s">
        <v>15</v>
      </c>
      <c r="D615" t="s">
        <v>16</v>
      </c>
      <c r="E615" t="s">
        <v>46</v>
      </c>
      <c r="F615" s="6" t="str">
        <f t="shared" si="9"/>
        <v>6ML</v>
      </c>
      <c r="G615" s="11">
        <v>46132</v>
      </c>
      <c r="H615" s="12">
        <v>0.52222222222222225</v>
      </c>
      <c r="I615" s="11">
        <v>46132</v>
      </c>
      <c r="J615" s="1">
        <v>46132</v>
      </c>
      <c r="K615" s="1">
        <v>46132</v>
      </c>
      <c r="L615" t="s">
        <v>76</v>
      </c>
      <c r="M615" t="s">
        <v>127</v>
      </c>
      <c r="N615" t="s">
        <v>17</v>
      </c>
      <c r="O615" t="s">
        <v>24</v>
      </c>
      <c r="P615">
        <v>27792</v>
      </c>
      <c r="Q615" t="s">
        <v>19</v>
      </c>
      <c r="R615">
        <v>40202</v>
      </c>
      <c r="S615" t="str">
        <f>VLOOKUP(L615&amp;TEXT(I615,"mmmm")&amp;YEAR(I615),'[1]Detalle C-Fecha'!$D$2:$E$15921,2,FALSE)</f>
        <v>CENCOMLD - Cencosud SA - Mendoza</v>
      </c>
    </row>
    <row r="616" spans="1:19" x14ac:dyDescent="0.3">
      <c r="A616">
        <v>32666</v>
      </c>
      <c r="B616" t="s">
        <v>28</v>
      </c>
      <c r="C616" t="s">
        <v>15</v>
      </c>
      <c r="D616" t="s">
        <v>16</v>
      </c>
      <c r="E616" t="s">
        <v>46</v>
      </c>
      <c r="F616" s="6" t="str">
        <f t="shared" si="9"/>
        <v>6ML</v>
      </c>
      <c r="G616" s="11">
        <v>46132</v>
      </c>
      <c r="H616" s="12">
        <v>0.52222222222222225</v>
      </c>
      <c r="I616" s="11">
        <v>46132</v>
      </c>
      <c r="J616" s="1">
        <v>46132</v>
      </c>
      <c r="K616" s="1">
        <v>46132</v>
      </c>
      <c r="L616" t="s">
        <v>76</v>
      </c>
      <c r="M616" t="s">
        <v>127</v>
      </c>
      <c r="N616" t="s">
        <v>17</v>
      </c>
      <c r="O616" t="s">
        <v>24</v>
      </c>
      <c r="P616">
        <v>27792</v>
      </c>
      <c r="Q616" t="s">
        <v>19</v>
      </c>
      <c r="R616">
        <v>40203</v>
      </c>
      <c r="S616" t="str">
        <f>VLOOKUP(L616&amp;TEXT(I616,"mmmm")&amp;YEAR(I616),'[1]Detalle C-Fecha'!$D$2:$E$15921,2,FALSE)</f>
        <v>CENCOMLD - Cencosud SA - Mendoza</v>
      </c>
    </row>
    <row r="617" spans="1:19" x14ac:dyDescent="0.3">
      <c r="A617">
        <v>32682</v>
      </c>
      <c r="B617" t="s">
        <v>28</v>
      </c>
      <c r="C617" t="s">
        <v>15</v>
      </c>
      <c r="D617" t="s">
        <v>16</v>
      </c>
      <c r="E617" t="s">
        <v>51</v>
      </c>
      <c r="F617" s="6" t="str">
        <f t="shared" si="9"/>
        <v>2MC</v>
      </c>
      <c r="G617" s="11">
        <v>46132</v>
      </c>
      <c r="H617" s="12">
        <v>0.70347222222222217</v>
      </c>
      <c r="I617" s="11">
        <v>46132</v>
      </c>
      <c r="J617" s="1">
        <v>46132</v>
      </c>
      <c r="K617" s="1">
        <v>46132</v>
      </c>
      <c r="L617" t="s">
        <v>197</v>
      </c>
      <c r="M617">
        <v>1620</v>
      </c>
      <c r="N617" t="s">
        <v>21</v>
      </c>
      <c r="O617" t="s">
        <v>18</v>
      </c>
      <c r="P617">
        <v>27807</v>
      </c>
      <c r="Q617" t="s">
        <v>19</v>
      </c>
      <c r="R617">
        <v>40081</v>
      </c>
      <c r="S617" t="str">
        <f>VLOOKUP(L617&amp;TEXT(I617,"mmmm")&amp;YEAR(I617),'[1]Detalle C-Fecha'!$D$2:$E$15921,2,FALSE)</f>
        <v>AGN_TTE - AGUANORT - Transporte</v>
      </c>
    </row>
    <row r="618" spans="1:19" x14ac:dyDescent="0.3">
      <c r="A618">
        <v>32682</v>
      </c>
      <c r="B618" t="s">
        <v>28</v>
      </c>
      <c r="C618" t="s">
        <v>15</v>
      </c>
      <c r="D618" t="s">
        <v>16</v>
      </c>
      <c r="E618" t="s">
        <v>51</v>
      </c>
      <c r="F618" s="6" t="str">
        <f t="shared" si="9"/>
        <v>2MC</v>
      </c>
      <c r="G618" s="11">
        <v>46132</v>
      </c>
      <c r="H618" s="12">
        <v>0.70347222222222217</v>
      </c>
      <c r="I618" s="11">
        <v>46132</v>
      </c>
      <c r="J618" s="1">
        <v>46132</v>
      </c>
      <c r="K618" s="1">
        <v>46132</v>
      </c>
      <c r="L618" t="s">
        <v>197</v>
      </c>
      <c r="M618">
        <v>1620</v>
      </c>
      <c r="N618" t="s">
        <v>21</v>
      </c>
      <c r="O618" t="s">
        <v>18</v>
      </c>
      <c r="P618">
        <v>27807</v>
      </c>
      <c r="Q618" t="s">
        <v>19</v>
      </c>
      <c r="R618">
        <v>40320</v>
      </c>
      <c r="S618" t="str">
        <f>VLOOKUP(L618&amp;TEXT(I618,"mmmm")&amp;YEAR(I618),'[1]Detalle C-Fecha'!$D$2:$E$15921,2,FALSE)</f>
        <v>AGN_TTE - AGUANORT - Transporte</v>
      </c>
    </row>
    <row r="619" spans="1:19" x14ac:dyDescent="0.3">
      <c r="A619">
        <v>32683</v>
      </c>
      <c r="B619" t="s">
        <v>28</v>
      </c>
      <c r="C619" t="s">
        <v>15</v>
      </c>
      <c r="D619" t="s">
        <v>16</v>
      </c>
      <c r="E619" t="s">
        <v>53</v>
      </c>
      <c r="F619" s="6" t="str">
        <f t="shared" si="9"/>
        <v>3MC</v>
      </c>
      <c r="G619" s="11">
        <v>46132</v>
      </c>
      <c r="H619" s="12">
        <v>0.70347222222222217</v>
      </c>
      <c r="I619" s="11">
        <v>46132</v>
      </c>
      <c r="J619" s="1">
        <v>46132</v>
      </c>
      <c r="K619" s="1">
        <v>46132</v>
      </c>
      <c r="L619" t="s">
        <v>197</v>
      </c>
      <c r="M619">
        <v>1620</v>
      </c>
      <c r="N619" t="s">
        <v>21</v>
      </c>
      <c r="O619" t="s">
        <v>18</v>
      </c>
      <c r="P619">
        <v>27808</v>
      </c>
      <c r="Q619" t="s">
        <v>19</v>
      </c>
      <c r="R619">
        <v>40082</v>
      </c>
      <c r="S619" t="str">
        <f>VLOOKUP(L619&amp;TEXT(I619,"mmmm")&amp;YEAR(I619),'[1]Detalle C-Fecha'!$D$2:$E$15921,2,FALSE)</f>
        <v>AGN_TTE - AGUANORT - Transporte</v>
      </c>
    </row>
    <row r="620" spans="1:19" x14ac:dyDescent="0.3">
      <c r="A620">
        <v>32683</v>
      </c>
      <c r="B620" t="s">
        <v>28</v>
      </c>
      <c r="C620" t="s">
        <v>15</v>
      </c>
      <c r="D620" t="s">
        <v>16</v>
      </c>
      <c r="E620" t="s">
        <v>53</v>
      </c>
      <c r="F620" s="6" t="str">
        <f t="shared" si="9"/>
        <v>3MC</v>
      </c>
      <c r="G620" s="11">
        <v>46132</v>
      </c>
      <c r="H620" s="12">
        <v>0.70347222222222217</v>
      </c>
      <c r="I620" s="11">
        <v>46132</v>
      </c>
      <c r="J620" s="1">
        <v>46132</v>
      </c>
      <c r="K620" s="1">
        <v>46132</v>
      </c>
      <c r="L620" t="s">
        <v>197</v>
      </c>
      <c r="M620">
        <v>1620</v>
      </c>
      <c r="N620" t="s">
        <v>21</v>
      </c>
      <c r="O620" t="s">
        <v>18</v>
      </c>
      <c r="P620">
        <v>27808</v>
      </c>
      <c r="Q620" t="s">
        <v>19</v>
      </c>
      <c r="R620">
        <v>40320</v>
      </c>
      <c r="S620" t="str">
        <f>VLOOKUP(L620&amp;TEXT(I620,"mmmm")&amp;YEAR(I620),'[1]Detalle C-Fecha'!$D$2:$E$15921,2,FALSE)</f>
        <v>AGN_TTE - AGUANORT - Transporte</v>
      </c>
    </row>
    <row r="621" spans="1:19" x14ac:dyDescent="0.3">
      <c r="A621">
        <v>32767</v>
      </c>
      <c r="B621" t="s">
        <v>28</v>
      </c>
      <c r="C621" t="s">
        <v>15</v>
      </c>
      <c r="D621" t="s">
        <v>16</v>
      </c>
      <c r="E621" t="s">
        <v>111</v>
      </c>
      <c r="F621" s="6" t="str">
        <f t="shared" si="9"/>
        <v>6MC</v>
      </c>
      <c r="G621" s="11">
        <v>46133</v>
      </c>
      <c r="H621" s="12">
        <v>0.6381944444444444</v>
      </c>
      <c r="I621" s="11">
        <v>46132</v>
      </c>
      <c r="J621" s="1">
        <v>46132</v>
      </c>
      <c r="K621" s="1">
        <v>46132</v>
      </c>
      <c r="L621" t="s">
        <v>197</v>
      </c>
      <c r="M621">
        <v>1620</v>
      </c>
      <c r="N621" t="s">
        <v>21</v>
      </c>
      <c r="O621" t="s">
        <v>18</v>
      </c>
      <c r="P621">
        <v>27852</v>
      </c>
      <c r="Q621" t="s">
        <v>19</v>
      </c>
      <c r="R621">
        <v>40083</v>
      </c>
      <c r="S621" t="str">
        <f>VLOOKUP(L621&amp;TEXT(I621,"mmmm")&amp;YEAR(I621),'[1]Detalle C-Fecha'!$D$2:$E$15921,2,FALSE)</f>
        <v>AGN_TTE - AGUANORT - Transporte</v>
      </c>
    </row>
    <row r="622" spans="1:19" x14ac:dyDescent="0.3">
      <c r="A622">
        <v>32767</v>
      </c>
      <c r="B622" t="s">
        <v>28</v>
      </c>
      <c r="C622" t="s">
        <v>15</v>
      </c>
      <c r="D622" t="s">
        <v>16</v>
      </c>
      <c r="E622" t="s">
        <v>111</v>
      </c>
      <c r="F622" s="6" t="str">
        <f t="shared" si="9"/>
        <v>6MC</v>
      </c>
      <c r="G622" s="11">
        <v>46133</v>
      </c>
      <c r="H622" s="12">
        <v>0.6381944444444444</v>
      </c>
      <c r="I622" s="11">
        <v>46132</v>
      </c>
      <c r="J622" s="1">
        <v>46132</v>
      </c>
      <c r="K622" s="1">
        <v>46132</v>
      </c>
      <c r="L622" t="s">
        <v>197</v>
      </c>
      <c r="M622">
        <v>1620</v>
      </c>
      <c r="N622" t="s">
        <v>21</v>
      </c>
      <c r="O622" t="s">
        <v>18</v>
      </c>
      <c r="P622">
        <v>27852</v>
      </c>
      <c r="Q622" t="s">
        <v>19</v>
      </c>
      <c r="R622">
        <v>40320</v>
      </c>
      <c r="S622" t="str">
        <f>VLOOKUP(L622&amp;TEXT(I622,"mmmm")&amp;YEAR(I622),'[1]Detalle C-Fecha'!$D$2:$E$15921,2,FALSE)</f>
        <v>AGN_TTE - AGUANORT - Transporte</v>
      </c>
    </row>
    <row r="623" spans="1:19" x14ac:dyDescent="0.3">
      <c r="A623">
        <v>32775</v>
      </c>
      <c r="B623" t="s">
        <v>28</v>
      </c>
      <c r="C623" t="s">
        <v>15</v>
      </c>
      <c r="D623" t="s">
        <v>16</v>
      </c>
      <c r="E623" t="s">
        <v>51</v>
      </c>
      <c r="F623" s="6" t="str">
        <f t="shared" si="9"/>
        <v>2MC</v>
      </c>
      <c r="G623" s="11">
        <v>46133</v>
      </c>
      <c r="H623" s="12">
        <v>0.68611111111111101</v>
      </c>
      <c r="I623" s="11">
        <v>46133</v>
      </c>
      <c r="J623" s="1">
        <v>46133</v>
      </c>
      <c r="K623" s="1">
        <v>46133</v>
      </c>
      <c r="L623" t="s">
        <v>198</v>
      </c>
      <c r="M623">
        <v>1318</v>
      </c>
      <c r="N623" t="s">
        <v>21</v>
      </c>
      <c r="O623" t="s">
        <v>27</v>
      </c>
      <c r="P623">
        <v>27859</v>
      </c>
      <c r="Q623" t="s">
        <v>19</v>
      </c>
      <c r="R623">
        <v>40084</v>
      </c>
      <c r="S623" t="str">
        <f>VLOOKUP(L623&amp;TEXT(I623,"mmmm")&amp;YEAR(I623),'[1]Detalle C-Fecha'!$D$2:$E$15921,2,FALSE)</f>
        <v>Papelera - Papelera del Plata S.A.</v>
      </c>
    </row>
    <row r="624" spans="1:19" x14ac:dyDescent="0.3">
      <c r="A624">
        <v>32775</v>
      </c>
      <c r="B624" t="s">
        <v>28</v>
      </c>
      <c r="C624" t="s">
        <v>15</v>
      </c>
      <c r="D624" t="s">
        <v>16</v>
      </c>
      <c r="E624" t="s">
        <v>51</v>
      </c>
      <c r="F624" s="6" t="str">
        <f t="shared" si="9"/>
        <v>2MC</v>
      </c>
      <c r="G624" s="11">
        <v>46133</v>
      </c>
      <c r="H624" s="12">
        <v>0.68611111111111101</v>
      </c>
      <c r="I624" s="11">
        <v>46133</v>
      </c>
      <c r="J624" s="1">
        <v>46133</v>
      </c>
      <c r="K624" s="1">
        <v>46133</v>
      </c>
      <c r="L624" t="s">
        <v>198</v>
      </c>
      <c r="M624">
        <v>1318</v>
      </c>
      <c r="N624" t="s">
        <v>21</v>
      </c>
      <c r="O624" t="s">
        <v>27</v>
      </c>
      <c r="P624">
        <v>27859</v>
      </c>
      <c r="Q624" t="s">
        <v>19</v>
      </c>
      <c r="R624">
        <v>40324</v>
      </c>
      <c r="S624" t="str">
        <f>VLOOKUP(L624&amp;TEXT(I624,"mmmm")&amp;YEAR(I624),'[1]Detalle C-Fecha'!$D$2:$E$15921,2,FALSE)</f>
        <v>Papelera - Papelera del Plata S.A.</v>
      </c>
    </row>
    <row r="625" spans="1:19" x14ac:dyDescent="0.3">
      <c r="A625">
        <v>32776</v>
      </c>
      <c r="B625" t="s">
        <v>28</v>
      </c>
      <c r="C625" t="s">
        <v>15</v>
      </c>
      <c r="D625" t="s">
        <v>16</v>
      </c>
      <c r="E625" t="s">
        <v>53</v>
      </c>
      <c r="F625" s="6" t="str">
        <f t="shared" si="9"/>
        <v>3MC</v>
      </c>
      <c r="G625" s="11">
        <v>46133</v>
      </c>
      <c r="H625" s="12">
        <v>0.68611111111111101</v>
      </c>
      <c r="I625" s="11">
        <v>46133</v>
      </c>
      <c r="J625" s="1">
        <v>46133</v>
      </c>
      <c r="K625" s="1">
        <v>46133</v>
      </c>
      <c r="L625" t="s">
        <v>198</v>
      </c>
      <c r="M625">
        <v>1318</v>
      </c>
      <c r="N625" t="s">
        <v>21</v>
      </c>
      <c r="O625" t="s">
        <v>27</v>
      </c>
      <c r="P625">
        <v>27860</v>
      </c>
      <c r="Q625" t="s">
        <v>19</v>
      </c>
      <c r="R625">
        <v>40085</v>
      </c>
      <c r="S625" t="str">
        <f>VLOOKUP(L625&amp;TEXT(I625,"mmmm")&amp;YEAR(I625),'[1]Detalle C-Fecha'!$D$2:$E$15921,2,FALSE)</f>
        <v>Papelera - Papelera del Plata S.A.</v>
      </c>
    </row>
    <row r="626" spans="1:19" x14ac:dyDescent="0.3">
      <c r="A626">
        <v>32776</v>
      </c>
      <c r="B626" t="s">
        <v>28</v>
      </c>
      <c r="C626" t="s">
        <v>15</v>
      </c>
      <c r="D626" t="s">
        <v>16</v>
      </c>
      <c r="E626" t="s">
        <v>53</v>
      </c>
      <c r="F626" s="6" t="str">
        <f t="shared" si="9"/>
        <v>3MC</v>
      </c>
      <c r="G626" s="11">
        <v>46133</v>
      </c>
      <c r="H626" s="12">
        <v>0.68611111111111101</v>
      </c>
      <c r="I626" s="11">
        <v>46133</v>
      </c>
      <c r="J626" s="1">
        <v>46133</v>
      </c>
      <c r="K626" s="1">
        <v>46133</v>
      </c>
      <c r="L626" t="s">
        <v>198</v>
      </c>
      <c r="M626">
        <v>1318</v>
      </c>
      <c r="N626" t="s">
        <v>21</v>
      </c>
      <c r="O626" t="s">
        <v>27</v>
      </c>
      <c r="P626">
        <v>27860</v>
      </c>
      <c r="Q626" t="s">
        <v>19</v>
      </c>
      <c r="R626">
        <v>40324</v>
      </c>
      <c r="S626" t="str">
        <f>VLOOKUP(L626&amp;TEXT(I626,"mmmm")&amp;YEAR(I626),'[1]Detalle C-Fecha'!$D$2:$E$15921,2,FALSE)</f>
        <v>Papelera - Papelera del Plata S.A.</v>
      </c>
    </row>
    <row r="627" spans="1:19" x14ac:dyDescent="0.3">
      <c r="A627">
        <v>32777</v>
      </c>
      <c r="B627" t="s">
        <v>28</v>
      </c>
      <c r="C627" t="s">
        <v>15</v>
      </c>
      <c r="D627" t="s">
        <v>16</v>
      </c>
      <c r="E627" t="s">
        <v>52</v>
      </c>
      <c r="F627" s="6" t="str">
        <f t="shared" si="9"/>
        <v>6MC</v>
      </c>
      <c r="G627" s="11">
        <v>46133</v>
      </c>
      <c r="H627" s="12">
        <v>0.68611111111111101</v>
      </c>
      <c r="I627" s="11">
        <v>46133</v>
      </c>
      <c r="J627" s="1">
        <v>46133</v>
      </c>
      <c r="K627" s="1">
        <v>46133</v>
      </c>
      <c r="L627" t="s">
        <v>198</v>
      </c>
      <c r="M627">
        <v>1318</v>
      </c>
      <c r="N627" t="s">
        <v>21</v>
      </c>
      <c r="O627" t="s">
        <v>27</v>
      </c>
      <c r="P627">
        <v>27861</v>
      </c>
      <c r="Q627" t="s">
        <v>19</v>
      </c>
      <c r="R627">
        <v>40086</v>
      </c>
      <c r="S627" t="str">
        <f>VLOOKUP(L627&amp;TEXT(I627,"mmmm")&amp;YEAR(I627),'[1]Detalle C-Fecha'!$D$2:$E$15921,2,FALSE)</f>
        <v>Papelera - Papelera del Plata S.A.</v>
      </c>
    </row>
    <row r="628" spans="1:19" x14ac:dyDescent="0.3">
      <c r="A628">
        <v>32777</v>
      </c>
      <c r="B628" t="s">
        <v>28</v>
      </c>
      <c r="C628" t="s">
        <v>15</v>
      </c>
      <c r="D628" t="s">
        <v>16</v>
      </c>
      <c r="E628" t="s">
        <v>52</v>
      </c>
      <c r="F628" s="6" t="str">
        <f t="shared" si="9"/>
        <v>6MC</v>
      </c>
      <c r="G628" s="11">
        <v>46133</v>
      </c>
      <c r="H628" s="12">
        <v>0.68611111111111101</v>
      </c>
      <c r="I628" s="11">
        <v>46133</v>
      </c>
      <c r="J628" s="1">
        <v>46133</v>
      </c>
      <c r="K628" s="1">
        <v>46133</v>
      </c>
      <c r="L628" t="s">
        <v>198</v>
      </c>
      <c r="M628">
        <v>1318</v>
      </c>
      <c r="N628" t="s">
        <v>21</v>
      </c>
      <c r="O628" t="s">
        <v>27</v>
      </c>
      <c r="P628">
        <v>27861</v>
      </c>
      <c r="Q628" t="s">
        <v>19</v>
      </c>
      <c r="R628">
        <v>40324</v>
      </c>
      <c r="S628" t="str">
        <f>VLOOKUP(L628&amp;TEXT(I628,"mmmm")&amp;YEAR(I628),'[1]Detalle C-Fecha'!$D$2:$E$15921,2,FALSE)</f>
        <v>Papelera - Papelera del Plata S.A.</v>
      </c>
    </row>
    <row r="629" spans="1:19" x14ac:dyDescent="0.3">
      <c r="A629">
        <v>32797</v>
      </c>
      <c r="B629" t="s">
        <v>28</v>
      </c>
      <c r="C629" t="s">
        <v>15</v>
      </c>
      <c r="D629" t="s">
        <v>16</v>
      </c>
      <c r="E629" t="s">
        <v>51</v>
      </c>
      <c r="F629" s="6" t="str">
        <f t="shared" si="9"/>
        <v>2MC</v>
      </c>
      <c r="G629" s="11">
        <v>46134</v>
      </c>
      <c r="H629" s="12">
        <v>0.64652777777777781</v>
      </c>
      <c r="I629" s="11">
        <v>46134</v>
      </c>
      <c r="J629" s="1">
        <v>46134</v>
      </c>
      <c r="K629" s="1">
        <v>46134</v>
      </c>
      <c r="L629" t="s">
        <v>199</v>
      </c>
      <c r="M629">
        <v>1318</v>
      </c>
      <c r="N629" t="s">
        <v>31</v>
      </c>
      <c r="O629" t="s">
        <v>24</v>
      </c>
      <c r="P629">
        <v>27692</v>
      </c>
      <c r="Q629" t="s">
        <v>19</v>
      </c>
      <c r="R629">
        <v>40542</v>
      </c>
      <c r="S629" t="str">
        <f>VLOOKUP(L629&amp;TEXT(I629,"mmmm")&amp;YEAR(I629),'[1]Detalle C-Fecha'!$D$2:$E$15921,2,FALSE)</f>
        <v>SUC_SRA - Sucursal San Rafael</v>
      </c>
    </row>
    <row r="630" spans="1:19" x14ac:dyDescent="0.3">
      <c r="A630">
        <v>32797</v>
      </c>
      <c r="B630" t="s">
        <v>28</v>
      </c>
      <c r="C630" t="s">
        <v>15</v>
      </c>
      <c r="D630" t="s">
        <v>16</v>
      </c>
      <c r="E630" t="s">
        <v>51</v>
      </c>
      <c r="F630" s="6" t="str">
        <f t="shared" si="9"/>
        <v>2MC</v>
      </c>
      <c r="G630" s="11">
        <v>46134</v>
      </c>
      <c r="H630" s="12">
        <v>0.64652777777777781</v>
      </c>
      <c r="I630" s="11">
        <v>46134</v>
      </c>
      <c r="J630" s="1">
        <v>46134</v>
      </c>
      <c r="K630" s="1">
        <v>46134</v>
      </c>
      <c r="L630" t="s">
        <v>199</v>
      </c>
      <c r="M630">
        <v>1318</v>
      </c>
      <c r="N630" t="s">
        <v>31</v>
      </c>
      <c r="O630" t="s">
        <v>24</v>
      </c>
      <c r="P630">
        <v>27692</v>
      </c>
      <c r="Q630" t="s">
        <v>19</v>
      </c>
      <c r="R630">
        <v>40543</v>
      </c>
      <c r="S630" t="str">
        <f>VLOOKUP(L630&amp;TEXT(I630,"mmmm")&amp;YEAR(I630),'[1]Detalle C-Fecha'!$D$2:$E$15921,2,FALSE)</f>
        <v>SUC_SRA - Sucursal San Rafael</v>
      </c>
    </row>
    <row r="631" spans="1:19" x14ac:dyDescent="0.3">
      <c r="A631">
        <v>32798</v>
      </c>
      <c r="B631" t="s">
        <v>28</v>
      </c>
      <c r="C631" t="s">
        <v>15</v>
      </c>
      <c r="D631" t="s">
        <v>16</v>
      </c>
      <c r="E631" t="s">
        <v>53</v>
      </c>
      <c r="F631" s="6" t="str">
        <f t="shared" si="9"/>
        <v>3MC</v>
      </c>
      <c r="G631" s="11">
        <v>46134</v>
      </c>
      <c r="H631" s="12">
        <v>0.64652777777777781</v>
      </c>
      <c r="I631" s="11">
        <v>46134</v>
      </c>
      <c r="J631" s="1">
        <v>46134</v>
      </c>
      <c r="K631" s="1">
        <v>46134</v>
      </c>
      <c r="L631" t="s">
        <v>199</v>
      </c>
      <c r="M631">
        <v>1318</v>
      </c>
      <c r="N631" t="s">
        <v>31</v>
      </c>
      <c r="O631" t="s">
        <v>24</v>
      </c>
      <c r="P631">
        <v>27693</v>
      </c>
      <c r="Q631" t="s">
        <v>19</v>
      </c>
      <c r="R631">
        <v>40544</v>
      </c>
      <c r="S631" t="str">
        <f>VLOOKUP(L631&amp;TEXT(I631,"mmmm")&amp;YEAR(I631),'[1]Detalle C-Fecha'!$D$2:$E$15921,2,FALSE)</f>
        <v>SUC_SRA - Sucursal San Rafael</v>
      </c>
    </row>
    <row r="632" spans="1:19" x14ac:dyDescent="0.3">
      <c r="A632">
        <v>32798</v>
      </c>
      <c r="B632" t="s">
        <v>28</v>
      </c>
      <c r="C632" t="s">
        <v>15</v>
      </c>
      <c r="D632" t="s">
        <v>16</v>
      </c>
      <c r="E632" t="s">
        <v>53</v>
      </c>
      <c r="F632" s="6" t="str">
        <f t="shared" si="9"/>
        <v>3MC</v>
      </c>
      <c r="G632" s="11">
        <v>46134</v>
      </c>
      <c r="H632" s="12">
        <v>0.64652777777777781</v>
      </c>
      <c r="I632" s="11">
        <v>46134</v>
      </c>
      <c r="J632" s="1">
        <v>46134</v>
      </c>
      <c r="K632" s="1">
        <v>46134</v>
      </c>
      <c r="L632" t="s">
        <v>199</v>
      </c>
      <c r="M632">
        <v>1318</v>
      </c>
      <c r="N632" t="s">
        <v>31</v>
      </c>
      <c r="O632" t="s">
        <v>24</v>
      </c>
      <c r="P632">
        <v>27693</v>
      </c>
      <c r="Q632" t="s">
        <v>19</v>
      </c>
      <c r="R632">
        <v>40545</v>
      </c>
      <c r="S632" t="str">
        <f>VLOOKUP(L632&amp;TEXT(I632,"mmmm")&amp;YEAR(I632),'[1]Detalle C-Fecha'!$D$2:$E$15921,2,FALSE)</f>
        <v>SUC_SRA - Sucursal San Rafael</v>
      </c>
    </row>
    <row r="633" spans="1:19" x14ac:dyDescent="0.3">
      <c r="A633">
        <v>32799</v>
      </c>
      <c r="B633" t="s">
        <v>28</v>
      </c>
      <c r="C633" t="s">
        <v>15</v>
      </c>
      <c r="D633" t="s">
        <v>16</v>
      </c>
      <c r="E633" t="s">
        <v>143</v>
      </c>
      <c r="F633" s="6" t="str">
        <f t="shared" si="9"/>
        <v>7MC</v>
      </c>
      <c r="G633" s="11">
        <v>46134</v>
      </c>
      <c r="H633" s="12">
        <v>0.64652777777777781</v>
      </c>
      <c r="I633" s="11">
        <v>46134</v>
      </c>
      <c r="J633" s="1">
        <v>46134</v>
      </c>
      <c r="K633" s="1">
        <v>46134</v>
      </c>
      <c r="L633" t="s">
        <v>199</v>
      </c>
      <c r="M633">
        <v>1318</v>
      </c>
      <c r="N633" t="s">
        <v>31</v>
      </c>
      <c r="O633" t="s">
        <v>24</v>
      </c>
      <c r="P633">
        <v>27694</v>
      </c>
      <c r="Q633" t="s">
        <v>19</v>
      </c>
      <c r="R633">
        <v>40546</v>
      </c>
      <c r="S633" t="str">
        <f>VLOOKUP(L633&amp;TEXT(I633,"mmmm")&amp;YEAR(I633),'[1]Detalle C-Fecha'!$D$2:$E$15921,2,FALSE)</f>
        <v>SUC_SRA - Sucursal San Rafael</v>
      </c>
    </row>
    <row r="634" spans="1:19" x14ac:dyDescent="0.3">
      <c r="A634">
        <v>32799</v>
      </c>
      <c r="B634" t="s">
        <v>28</v>
      </c>
      <c r="C634" t="s">
        <v>15</v>
      </c>
      <c r="D634" t="s">
        <v>16</v>
      </c>
      <c r="E634" t="s">
        <v>143</v>
      </c>
      <c r="F634" s="6" t="str">
        <f t="shared" si="9"/>
        <v>7MC</v>
      </c>
      <c r="G634" s="11">
        <v>46134</v>
      </c>
      <c r="H634" s="12">
        <v>0.64652777777777781</v>
      </c>
      <c r="I634" s="11">
        <v>46134</v>
      </c>
      <c r="J634" s="1">
        <v>46134</v>
      </c>
      <c r="K634" s="1">
        <v>46134</v>
      </c>
      <c r="L634" t="s">
        <v>199</v>
      </c>
      <c r="M634">
        <v>1318</v>
      </c>
      <c r="N634" t="s">
        <v>31</v>
      </c>
      <c r="O634" t="s">
        <v>24</v>
      </c>
      <c r="P634">
        <v>27694</v>
      </c>
      <c r="Q634" t="s">
        <v>19</v>
      </c>
      <c r="R634">
        <v>40547</v>
      </c>
      <c r="S634" t="str">
        <f>VLOOKUP(L634&amp;TEXT(I634,"mmmm")&amp;YEAR(I634),'[1]Detalle C-Fecha'!$D$2:$E$15921,2,FALSE)</f>
        <v>SUC_SRA - Sucursal San Rafael</v>
      </c>
    </row>
    <row r="635" spans="1:19" x14ac:dyDescent="0.3">
      <c r="A635">
        <v>32800</v>
      </c>
      <c r="B635" t="s">
        <v>28</v>
      </c>
      <c r="C635" t="s">
        <v>15</v>
      </c>
      <c r="D635" t="s">
        <v>16</v>
      </c>
      <c r="E635" t="s">
        <v>52</v>
      </c>
      <c r="F635" s="6" t="str">
        <f t="shared" si="9"/>
        <v>6MC</v>
      </c>
      <c r="G635" s="11">
        <v>46134</v>
      </c>
      <c r="H635" s="12">
        <v>0.64652777777777781</v>
      </c>
      <c r="I635" s="11">
        <v>46134</v>
      </c>
      <c r="J635" s="1">
        <v>46134</v>
      </c>
      <c r="K635" s="1">
        <v>46134</v>
      </c>
      <c r="L635" t="s">
        <v>199</v>
      </c>
      <c r="M635">
        <v>1318</v>
      </c>
      <c r="N635" t="s">
        <v>31</v>
      </c>
      <c r="O635" t="s">
        <v>24</v>
      </c>
      <c r="P635">
        <v>27695</v>
      </c>
      <c r="Q635" t="s">
        <v>19</v>
      </c>
      <c r="R635">
        <v>40548</v>
      </c>
      <c r="S635" t="str">
        <f>VLOOKUP(L635&amp;TEXT(I635,"mmmm")&amp;YEAR(I635),'[1]Detalle C-Fecha'!$D$2:$E$15921,2,FALSE)</f>
        <v>SUC_SRA - Sucursal San Rafael</v>
      </c>
    </row>
    <row r="636" spans="1:19" x14ac:dyDescent="0.3">
      <c r="A636">
        <v>32800</v>
      </c>
      <c r="B636" t="s">
        <v>28</v>
      </c>
      <c r="C636" t="s">
        <v>15</v>
      </c>
      <c r="D636" t="s">
        <v>16</v>
      </c>
      <c r="E636" t="s">
        <v>52</v>
      </c>
      <c r="F636" s="6" t="str">
        <f t="shared" si="9"/>
        <v>6MC</v>
      </c>
      <c r="G636" s="11">
        <v>46134</v>
      </c>
      <c r="H636" s="12">
        <v>0.64652777777777781</v>
      </c>
      <c r="I636" s="11">
        <v>46134</v>
      </c>
      <c r="J636" s="1">
        <v>46134</v>
      </c>
      <c r="K636" s="1">
        <v>46134</v>
      </c>
      <c r="L636" t="s">
        <v>199</v>
      </c>
      <c r="M636">
        <v>1318</v>
      </c>
      <c r="N636" t="s">
        <v>31</v>
      </c>
      <c r="O636" t="s">
        <v>24</v>
      </c>
      <c r="P636">
        <v>27695</v>
      </c>
      <c r="Q636" t="s">
        <v>19</v>
      </c>
      <c r="R636">
        <v>40549</v>
      </c>
      <c r="S636" t="str">
        <f>VLOOKUP(L636&amp;TEXT(I636,"mmmm")&amp;YEAR(I636),'[1]Detalle C-Fecha'!$D$2:$E$15921,2,FALSE)</f>
        <v>SUC_SRA - Sucursal San Rafael</v>
      </c>
    </row>
    <row r="637" spans="1:19" x14ac:dyDescent="0.3">
      <c r="A637">
        <v>32802</v>
      </c>
      <c r="B637" t="s">
        <v>28</v>
      </c>
      <c r="C637" t="s">
        <v>15</v>
      </c>
      <c r="D637" t="s">
        <v>16</v>
      </c>
      <c r="E637" t="s">
        <v>51</v>
      </c>
      <c r="F637" s="6" t="str">
        <f t="shared" si="9"/>
        <v>2MC</v>
      </c>
      <c r="G637" s="11">
        <v>46134</v>
      </c>
      <c r="H637" s="12">
        <v>0.76111111111111107</v>
      </c>
      <c r="I637" s="11">
        <v>46134</v>
      </c>
      <c r="J637" s="1">
        <v>46134</v>
      </c>
      <c r="K637" s="1">
        <v>46134</v>
      </c>
      <c r="L637" t="s">
        <v>201</v>
      </c>
      <c r="M637" t="s">
        <v>130</v>
      </c>
      <c r="N637" t="s">
        <v>21</v>
      </c>
      <c r="O637" t="s">
        <v>24</v>
      </c>
      <c r="P637">
        <v>27883</v>
      </c>
      <c r="Q637" t="s">
        <v>19</v>
      </c>
      <c r="R637">
        <v>40088</v>
      </c>
      <c r="S637" t="str">
        <f>VLOOKUP(L637&amp;TEXT(I637,"mmmm")&amp;YEAR(I637),'[1]Detalle C-Fecha'!$D$2:$E$15921,2,FALSE)</f>
        <v>CCUDyAZA</v>
      </c>
    </row>
    <row r="638" spans="1:19" x14ac:dyDescent="0.3">
      <c r="A638">
        <v>32802</v>
      </c>
      <c r="B638" t="s">
        <v>28</v>
      </c>
      <c r="C638" t="s">
        <v>15</v>
      </c>
      <c r="D638" t="s">
        <v>16</v>
      </c>
      <c r="E638" t="s">
        <v>51</v>
      </c>
      <c r="F638" s="6" t="str">
        <f t="shared" si="9"/>
        <v>2MC</v>
      </c>
      <c r="G638" s="11">
        <v>46134</v>
      </c>
      <c r="H638" s="12">
        <v>0.76111111111111107</v>
      </c>
      <c r="I638" s="11">
        <v>46134</v>
      </c>
      <c r="J638" s="1">
        <v>46134</v>
      </c>
      <c r="K638" s="1">
        <v>46134</v>
      </c>
      <c r="L638" t="s">
        <v>201</v>
      </c>
      <c r="M638" t="s">
        <v>130</v>
      </c>
      <c r="N638" t="s">
        <v>21</v>
      </c>
      <c r="O638" t="s">
        <v>24</v>
      </c>
      <c r="P638">
        <v>27883</v>
      </c>
      <c r="Q638" t="s">
        <v>19</v>
      </c>
      <c r="R638">
        <v>40321</v>
      </c>
      <c r="S638" t="str">
        <f>VLOOKUP(L638&amp;TEXT(I638,"mmmm")&amp;YEAR(I638),'[1]Detalle C-Fecha'!$D$2:$E$15921,2,FALSE)</f>
        <v>CCUDyAZA</v>
      </c>
    </row>
    <row r="639" spans="1:19" x14ac:dyDescent="0.3">
      <c r="A639">
        <v>32803</v>
      </c>
      <c r="B639" t="s">
        <v>28</v>
      </c>
      <c r="C639" t="s">
        <v>15</v>
      </c>
      <c r="D639" t="s">
        <v>16</v>
      </c>
      <c r="E639" t="s">
        <v>53</v>
      </c>
      <c r="F639" s="6" t="str">
        <f t="shared" si="9"/>
        <v>3MC</v>
      </c>
      <c r="G639" s="11">
        <v>46134</v>
      </c>
      <c r="H639" s="12">
        <v>0.76111111111111107</v>
      </c>
      <c r="I639" s="11">
        <v>46134</v>
      </c>
      <c r="J639" s="1">
        <v>46134</v>
      </c>
      <c r="K639" s="1">
        <v>46134</v>
      </c>
      <c r="L639" t="s">
        <v>201</v>
      </c>
      <c r="M639" t="s">
        <v>130</v>
      </c>
      <c r="N639" t="s">
        <v>21</v>
      </c>
      <c r="O639" t="s">
        <v>24</v>
      </c>
      <c r="P639">
        <v>27882</v>
      </c>
      <c r="Q639" t="s">
        <v>19</v>
      </c>
      <c r="R639">
        <v>40089</v>
      </c>
      <c r="S639" t="str">
        <f>VLOOKUP(L639&amp;TEXT(I639,"mmmm")&amp;YEAR(I639),'[1]Detalle C-Fecha'!$D$2:$E$15921,2,FALSE)</f>
        <v>CCUDyAZA</v>
      </c>
    </row>
    <row r="640" spans="1:19" x14ac:dyDescent="0.3">
      <c r="A640">
        <v>32803</v>
      </c>
      <c r="B640" t="s">
        <v>28</v>
      </c>
      <c r="C640" t="s">
        <v>15</v>
      </c>
      <c r="D640" t="s">
        <v>16</v>
      </c>
      <c r="E640" t="s">
        <v>53</v>
      </c>
      <c r="F640" s="6" t="str">
        <f t="shared" si="9"/>
        <v>3MC</v>
      </c>
      <c r="G640" s="11">
        <v>46134</v>
      </c>
      <c r="H640" s="12">
        <v>0.76111111111111107</v>
      </c>
      <c r="I640" s="11">
        <v>46134</v>
      </c>
      <c r="J640" s="1">
        <v>46134</v>
      </c>
      <c r="K640" s="1">
        <v>46134</v>
      </c>
      <c r="L640" t="s">
        <v>201</v>
      </c>
      <c r="M640" t="s">
        <v>130</v>
      </c>
      <c r="N640" t="s">
        <v>21</v>
      </c>
      <c r="O640" t="s">
        <v>24</v>
      </c>
      <c r="P640">
        <v>27882</v>
      </c>
      <c r="Q640" t="s">
        <v>19</v>
      </c>
      <c r="R640">
        <v>40321</v>
      </c>
      <c r="S640" t="str">
        <f>VLOOKUP(L640&amp;TEXT(I640,"mmmm")&amp;YEAR(I640),'[1]Detalle C-Fecha'!$D$2:$E$15921,2,FALSE)</f>
        <v>CCUDyAZA</v>
      </c>
    </row>
    <row r="641" spans="1:19" x14ac:dyDescent="0.3">
      <c r="A641">
        <v>32804</v>
      </c>
      <c r="B641" t="s">
        <v>28</v>
      </c>
      <c r="C641" t="s">
        <v>15</v>
      </c>
      <c r="D641" t="s">
        <v>16</v>
      </c>
      <c r="E641" t="s">
        <v>52</v>
      </c>
      <c r="F641" s="6" t="str">
        <f t="shared" ref="F641:F704" si="10">MID(E641,1,3)</f>
        <v>6MC</v>
      </c>
      <c r="G641" s="11">
        <v>46134</v>
      </c>
      <c r="H641" s="12">
        <v>0.76111111111111107</v>
      </c>
      <c r="I641" s="11">
        <v>46134</v>
      </c>
      <c r="J641" s="1">
        <v>46134</v>
      </c>
      <c r="K641" s="1">
        <v>46134</v>
      </c>
      <c r="L641" t="s">
        <v>201</v>
      </c>
      <c r="M641" t="s">
        <v>130</v>
      </c>
      <c r="N641" t="s">
        <v>21</v>
      </c>
      <c r="O641" t="s">
        <v>24</v>
      </c>
      <c r="P641">
        <v>27881</v>
      </c>
      <c r="Q641" t="s">
        <v>19</v>
      </c>
      <c r="R641">
        <v>40090</v>
      </c>
      <c r="S641" t="str">
        <f>VLOOKUP(L641&amp;TEXT(I641,"mmmm")&amp;YEAR(I641),'[1]Detalle C-Fecha'!$D$2:$E$15921,2,FALSE)</f>
        <v>CCUDyAZA</v>
      </c>
    </row>
    <row r="642" spans="1:19" x14ac:dyDescent="0.3">
      <c r="A642">
        <v>32804</v>
      </c>
      <c r="B642" t="s">
        <v>28</v>
      </c>
      <c r="C642" t="s">
        <v>15</v>
      </c>
      <c r="D642" t="s">
        <v>16</v>
      </c>
      <c r="E642" t="s">
        <v>52</v>
      </c>
      <c r="F642" s="6" t="str">
        <f t="shared" si="10"/>
        <v>6MC</v>
      </c>
      <c r="G642" s="11">
        <v>46134</v>
      </c>
      <c r="H642" s="12">
        <v>0.76111111111111107</v>
      </c>
      <c r="I642" s="11">
        <v>46134</v>
      </c>
      <c r="J642" s="1">
        <v>46134</v>
      </c>
      <c r="K642" s="1">
        <v>46134</v>
      </c>
      <c r="L642" t="s">
        <v>201</v>
      </c>
      <c r="M642" t="s">
        <v>130</v>
      </c>
      <c r="N642" t="s">
        <v>21</v>
      </c>
      <c r="O642" t="s">
        <v>24</v>
      </c>
      <c r="P642">
        <v>27881</v>
      </c>
      <c r="Q642" t="s">
        <v>19</v>
      </c>
      <c r="R642">
        <v>40321</v>
      </c>
      <c r="S642" t="str">
        <f>VLOOKUP(L642&amp;TEXT(I642,"mmmm")&amp;YEAR(I642),'[1]Detalle C-Fecha'!$D$2:$E$15921,2,FALSE)</f>
        <v>CCUDyAZA</v>
      </c>
    </row>
    <row r="643" spans="1:19" x14ac:dyDescent="0.3">
      <c r="A643">
        <v>32813</v>
      </c>
      <c r="B643" t="s">
        <v>28</v>
      </c>
      <c r="C643" t="s">
        <v>15</v>
      </c>
      <c r="D643" t="s">
        <v>16</v>
      </c>
      <c r="E643" t="s">
        <v>111</v>
      </c>
      <c r="F643" s="6" t="str">
        <f t="shared" si="10"/>
        <v>6MC</v>
      </c>
      <c r="G643" s="11">
        <v>46135</v>
      </c>
      <c r="H643" s="12">
        <v>0.2986111111111111</v>
      </c>
      <c r="I643" s="11">
        <v>46135</v>
      </c>
      <c r="J643" s="1">
        <v>46135</v>
      </c>
      <c r="K643" s="1">
        <v>46135</v>
      </c>
      <c r="L643" t="s">
        <v>202</v>
      </c>
      <c r="M643">
        <v>1624</v>
      </c>
      <c r="N643" t="s">
        <v>21</v>
      </c>
      <c r="O643" t="s">
        <v>27</v>
      </c>
      <c r="P643">
        <v>27895</v>
      </c>
      <c r="Q643" t="s">
        <v>19</v>
      </c>
      <c r="R643">
        <v>40091</v>
      </c>
      <c r="S643" t="str">
        <f>VLOOKUP(L643&amp;TEXT(I643,"mmmm")&amp;YEAR(I643),'[1]Detalle C-Fecha'!$D$2:$E$15921,2,FALSE)</f>
        <v>Unilever - Unilever de Arg. S.A.</v>
      </c>
    </row>
    <row r="644" spans="1:19" x14ac:dyDescent="0.3">
      <c r="A644">
        <v>32813</v>
      </c>
      <c r="B644" t="s">
        <v>28</v>
      </c>
      <c r="C644" t="s">
        <v>15</v>
      </c>
      <c r="D644" t="s">
        <v>16</v>
      </c>
      <c r="E644" t="s">
        <v>111</v>
      </c>
      <c r="F644" s="6" t="str">
        <f t="shared" si="10"/>
        <v>6MC</v>
      </c>
      <c r="G644" s="11">
        <v>46135</v>
      </c>
      <c r="H644" s="12">
        <v>0.2986111111111111</v>
      </c>
      <c r="I644" s="11">
        <v>46135</v>
      </c>
      <c r="J644" s="1">
        <v>46135</v>
      </c>
      <c r="K644" s="1">
        <v>46135</v>
      </c>
      <c r="L644" t="s">
        <v>202</v>
      </c>
      <c r="M644">
        <v>1624</v>
      </c>
      <c r="N644" t="s">
        <v>21</v>
      </c>
      <c r="O644" t="s">
        <v>27</v>
      </c>
      <c r="P644">
        <v>27895</v>
      </c>
      <c r="Q644" t="s">
        <v>19</v>
      </c>
      <c r="R644">
        <v>40324</v>
      </c>
      <c r="S644" t="str">
        <f>VLOOKUP(L644&amp;TEXT(I644,"mmmm")&amp;YEAR(I644),'[1]Detalle C-Fecha'!$D$2:$E$15921,2,FALSE)</f>
        <v>Unilever - Unilever de Arg. S.A.</v>
      </c>
    </row>
    <row r="645" spans="1:19" x14ac:dyDescent="0.3">
      <c r="A645">
        <v>32814</v>
      </c>
      <c r="B645" t="s">
        <v>28</v>
      </c>
      <c r="C645" t="s">
        <v>15</v>
      </c>
      <c r="D645" t="s">
        <v>16</v>
      </c>
      <c r="E645" t="s">
        <v>53</v>
      </c>
      <c r="F645" s="6" t="str">
        <f t="shared" si="10"/>
        <v>3MC</v>
      </c>
      <c r="G645" s="11">
        <v>46135</v>
      </c>
      <c r="H645" s="12">
        <v>0.2986111111111111</v>
      </c>
      <c r="I645" s="11">
        <v>46135</v>
      </c>
      <c r="J645" s="1">
        <v>46135</v>
      </c>
      <c r="K645" s="1">
        <v>46135</v>
      </c>
      <c r="L645" t="s">
        <v>202</v>
      </c>
      <c r="M645">
        <v>1624</v>
      </c>
      <c r="N645" t="s">
        <v>21</v>
      </c>
      <c r="O645" t="s">
        <v>27</v>
      </c>
      <c r="P645">
        <v>27894</v>
      </c>
      <c r="Q645" t="s">
        <v>19</v>
      </c>
      <c r="R645">
        <v>40092</v>
      </c>
      <c r="S645" t="str">
        <f>VLOOKUP(L645&amp;TEXT(I645,"mmmm")&amp;YEAR(I645),'[1]Detalle C-Fecha'!$D$2:$E$15921,2,FALSE)</f>
        <v>Unilever - Unilever de Arg. S.A.</v>
      </c>
    </row>
    <row r="646" spans="1:19" x14ac:dyDescent="0.3">
      <c r="A646">
        <v>32814</v>
      </c>
      <c r="B646" t="s">
        <v>28</v>
      </c>
      <c r="C646" t="s">
        <v>15</v>
      </c>
      <c r="D646" t="s">
        <v>16</v>
      </c>
      <c r="E646" t="s">
        <v>53</v>
      </c>
      <c r="F646" s="6" t="str">
        <f t="shared" si="10"/>
        <v>3MC</v>
      </c>
      <c r="G646" s="11">
        <v>46135</v>
      </c>
      <c r="H646" s="12">
        <v>0.2986111111111111</v>
      </c>
      <c r="I646" s="11">
        <v>46135</v>
      </c>
      <c r="J646" s="1">
        <v>46135</v>
      </c>
      <c r="K646" s="1">
        <v>46135</v>
      </c>
      <c r="L646" t="s">
        <v>202</v>
      </c>
      <c r="M646">
        <v>1624</v>
      </c>
      <c r="N646" t="s">
        <v>21</v>
      </c>
      <c r="O646" t="s">
        <v>27</v>
      </c>
      <c r="P646">
        <v>27894</v>
      </c>
      <c r="Q646" t="s">
        <v>19</v>
      </c>
      <c r="R646">
        <v>40324</v>
      </c>
      <c r="S646" t="str">
        <f>VLOOKUP(L646&amp;TEXT(I646,"mmmm")&amp;YEAR(I646),'[1]Detalle C-Fecha'!$D$2:$E$15921,2,FALSE)</f>
        <v>Unilever - Unilever de Arg. S.A.</v>
      </c>
    </row>
    <row r="647" spans="1:19" x14ac:dyDescent="0.3">
      <c r="A647">
        <v>32815</v>
      </c>
      <c r="B647" t="s">
        <v>28</v>
      </c>
      <c r="C647" t="s">
        <v>15</v>
      </c>
      <c r="D647" t="s">
        <v>16</v>
      </c>
      <c r="E647" t="s">
        <v>121</v>
      </c>
      <c r="F647" s="6" t="str">
        <f t="shared" si="10"/>
        <v>2MC</v>
      </c>
      <c r="G647" s="11">
        <v>46135</v>
      </c>
      <c r="H647" s="12">
        <v>0.2986111111111111</v>
      </c>
      <c r="I647" s="11">
        <v>46135</v>
      </c>
      <c r="J647" s="1">
        <v>46135</v>
      </c>
      <c r="K647" s="1">
        <v>46135</v>
      </c>
      <c r="L647" t="s">
        <v>202</v>
      </c>
      <c r="M647">
        <v>1624</v>
      </c>
      <c r="N647" t="s">
        <v>21</v>
      </c>
      <c r="O647" t="s">
        <v>27</v>
      </c>
      <c r="P647">
        <v>27893</v>
      </c>
      <c r="Q647" t="s">
        <v>19</v>
      </c>
      <c r="R647">
        <v>40093</v>
      </c>
      <c r="S647" t="str">
        <f>VLOOKUP(L647&amp;TEXT(I647,"mmmm")&amp;YEAR(I647),'[1]Detalle C-Fecha'!$D$2:$E$15921,2,FALSE)</f>
        <v>Unilever - Unilever de Arg. S.A.</v>
      </c>
    </row>
    <row r="648" spans="1:19" x14ac:dyDescent="0.3">
      <c r="A648">
        <v>32815</v>
      </c>
      <c r="B648" t="s">
        <v>28</v>
      </c>
      <c r="C648" t="s">
        <v>15</v>
      </c>
      <c r="D648" t="s">
        <v>16</v>
      </c>
      <c r="E648" t="s">
        <v>121</v>
      </c>
      <c r="F648" s="6" t="str">
        <f t="shared" si="10"/>
        <v>2MC</v>
      </c>
      <c r="G648" s="11">
        <v>46135</v>
      </c>
      <c r="H648" s="12">
        <v>0.2986111111111111</v>
      </c>
      <c r="I648" s="11">
        <v>46135</v>
      </c>
      <c r="J648" s="1">
        <v>46135</v>
      </c>
      <c r="K648" s="1">
        <v>46135</v>
      </c>
      <c r="L648" t="s">
        <v>202</v>
      </c>
      <c r="M648">
        <v>1624</v>
      </c>
      <c r="N648" t="s">
        <v>21</v>
      </c>
      <c r="O648" t="s">
        <v>27</v>
      </c>
      <c r="P648">
        <v>27893</v>
      </c>
      <c r="Q648" t="s">
        <v>19</v>
      </c>
      <c r="R648">
        <v>40324</v>
      </c>
      <c r="S648" t="str">
        <f>VLOOKUP(L648&amp;TEXT(I648,"mmmm")&amp;YEAR(I648),'[1]Detalle C-Fecha'!$D$2:$E$15921,2,FALSE)</f>
        <v>Unilever - Unilever de Arg. S.A.</v>
      </c>
    </row>
    <row r="649" spans="1:19" x14ac:dyDescent="0.3">
      <c r="A649">
        <v>32911</v>
      </c>
      <c r="B649" t="s">
        <v>28</v>
      </c>
      <c r="C649" t="s">
        <v>15</v>
      </c>
      <c r="D649" t="s">
        <v>16</v>
      </c>
      <c r="E649" t="s">
        <v>35</v>
      </c>
      <c r="F649" s="6" t="str">
        <f t="shared" si="10"/>
        <v>2ML</v>
      </c>
      <c r="G649" s="11">
        <v>46136</v>
      </c>
      <c r="H649" s="12">
        <v>0.46319444444444446</v>
      </c>
      <c r="I649" s="11">
        <v>46134</v>
      </c>
      <c r="J649" s="1">
        <v>46142</v>
      </c>
      <c r="K649" s="1">
        <v>46142</v>
      </c>
      <c r="L649" t="s">
        <v>203</v>
      </c>
      <c r="M649" t="s">
        <v>126</v>
      </c>
      <c r="N649" t="s">
        <v>17</v>
      </c>
      <c r="O649" t="s">
        <v>24</v>
      </c>
      <c r="P649">
        <v>27960</v>
      </c>
      <c r="Q649" t="s">
        <v>19</v>
      </c>
      <c r="R649">
        <v>40328</v>
      </c>
      <c r="S649" t="str">
        <f>VLOOKUP(L649&amp;TEXT(I649,"mmmm")&amp;YEAR(I649),'[1]Detalle C-Fecha'!$D$2:$E$15921,2,FALSE)</f>
        <v>CENCOMLD - Cencosud SA - Mendoza</v>
      </c>
    </row>
    <row r="650" spans="1:19" x14ac:dyDescent="0.3">
      <c r="A650">
        <v>32911</v>
      </c>
      <c r="B650" t="s">
        <v>28</v>
      </c>
      <c r="C650" t="s">
        <v>15</v>
      </c>
      <c r="D650" t="s">
        <v>16</v>
      </c>
      <c r="E650" t="s">
        <v>35</v>
      </c>
      <c r="F650" s="6" t="str">
        <f t="shared" si="10"/>
        <v>2ML</v>
      </c>
      <c r="G650" s="11">
        <v>46136</v>
      </c>
      <c r="H650" s="12">
        <v>0.46319444444444446</v>
      </c>
      <c r="I650" s="11">
        <v>46134</v>
      </c>
      <c r="J650" s="1">
        <v>46142</v>
      </c>
      <c r="K650" s="1">
        <v>46142</v>
      </c>
      <c r="L650" t="s">
        <v>203</v>
      </c>
      <c r="M650" t="s">
        <v>126</v>
      </c>
      <c r="N650" t="s">
        <v>17</v>
      </c>
      <c r="O650" t="s">
        <v>24</v>
      </c>
      <c r="P650">
        <v>27960</v>
      </c>
      <c r="Q650" t="s">
        <v>19</v>
      </c>
      <c r="R650">
        <v>40329</v>
      </c>
      <c r="S650" t="str">
        <f>VLOOKUP(L650&amp;TEXT(I650,"mmmm")&amp;YEAR(I650),'[1]Detalle C-Fecha'!$D$2:$E$15921,2,FALSE)</f>
        <v>CENCOMLD - Cencosud SA - Mendoza</v>
      </c>
    </row>
    <row r="651" spans="1:19" x14ac:dyDescent="0.3">
      <c r="A651">
        <v>32912</v>
      </c>
      <c r="B651" t="s">
        <v>28</v>
      </c>
      <c r="C651" t="s">
        <v>15</v>
      </c>
      <c r="D651" t="s">
        <v>16</v>
      </c>
      <c r="E651" t="s">
        <v>47</v>
      </c>
      <c r="F651" s="6" t="str">
        <f t="shared" si="10"/>
        <v>3ML</v>
      </c>
      <c r="G651" s="11">
        <v>46136</v>
      </c>
      <c r="H651" s="12">
        <v>0.46319444444444446</v>
      </c>
      <c r="I651" s="11">
        <v>46134</v>
      </c>
      <c r="J651" s="1">
        <v>46142</v>
      </c>
      <c r="K651" s="1">
        <v>46142</v>
      </c>
      <c r="L651" t="s">
        <v>203</v>
      </c>
      <c r="M651" t="s">
        <v>126</v>
      </c>
      <c r="N651" t="s">
        <v>17</v>
      </c>
      <c r="O651" t="s">
        <v>24</v>
      </c>
      <c r="P651">
        <v>27961</v>
      </c>
      <c r="Q651" t="s">
        <v>19</v>
      </c>
      <c r="R651">
        <v>40331</v>
      </c>
      <c r="S651" t="str">
        <f>VLOOKUP(L651&amp;TEXT(I651,"mmmm")&amp;YEAR(I651),'[1]Detalle C-Fecha'!$D$2:$E$15921,2,FALSE)</f>
        <v>CENCOMLD - Cencosud SA - Mendoza</v>
      </c>
    </row>
    <row r="652" spans="1:19" x14ac:dyDescent="0.3">
      <c r="A652">
        <v>32912</v>
      </c>
      <c r="B652" t="s">
        <v>28</v>
      </c>
      <c r="C652" t="s">
        <v>15</v>
      </c>
      <c r="D652" t="s">
        <v>16</v>
      </c>
      <c r="E652" t="s">
        <v>47</v>
      </c>
      <c r="F652" s="6" t="str">
        <f t="shared" si="10"/>
        <v>3ML</v>
      </c>
      <c r="G652" s="11">
        <v>46136</v>
      </c>
      <c r="H652" s="12">
        <v>0.46319444444444446</v>
      </c>
      <c r="I652" s="11">
        <v>46134</v>
      </c>
      <c r="J652" s="1">
        <v>46142</v>
      </c>
      <c r="K652" s="1">
        <v>46142</v>
      </c>
      <c r="L652" t="s">
        <v>203</v>
      </c>
      <c r="M652" t="s">
        <v>126</v>
      </c>
      <c r="N652" t="s">
        <v>17</v>
      </c>
      <c r="O652" t="s">
        <v>24</v>
      </c>
      <c r="P652">
        <v>27961</v>
      </c>
      <c r="Q652" t="s">
        <v>19</v>
      </c>
      <c r="R652">
        <v>40332</v>
      </c>
      <c r="S652" t="str">
        <f>VLOOKUP(L652&amp;TEXT(I652,"mmmm")&amp;YEAR(I652),'[1]Detalle C-Fecha'!$D$2:$E$15921,2,FALSE)</f>
        <v>CENCOMLD - Cencosud SA - Mendoza</v>
      </c>
    </row>
    <row r="653" spans="1:19" x14ac:dyDescent="0.3">
      <c r="A653">
        <v>32913</v>
      </c>
      <c r="B653" t="s">
        <v>28</v>
      </c>
      <c r="C653" t="s">
        <v>15</v>
      </c>
      <c r="D653" t="s">
        <v>16</v>
      </c>
      <c r="E653" t="s">
        <v>46</v>
      </c>
      <c r="F653" s="6" t="str">
        <f t="shared" si="10"/>
        <v>6ML</v>
      </c>
      <c r="G653" s="11">
        <v>46136</v>
      </c>
      <c r="H653" s="12">
        <v>0.46319444444444446</v>
      </c>
      <c r="I653" s="11">
        <v>46134</v>
      </c>
      <c r="J653" s="1">
        <v>46142</v>
      </c>
      <c r="K653" s="1">
        <v>46142</v>
      </c>
      <c r="L653" t="s">
        <v>203</v>
      </c>
      <c r="M653" t="s">
        <v>126</v>
      </c>
      <c r="N653" t="s">
        <v>17</v>
      </c>
      <c r="O653" t="s">
        <v>24</v>
      </c>
      <c r="P653">
        <v>27962</v>
      </c>
      <c r="Q653" t="s">
        <v>19</v>
      </c>
      <c r="R653">
        <v>40333</v>
      </c>
      <c r="S653" t="str">
        <f>VLOOKUP(L653&amp;TEXT(I653,"mmmm")&amp;YEAR(I653),'[1]Detalle C-Fecha'!$D$2:$E$15921,2,FALSE)</f>
        <v>CENCOMLD - Cencosud SA - Mendoza</v>
      </c>
    </row>
    <row r="654" spans="1:19" x14ac:dyDescent="0.3">
      <c r="A654">
        <v>32913</v>
      </c>
      <c r="B654" t="s">
        <v>28</v>
      </c>
      <c r="C654" t="s">
        <v>15</v>
      </c>
      <c r="D654" t="s">
        <v>16</v>
      </c>
      <c r="E654" t="s">
        <v>46</v>
      </c>
      <c r="F654" s="6" t="str">
        <f t="shared" si="10"/>
        <v>6ML</v>
      </c>
      <c r="G654" s="11">
        <v>46136</v>
      </c>
      <c r="H654" s="12">
        <v>0.46319444444444446</v>
      </c>
      <c r="I654" s="11">
        <v>46134</v>
      </c>
      <c r="J654" s="1">
        <v>46142</v>
      </c>
      <c r="K654" s="1">
        <v>46142</v>
      </c>
      <c r="L654" t="s">
        <v>203</v>
      </c>
      <c r="M654" t="s">
        <v>126</v>
      </c>
      <c r="N654" t="s">
        <v>17</v>
      </c>
      <c r="O654" t="s">
        <v>24</v>
      </c>
      <c r="P654">
        <v>27962</v>
      </c>
      <c r="Q654" t="s">
        <v>19</v>
      </c>
      <c r="R654">
        <v>40334</v>
      </c>
      <c r="S654" t="str">
        <f>VLOOKUP(L654&amp;TEXT(I654,"mmmm")&amp;YEAR(I654),'[1]Detalle C-Fecha'!$D$2:$E$15921,2,FALSE)</f>
        <v>CENCOMLD - Cencosud SA - Mendoza</v>
      </c>
    </row>
    <row r="655" spans="1:19" x14ac:dyDescent="0.3">
      <c r="A655">
        <v>32956</v>
      </c>
      <c r="B655" t="s">
        <v>28</v>
      </c>
      <c r="C655" t="s">
        <v>15</v>
      </c>
      <c r="D655" t="s">
        <v>16</v>
      </c>
      <c r="E655" t="s">
        <v>115</v>
      </c>
      <c r="F655" s="6" t="str">
        <f t="shared" si="10"/>
        <v>2ML</v>
      </c>
      <c r="G655" s="11">
        <v>46139</v>
      </c>
      <c r="H655" s="12">
        <v>0.65347222222222223</v>
      </c>
      <c r="I655" s="11">
        <v>46139</v>
      </c>
      <c r="J655" s="1">
        <v>46139</v>
      </c>
      <c r="K655" s="1">
        <v>46139</v>
      </c>
      <c r="L655" t="s">
        <v>73</v>
      </c>
      <c r="M655" t="s">
        <v>204</v>
      </c>
      <c r="N655" t="s">
        <v>17</v>
      </c>
      <c r="O655" t="s">
        <v>25</v>
      </c>
      <c r="P655">
        <v>28024</v>
      </c>
      <c r="Q655" t="s">
        <v>19</v>
      </c>
      <c r="R655">
        <v>40623</v>
      </c>
      <c r="S655" t="str">
        <f>VLOOKUP(L655&amp;TEXT(I655,"mmmm")&amp;YEAR(I655),'[1]Detalle C-Fecha'!$D$2:$E$15921,2,FALSE)</f>
        <v>Expreso - Servicios Troncales</v>
      </c>
    </row>
    <row r="656" spans="1:19" x14ac:dyDescent="0.3">
      <c r="A656">
        <v>32956</v>
      </c>
      <c r="B656" t="s">
        <v>28</v>
      </c>
      <c r="C656" t="s">
        <v>15</v>
      </c>
      <c r="D656" t="s">
        <v>16</v>
      </c>
      <c r="E656" t="s">
        <v>115</v>
      </c>
      <c r="F656" s="6" t="str">
        <f t="shared" si="10"/>
        <v>2ML</v>
      </c>
      <c r="G656" s="11">
        <v>46139</v>
      </c>
      <c r="H656" s="12">
        <v>0.65347222222222223</v>
      </c>
      <c r="I656" s="11">
        <v>46139</v>
      </c>
      <c r="J656" s="1">
        <v>46139</v>
      </c>
      <c r="K656" s="1">
        <v>46139</v>
      </c>
      <c r="L656" t="s">
        <v>73</v>
      </c>
      <c r="M656" t="s">
        <v>204</v>
      </c>
      <c r="N656" t="s">
        <v>17</v>
      </c>
      <c r="O656" t="s">
        <v>25</v>
      </c>
      <c r="P656">
        <v>28024</v>
      </c>
      <c r="Q656" t="s">
        <v>19</v>
      </c>
      <c r="R656">
        <v>41369</v>
      </c>
      <c r="S656" t="str">
        <f>VLOOKUP(L656&amp;TEXT(I656,"mmmm")&amp;YEAR(I656),'[1]Detalle C-Fecha'!$D$2:$E$15921,2,FALSE)</f>
        <v>Expreso - Servicios Troncales</v>
      </c>
    </row>
    <row r="657" spans="1:19" x14ac:dyDescent="0.3">
      <c r="A657">
        <v>32958</v>
      </c>
      <c r="B657" t="s">
        <v>28</v>
      </c>
      <c r="C657" t="s">
        <v>15</v>
      </c>
      <c r="D657" t="s">
        <v>16</v>
      </c>
      <c r="E657" t="s">
        <v>116</v>
      </c>
      <c r="F657" s="6" t="str">
        <f t="shared" si="10"/>
        <v>3ML</v>
      </c>
      <c r="G657" s="11">
        <v>46139</v>
      </c>
      <c r="H657" s="12">
        <v>0.66666666666666663</v>
      </c>
      <c r="I657" s="11">
        <v>46139</v>
      </c>
      <c r="J657" s="1">
        <v>46139</v>
      </c>
      <c r="K657" s="1">
        <v>46139</v>
      </c>
      <c r="L657" t="s">
        <v>73</v>
      </c>
      <c r="M657" t="s">
        <v>204</v>
      </c>
      <c r="N657" t="s">
        <v>17</v>
      </c>
      <c r="O657" t="s">
        <v>25</v>
      </c>
      <c r="P657">
        <v>28026</v>
      </c>
      <c r="Q657" t="s">
        <v>19</v>
      </c>
      <c r="R657">
        <v>40625</v>
      </c>
      <c r="S657" t="str">
        <f>VLOOKUP(L657&amp;TEXT(I657,"mmmm")&amp;YEAR(I657),'[1]Detalle C-Fecha'!$D$2:$E$15921,2,FALSE)</f>
        <v>Expreso - Servicios Troncales</v>
      </c>
    </row>
    <row r="658" spans="1:19" x14ac:dyDescent="0.3">
      <c r="A658">
        <v>32958</v>
      </c>
      <c r="B658" t="s">
        <v>28</v>
      </c>
      <c r="C658" t="s">
        <v>15</v>
      </c>
      <c r="D658" t="s">
        <v>16</v>
      </c>
      <c r="E658" t="s">
        <v>116</v>
      </c>
      <c r="F658" s="6" t="str">
        <f t="shared" si="10"/>
        <v>3ML</v>
      </c>
      <c r="G658" s="11">
        <v>46139</v>
      </c>
      <c r="H658" s="12">
        <v>0.66666666666666663</v>
      </c>
      <c r="I658" s="11">
        <v>46139</v>
      </c>
      <c r="J658" s="1">
        <v>46139</v>
      </c>
      <c r="K658" s="1">
        <v>46139</v>
      </c>
      <c r="L658" t="s">
        <v>73</v>
      </c>
      <c r="M658" t="s">
        <v>204</v>
      </c>
      <c r="N658" t="s">
        <v>17</v>
      </c>
      <c r="O658" t="s">
        <v>25</v>
      </c>
      <c r="P658">
        <v>28026</v>
      </c>
      <c r="Q658" t="s">
        <v>19</v>
      </c>
      <c r="R658">
        <v>40626</v>
      </c>
      <c r="S658" t="str">
        <f>VLOOKUP(L658&amp;TEXT(I658,"mmmm")&amp;YEAR(I658),'[1]Detalle C-Fecha'!$D$2:$E$15921,2,FALSE)</f>
        <v>Expreso - Servicios Troncales</v>
      </c>
    </row>
    <row r="659" spans="1:19" x14ac:dyDescent="0.3">
      <c r="A659">
        <v>32959</v>
      </c>
      <c r="B659" t="s">
        <v>28</v>
      </c>
      <c r="C659" t="s">
        <v>15</v>
      </c>
      <c r="D659" t="s">
        <v>16</v>
      </c>
      <c r="E659" t="s">
        <v>117</v>
      </c>
      <c r="F659" s="6" t="str">
        <f t="shared" si="10"/>
        <v>6ML</v>
      </c>
      <c r="G659" s="11">
        <v>46139</v>
      </c>
      <c r="H659" s="12">
        <v>0.66666666666666663</v>
      </c>
      <c r="I659" s="11">
        <v>46139</v>
      </c>
      <c r="J659" s="1">
        <v>46139</v>
      </c>
      <c r="K659" s="1">
        <v>46139</v>
      </c>
      <c r="L659" t="s">
        <v>73</v>
      </c>
      <c r="M659" t="s">
        <v>204</v>
      </c>
      <c r="N659" t="s">
        <v>17</v>
      </c>
      <c r="O659" t="s">
        <v>25</v>
      </c>
      <c r="P659">
        <v>28027</v>
      </c>
      <c r="Q659" t="s">
        <v>19</v>
      </c>
      <c r="R659">
        <v>40627</v>
      </c>
      <c r="S659" t="str">
        <f>VLOOKUP(L659&amp;TEXT(I659,"mmmm")&amp;YEAR(I659),'[1]Detalle C-Fecha'!$D$2:$E$15921,2,FALSE)</f>
        <v>Expreso - Servicios Troncales</v>
      </c>
    </row>
    <row r="660" spans="1:19" x14ac:dyDescent="0.3">
      <c r="A660">
        <v>32959</v>
      </c>
      <c r="B660" t="s">
        <v>28</v>
      </c>
      <c r="C660" t="s">
        <v>15</v>
      </c>
      <c r="D660" t="s">
        <v>16</v>
      </c>
      <c r="E660" t="s">
        <v>117</v>
      </c>
      <c r="F660" s="6" t="str">
        <f t="shared" si="10"/>
        <v>6ML</v>
      </c>
      <c r="G660" s="11">
        <v>46139</v>
      </c>
      <c r="H660" s="12">
        <v>0.66666666666666663</v>
      </c>
      <c r="I660" s="11">
        <v>46139</v>
      </c>
      <c r="J660" s="1">
        <v>46139</v>
      </c>
      <c r="K660" s="1">
        <v>46139</v>
      </c>
      <c r="L660" t="s">
        <v>73</v>
      </c>
      <c r="M660" t="s">
        <v>204</v>
      </c>
      <c r="N660" t="s">
        <v>17</v>
      </c>
      <c r="O660" t="s">
        <v>25</v>
      </c>
      <c r="P660">
        <v>28027</v>
      </c>
      <c r="Q660" t="s">
        <v>19</v>
      </c>
      <c r="R660">
        <v>40628</v>
      </c>
      <c r="S660" t="str">
        <f>VLOOKUP(L660&amp;TEXT(I660,"mmmm")&amp;YEAR(I660),'[1]Detalle C-Fecha'!$D$2:$E$15921,2,FALSE)</f>
        <v>Expreso - Servicios Troncales</v>
      </c>
    </row>
    <row r="661" spans="1:19" x14ac:dyDescent="0.3">
      <c r="A661">
        <v>33034</v>
      </c>
      <c r="B661" t="s">
        <v>28</v>
      </c>
      <c r="C661" t="s">
        <v>15</v>
      </c>
      <c r="D661" t="s">
        <v>16</v>
      </c>
      <c r="E661" t="s">
        <v>35</v>
      </c>
      <c r="F661" s="6" t="str">
        <f t="shared" si="10"/>
        <v>2ML</v>
      </c>
      <c r="G661" s="11">
        <v>46140</v>
      </c>
      <c r="H661" s="12">
        <v>0.60833333333333328</v>
      </c>
      <c r="I661" s="11">
        <v>46140</v>
      </c>
      <c r="J661" s="1">
        <v>46140</v>
      </c>
      <c r="K661" s="1">
        <v>46140</v>
      </c>
      <c r="L661" t="s">
        <v>56</v>
      </c>
      <c r="M661" t="s">
        <v>142</v>
      </c>
      <c r="N661" t="s">
        <v>31</v>
      </c>
      <c r="O661" t="s">
        <v>25</v>
      </c>
      <c r="P661">
        <v>28050</v>
      </c>
      <c r="Q661" t="s">
        <v>19</v>
      </c>
      <c r="R661">
        <v>40651</v>
      </c>
      <c r="S661" t="str">
        <f>VLOOKUP(L661&amp;TEXT(I661,"mmmm")&amp;YEAR(I661),'[1]Detalle C-Fecha'!$D$2:$E$15921,2,FALSE)</f>
        <v>Expreso - Servicios Troncales</v>
      </c>
    </row>
    <row r="662" spans="1:19" x14ac:dyDescent="0.3">
      <c r="A662">
        <v>33034</v>
      </c>
      <c r="B662" t="s">
        <v>28</v>
      </c>
      <c r="C662" t="s">
        <v>15</v>
      </c>
      <c r="D662" t="s">
        <v>16</v>
      </c>
      <c r="E662" t="s">
        <v>35</v>
      </c>
      <c r="F662" s="6" t="str">
        <f t="shared" si="10"/>
        <v>2ML</v>
      </c>
      <c r="G662" s="11">
        <v>46140</v>
      </c>
      <c r="H662" s="12">
        <v>0.60833333333333328</v>
      </c>
      <c r="I662" s="11">
        <v>46140</v>
      </c>
      <c r="J662" s="1">
        <v>46140</v>
      </c>
      <c r="K662" s="1">
        <v>46140</v>
      </c>
      <c r="L662" t="s">
        <v>56</v>
      </c>
      <c r="M662" t="s">
        <v>142</v>
      </c>
      <c r="N662" t="s">
        <v>31</v>
      </c>
      <c r="O662" t="s">
        <v>25</v>
      </c>
      <c r="P662">
        <v>28050</v>
      </c>
      <c r="Q662" t="s">
        <v>19</v>
      </c>
      <c r="R662">
        <v>40652</v>
      </c>
      <c r="S662" t="str">
        <f>VLOOKUP(L662&amp;TEXT(I662,"mmmm")&amp;YEAR(I662),'[1]Detalle C-Fecha'!$D$2:$E$15921,2,FALSE)</f>
        <v>Expreso - Servicios Troncales</v>
      </c>
    </row>
    <row r="663" spans="1:19" x14ac:dyDescent="0.3">
      <c r="A663">
        <v>33035</v>
      </c>
      <c r="B663" t="s">
        <v>28</v>
      </c>
      <c r="C663" t="s">
        <v>15</v>
      </c>
      <c r="D663" t="s">
        <v>16</v>
      </c>
      <c r="E663" t="s">
        <v>47</v>
      </c>
      <c r="F663" s="6" t="str">
        <f t="shared" si="10"/>
        <v>3ML</v>
      </c>
      <c r="G663" s="11">
        <v>46140</v>
      </c>
      <c r="H663" s="12">
        <v>0.60833333333333328</v>
      </c>
      <c r="I663" s="11">
        <v>46140</v>
      </c>
      <c r="J663" s="1">
        <v>46140</v>
      </c>
      <c r="K663" s="1">
        <v>46140</v>
      </c>
      <c r="L663" t="s">
        <v>56</v>
      </c>
      <c r="M663" t="s">
        <v>142</v>
      </c>
      <c r="N663" t="s">
        <v>31</v>
      </c>
      <c r="O663" t="s">
        <v>25</v>
      </c>
      <c r="P663">
        <v>28051</v>
      </c>
      <c r="Q663" t="s">
        <v>19</v>
      </c>
      <c r="R663">
        <v>40654</v>
      </c>
      <c r="S663" t="str">
        <f>VLOOKUP(L663&amp;TEXT(I663,"mmmm")&amp;YEAR(I663),'[1]Detalle C-Fecha'!$D$2:$E$15921,2,FALSE)</f>
        <v>Expreso - Servicios Troncales</v>
      </c>
    </row>
    <row r="664" spans="1:19" x14ac:dyDescent="0.3">
      <c r="A664">
        <v>33035</v>
      </c>
      <c r="B664" t="s">
        <v>28</v>
      </c>
      <c r="C664" t="s">
        <v>15</v>
      </c>
      <c r="D664" t="s">
        <v>16</v>
      </c>
      <c r="E664" t="s">
        <v>47</v>
      </c>
      <c r="F664" s="6" t="str">
        <f t="shared" si="10"/>
        <v>3ML</v>
      </c>
      <c r="G664" s="11">
        <v>46140</v>
      </c>
      <c r="H664" s="12">
        <v>0.60833333333333328</v>
      </c>
      <c r="I664" s="11">
        <v>46140</v>
      </c>
      <c r="J664" s="1">
        <v>46140</v>
      </c>
      <c r="K664" s="1">
        <v>46140</v>
      </c>
      <c r="L664" t="s">
        <v>56</v>
      </c>
      <c r="M664" t="s">
        <v>142</v>
      </c>
      <c r="N664" t="s">
        <v>31</v>
      </c>
      <c r="O664" t="s">
        <v>25</v>
      </c>
      <c r="P664">
        <v>28051</v>
      </c>
      <c r="Q664" t="s">
        <v>19</v>
      </c>
      <c r="R664">
        <v>40656</v>
      </c>
      <c r="S664" t="str">
        <f>VLOOKUP(L664&amp;TEXT(I664,"mmmm")&amp;YEAR(I664),'[1]Detalle C-Fecha'!$D$2:$E$15921,2,FALSE)</f>
        <v>Expreso - Servicios Troncales</v>
      </c>
    </row>
    <row r="665" spans="1:19" x14ac:dyDescent="0.3">
      <c r="A665">
        <v>33036</v>
      </c>
      <c r="B665" t="s">
        <v>28</v>
      </c>
      <c r="C665" t="s">
        <v>15</v>
      </c>
      <c r="D665" t="s">
        <v>16</v>
      </c>
      <c r="E665" t="s">
        <v>46</v>
      </c>
      <c r="F665" s="6" t="str">
        <f t="shared" si="10"/>
        <v>6ML</v>
      </c>
      <c r="G665" s="11">
        <v>46140</v>
      </c>
      <c r="H665" s="12">
        <v>0.60833333333333328</v>
      </c>
      <c r="I665" s="11">
        <v>46140</v>
      </c>
      <c r="J665" s="1">
        <v>46140</v>
      </c>
      <c r="K665" s="1">
        <v>46140</v>
      </c>
      <c r="L665" t="s">
        <v>56</v>
      </c>
      <c r="M665" t="s">
        <v>142</v>
      </c>
      <c r="N665" t="s">
        <v>31</v>
      </c>
      <c r="O665" t="s">
        <v>25</v>
      </c>
      <c r="P665">
        <v>28052</v>
      </c>
      <c r="Q665" t="s">
        <v>19</v>
      </c>
      <c r="R665">
        <v>40657</v>
      </c>
      <c r="S665" t="str">
        <f>VLOOKUP(L665&amp;TEXT(I665,"mmmm")&amp;YEAR(I665),'[1]Detalle C-Fecha'!$D$2:$E$15921,2,FALSE)</f>
        <v>Expreso - Servicios Troncales</v>
      </c>
    </row>
    <row r="666" spans="1:19" x14ac:dyDescent="0.3">
      <c r="A666">
        <v>33036</v>
      </c>
      <c r="B666" t="s">
        <v>28</v>
      </c>
      <c r="C666" t="s">
        <v>15</v>
      </c>
      <c r="D666" t="s">
        <v>16</v>
      </c>
      <c r="E666" t="s">
        <v>46</v>
      </c>
      <c r="F666" s="6" t="str">
        <f t="shared" si="10"/>
        <v>6ML</v>
      </c>
      <c r="G666" s="11">
        <v>46140</v>
      </c>
      <c r="H666" s="12">
        <v>0.60833333333333328</v>
      </c>
      <c r="I666" s="11">
        <v>46140</v>
      </c>
      <c r="J666" s="1">
        <v>46140</v>
      </c>
      <c r="K666" s="1">
        <v>46140</v>
      </c>
      <c r="L666" t="s">
        <v>56</v>
      </c>
      <c r="M666" t="s">
        <v>142</v>
      </c>
      <c r="N666" t="s">
        <v>31</v>
      </c>
      <c r="O666" t="s">
        <v>25</v>
      </c>
      <c r="P666">
        <v>28052</v>
      </c>
      <c r="Q666" t="s">
        <v>19</v>
      </c>
      <c r="R666">
        <v>40658</v>
      </c>
      <c r="S666" t="str">
        <f>VLOOKUP(L666&amp;TEXT(I666,"mmmm")&amp;YEAR(I666),'[1]Detalle C-Fecha'!$D$2:$E$15921,2,FALSE)</f>
        <v>Expreso - Servicios Troncales</v>
      </c>
    </row>
    <row r="667" spans="1:19" x14ac:dyDescent="0.3">
      <c r="A667">
        <v>33037</v>
      </c>
      <c r="B667" t="s">
        <v>28</v>
      </c>
      <c r="C667" t="s">
        <v>15</v>
      </c>
      <c r="D667" t="s">
        <v>16</v>
      </c>
      <c r="E667" t="s">
        <v>137</v>
      </c>
      <c r="F667" s="6" t="str">
        <f t="shared" si="10"/>
        <v>7ML</v>
      </c>
      <c r="G667" s="11">
        <v>46140</v>
      </c>
      <c r="H667" s="12">
        <v>0.60833333333333328</v>
      </c>
      <c r="I667" s="11">
        <v>46140</v>
      </c>
      <c r="J667" s="1">
        <v>46140</v>
      </c>
      <c r="K667" s="1">
        <v>46140</v>
      </c>
      <c r="L667" t="s">
        <v>56</v>
      </c>
      <c r="M667" t="s">
        <v>142</v>
      </c>
      <c r="N667" t="s">
        <v>31</v>
      </c>
      <c r="O667" t="s">
        <v>25</v>
      </c>
      <c r="P667">
        <v>28053</v>
      </c>
      <c r="Q667" t="s">
        <v>19</v>
      </c>
      <c r="R667">
        <v>42047</v>
      </c>
      <c r="S667" t="str">
        <f>VLOOKUP(L667&amp;TEXT(I667,"mmmm")&amp;YEAR(I667),'[1]Detalle C-Fecha'!$D$2:$E$15921,2,FALSE)</f>
        <v>Expreso - Servicios Troncales</v>
      </c>
    </row>
    <row r="668" spans="1:19" x14ac:dyDescent="0.3">
      <c r="A668">
        <v>33037</v>
      </c>
      <c r="B668" t="s">
        <v>28</v>
      </c>
      <c r="C668" t="s">
        <v>15</v>
      </c>
      <c r="D668" t="s">
        <v>16</v>
      </c>
      <c r="E668" t="s">
        <v>137</v>
      </c>
      <c r="F668" s="6" t="str">
        <f t="shared" si="10"/>
        <v>7ML</v>
      </c>
      <c r="G668" s="11">
        <v>46140</v>
      </c>
      <c r="H668" s="12">
        <v>0.60833333333333328</v>
      </c>
      <c r="I668" s="11">
        <v>46140</v>
      </c>
      <c r="J668" s="1">
        <v>46140</v>
      </c>
      <c r="K668" s="1">
        <v>46140</v>
      </c>
      <c r="L668" t="s">
        <v>56</v>
      </c>
      <c r="M668" t="s">
        <v>142</v>
      </c>
      <c r="N668" t="s">
        <v>31</v>
      </c>
      <c r="O668" t="s">
        <v>25</v>
      </c>
      <c r="P668">
        <v>28053</v>
      </c>
      <c r="Q668" t="s">
        <v>19</v>
      </c>
      <c r="R668">
        <v>42048</v>
      </c>
      <c r="S668" t="str">
        <f>VLOOKUP(L668&amp;TEXT(I668,"mmmm")&amp;YEAR(I668),'[1]Detalle C-Fecha'!$D$2:$E$15921,2,FALSE)</f>
        <v>Expreso - Servicios Troncales</v>
      </c>
    </row>
    <row r="669" spans="1:19" x14ac:dyDescent="0.3">
      <c r="A669">
        <v>33134</v>
      </c>
      <c r="B669" t="s">
        <v>28</v>
      </c>
      <c r="C669" t="s">
        <v>15</v>
      </c>
      <c r="D669" t="s">
        <v>16</v>
      </c>
      <c r="E669" t="s">
        <v>108</v>
      </c>
      <c r="F669" s="6" t="str">
        <f t="shared" si="10"/>
        <v>2MU</v>
      </c>
      <c r="G669" s="11">
        <v>46141</v>
      </c>
      <c r="H669" s="12">
        <v>0.65625</v>
      </c>
      <c r="I669" s="11">
        <v>46141</v>
      </c>
      <c r="J669" s="1">
        <v>46141</v>
      </c>
      <c r="K669" s="1">
        <v>46141</v>
      </c>
      <c r="L669" t="s">
        <v>205</v>
      </c>
      <c r="M669" t="s">
        <v>95</v>
      </c>
      <c r="N669" t="s">
        <v>17</v>
      </c>
      <c r="O669" t="s">
        <v>25</v>
      </c>
      <c r="P669">
        <v>28139</v>
      </c>
      <c r="Q669" t="s">
        <v>19</v>
      </c>
      <c r="R669">
        <v>40760</v>
      </c>
      <c r="S669" t="str">
        <f>VLOOKUP(L669&amp;TEXT(I669,"mmmm")&amp;YEAR(I669),'[1]Detalle C-Fecha'!$D$2:$E$15921,2,FALSE)</f>
        <v>SUC_MEN - Sucursal Mendoza</v>
      </c>
    </row>
    <row r="670" spans="1:19" x14ac:dyDescent="0.3">
      <c r="A670">
        <v>33134</v>
      </c>
      <c r="B670" t="s">
        <v>28</v>
      </c>
      <c r="C670" t="s">
        <v>15</v>
      </c>
      <c r="D670" t="s">
        <v>16</v>
      </c>
      <c r="E670" t="s">
        <v>108</v>
      </c>
      <c r="F670" s="6" t="str">
        <f t="shared" si="10"/>
        <v>2MU</v>
      </c>
      <c r="G670" s="11">
        <v>46141</v>
      </c>
      <c r="H670" s="12">
        <v>0.65625</v>
      </c>
      <c r="I670" s="11">
        <v>46141</v>
      </c>
      <c r="J670" s="1">
        <v>46141</v>
      </c>
      <c r="K670" s="1">
        <v>46141</v>
      </c>
      <c r="L670" t="s">
        <v>205</v>
      </c>
      <c r="M670" t="s">
        <v>95</v>
      </c>
      <c r="N670" t="s">
        <v>17</v>
      </c>
      <c r="O670" t="s">
        <v>25</v>
      </c>
      <c r="P670">
        <v>28139</v>
      </c>
      <c r="Q670" t="s">
        <v>19</v>
      </c>
      <c r="R670">
        <v>40761</v>
      </c>
      <c r="S670" t="str">
        <f>VLOOKUP(L670&amp;TEXT(I670,"mmmm")&amp;YEAR(I670),'[1]Detalle C-Fecha'!$D$2:$E$15921,2,FALSE)</f>
        <v>SUC_MEN - Sucursal Mendoza</v>
      </c>
    </row>
    <row r="671" spans="1:19" x14ac:dyDescent="0.3">
      <c r="A671">
        <v>33135</v>
      </c>
      <c r="B671" t="s">
        <v>28</v>
      </c>
      <c r="C671" t="s">
        <v>15</v>
      </c>
      <c r="D671" t="s">
        <v>16</v>
      </c>
      <c r="E671" t="s">
        <v>109</v>
      </c>
      <c r="F671" s="6" t="str">
        <f t="shared" si="10"/>
        <v>3MU</v>
      </c>
      <c r="G671" s="11">
        <v>46141</v>
      </c>
      <c r="H671" s="12">
        <v>0.65625</v>
      </c>
      <c r="I671" s="11">
        <v>46141</v>
      </c>
      <c r="J671" s="1">
        <v>46141</v>
      </c>
      <c r="K671" s="1">
        <v>46141</v>
      </c>
      <c r="L671" t="s">
        <v>205</v>
      </c>
      <c r="M671" t="s">
        <v>95</v>
      </c>
      <c r="N671" t="s">
        <v>17</v>
      </c>
      <c r="O671" t="s">
        <v>25</v>
      </c>
      <c r="P671">
        <v>28141</v>
      </c>
      <c r="Q671" t="s">
        <v>19</v>
      </c>
      <c r="R671">
        <v>40762</v>
      </c>
      <c r="S671" t="str">
        <f>VLOOKUP(L671&amp;TEXT(I671,"mmmm")&amp;YEAR(I671),'[1]Detalle C-Fecha'!$D$2:$E$15921,2,FALSE)</f>
        <v>SUC_MEN - Sucursal Mendoza</v>
      </c>
    </row>
    <row r="672" spans="1:19" x14ac:dyDescent="0.3">
      <c r="A672">
        <v>33135</v>
      </c>
      <c r="B672" t="s">
        <v>28</v>
      </c>
      <c r="C672" t="s">
        <v>15</v>
      </c>
      <c r="D672" t="s">
        <v>16</v>
      </c>
      <c r="E672" t="s">
        <v>109</v>
      </c>
      <c r="F672" s="6" t="str">
        <f t="shared" si="10"/>
        <v>3MU</v>
      </c>
      <c r="G672" s="11">
        <v>46141</v>
      </c>
      <c r="H672" s="12">
        <v>0.65625</v>
      </c>
      <c r="I672" s="11">
        <v>46141</v>
      </c>
      <c r="J672" s="1">
        <v>46141</v>
      </c>
      <c r="K672" s="1">
        <v>46141</v>
      </c>
      <c r="L672" t="s">
        <v>205</v>
      </c>
      <c r="M672" t="s">
        <v>95</v>
      </c>
      <c r="N672" t="s">
        <v>17</v>
      </c>
      <c r="O672" t="s">
        <v>25</v>
      </c>
      <c r="P672">
        <v>28141</v>
      </c>
      <c r="Q672" t="s">
        <v>19</v>
      </c>
      <c r="R672">
        <v>40763</v>
      </c>
      <c r="S672" t="str">
        <f>VLOOKUP(L672&amp;TEXT(I672,"mmmm")&amp;YEAR(I672),'[1]Detalle C-Fecha'!$D$2:$E$15921,2,FALSE)</f>
        <v>SUC_MEN - Sucursal Mendoza</v>
      </c>
    </row>
    <row r="673" spans="1:19" x14ac:dyDescent="0.3">
      <c r="A673">
        <v>33136</v>
      </c>
      <c r="B673" t="s">
        <v>28</v>
      </c>
      <c r="C673" t="s">
        <v>15</v>
      </c>
      <c r="D673" t="s">
        <v>16</v>
      </c>
      <c r="E673" t="s">
        <v>107</v>
      </c>
      <c r="F673" s="6" t="str">
        <f t="shared" si="10"/>
        <v>4MU</v>
      </c>
      <c r="G673" s="11">
        <v>46141</v>
      </c>
      <c r="H673" s="12">
        <v>0.65625</v>
      </c>
      <c r="I673" s="11">
        <v>46141</v>
      </c>
      <c r="J673" s="1">
        <v>46141</v>
      </c>
      <c r="K673" s="1">
        <v>46141</v>
      </c>
      <c r="L673" t="s">
        <v>205</v>
      </c>
      <c r="M673" t="s">
        <v>95</v>
      </c>
      <c r="N673" t="s">
        <v>17</v>
      </c>
      <c r="O673" t="s">
        <v>25</v>
      </c>
      <c r="P673">
        <v>28142</v>
      </c>
      <c r="Q673" t="s">
        <v>19</v>
      </c>
      <c r="R673">
        <v>40764</v>
      </c>
      <c r="S673" t="str">
        <f>VLOOKUP(L673&amp;TEXT(I673,"mmmm")&amp;YEAR(I673),'[1]Detalle C-Fecha'!$D$2:$E$15921,2,FALSE)</f>
        <v>SUC_MEN - Sucursal Mendoza</v>
      </c>
    </row>
    <row r="674" spans="1:19" x14ac:dyDescent="0.3">
      <c r="A674">
        <v>33136</v>
      </c>
      <c r="B674" t="s">
        <v>28</v>
      </c>
      <c r="C674" t="s">
        <v>15</v>
      </c>
      <c r="D674" t="s">
        <v>16</v>
      </c>
      <c r="E674" t="s">
        <v>107</v>
      </c>
      <c r="F674" s="6" t="str">
        <f t="shared" si="10"/>
        <v>4MU</v>
      </c>
      <c r="G674" s="11">
        <v>46141</v>
      </c>
      <c r="H674" s="12">
        <v>0.65625</v>
      </c>
      <c r="I674" s="11">
        <v>46141</v>
      </c>
      <c r="J674" s="1">
        <v>46141</v>
      </c>
      <c r="K674" s="1">
        <v>46141</v>
      </c>
      <c r="L674" t="s">
        <v>205</v>
      </c>
      <c r="M674" t="s">
        <v>95</v>
      </c>
      <c r="N674" t="s">
        <v>17</v>
      </c>
      <c r="O674" t="s">
        <v>25</v>
      </c>
      <c r="P674">
        <v>28142</v>
      </c>
      <c r="Q674" t="s">
        <v>19</v>
      </c>
      <c r="R674">
        <v>40765</v>
      </c>
      <c r="S674" t="str">
        <f>VLOOKUP(L674&amp;TEXT(I674,"mmmm")&amp;YEAR(I674),'[1]Detalle C-Fecha'!$D$2:$E$15921,2,FALSE)</f>
        <v>SUC_MEN - Sucursal Mendoza</v>
      </c>
    </row>
    <row r="675" spans="1:19" x14ac:dyDescent="0.3">
      <c r="A675">
        <v>33273</v>
      </c>
      <c r="B675" t="s">
        <v>28</v>
      </c>
      <c r="C675" t="s">
        <v>15</v>
      </c>
      <c r="D675" t="s">
        <v>16</v>
      </c>
      <c r="E675" t="s">
        <v>35</v>
      </c>
      <c r="F675" s="6" t="str">
        <f t="shared" si="10"/>
        <v>2ML</v>
      </c>
      <c r="G675" s="11">
        <v>46146</v>
      </c>
      <c r="H675" s="12">
        <v>0.45347222222222222</v>
      </c>
      <c r="I675" s="11">
        <v>46146</v>
      </c>
      <c r="J675" s="1">
        <v>46146</v>
      </c>
      <c r="K675" s="1">
        <v>46146</v>
      </c>
      <c r="L675" t="s">
        <v>61</v>
      </c>
      <c r="M675" t="s">
        <v>204</v>
      </c>
      <c r="N675" t="s">
        <v>31</v>
      </c>
      <c r="O675" t="s">
        <v>25</v>
      </c>
      <c r="P675">
        <v>28238</v>
      </c>
      <c r="Q675" t="s">
        <v>19</v>
      </c>
      <c r="R675">
        <v>40901</v>
      </c>
      <c r="S675" t="str">
        <f>VLOOKUP(L675&amp;TEXT(I675,"mmmm")&amp;YEAR(I675),'[1]Detalle C-Fecha'!$D$2:$E$15921,2,FALSE)</f>
        <v>Expreso - Servicios Troncales</v>
      </c>
    </row>
    <row r="676" spans="1:19" x14ac:dyDescent="0.3">
      <c r="A676">
        <v>33273</v>
      </c>
      <c r="B676" t="s">
        <v>28</v>
      </c>
      <c r="C676" t="s">
        <v>15</v>
      </c>
      <c r="D676" t="s">
        <v>16</v>
      </c>
      <c r="E676" t="s">
        <v>35</v>
      </c>
      <c r="F676" s="6" t="str">
        <f t="shared" si="10"/>
        <v>2ML</v>
      </c>
      <c r="G676" s="11">
        <v>46146</v>
      </c>
      <c r="H676" s="12">
        <v>0.45347222222222222</v>
      </c>
      <c r="I676" s="11">
        <v>46146</v>
      </c>
      <c r="J676" s="1">
        <v>46146</v>
      </c>
      <c r="K676" s="1">
        <v>46146</v>
      </c>
      <c r="L676" t="s">
        <v>61</v>
      </c>
      <c r="M676" t="s">
        <v>204</v>
      </c>
      <c r="N676" t="s">
        <v>31</v>
      </c>
      <c r="O676" t="s">
        <v>25</v>
      </c>
      <c r="P676">
        <v>28238</v>
      </c>
      <c r="Q676" t="s">
        <v>19</v>
      </c>
      <c r="R676">
        <v>40902</v>
      </c>
      <c r="S676" t="str">
        <f>VLOOKUP(L676&amp;TEXT(I676,"mmmm")&amp;YEAR(I676),'[1]Detalle C-Fecha'!$D$2:$E$15921,2,FALSE)</f>
        <v>Expreso - Servicios Troncales</v>
      </c>
    </row>
    <row r="677" spans="1:19" x14ac:dyDescent="0.3">
      <c r="A677">
        <v>33274</v>
      </c>
      <c r="B677" t="s">
        <v>28</v>
      </c>
      <c r="C677" t="s">
        <v>15</v>
      </c>
      <c r="D677" t="s">
        <v>16</v>
      </c>
      <c r="E677" t="s">
        <v>47</v>
      </c>
      <c r="F677" s="6" t="str">
        <f t="shared" si="10"/>
        <v>3ML</v>
      </c>
      <c r="G677" s="11">
        <v>46146</v>
      </c>
      <c r="H677" s="12">
        <v>0.45347222222222222</v>
      </c>
      <c r="I677" s="11">
        <v>46146</v>
      </c>
      <c r="J677" s="1">
        <v>46146</v>
      </c>
      <c r="K677" s="1">
        <v>46146</v>
      </c>
      <c r="L677" t="s">
        <v>61</v>
      </c>
      <c r="M677" t="s">
        <v>204</v>
      </c>
      <c r="N677" t="s">
        <v>31</v>
      </c>
      <c r="O677" t="s">
        <v>25</v>
      </c>
      <c r="P677">
        <v>28239</v>
      </c>
      <c r="Q677" t="s">
        <v>19</v>
      </c>
      <c r="R677">
        <v>40953</v>
      </c>
      <c r="S677" t="str">
        <f>VLOOKUP(L677&amp;TEXT(I677,"mmmm")&amp;YEAR(I677),'[1]Detalle C-Fecha'!$D$2:$E$15921,2,FALSE)</f>
        <v>Expreso - Servicios Troncales</v>
      </c>
    </row>
    <row r="678" spans="1:19" x14ac:dyDescent="0.3">
      <c r="A678">
        <v>33274</v>
      </c>
      <c r="B678" t="s">
        <v>28</v>
      </c>
      <c r="C678" t="s">
        <v>15</v>
      </c>
      <c r="D678" t="s">
        <v>16</v>
      </c>
      <c r="E678" t="s">
        <v>47</v>
      </c>
      <c r="F678" s="6" t="str">
        <f t="shared" si="10"/>
        <v>3ML</v>
      </c>
      <c r="G678" s="11">
        <v>46146</v>
      </c>
      <c r="H678" s="12">
        <v>0.45347222222222222</v>
      </c>
      <c r="I678" s="11">
        <v>46146</v>
      </c>
      <c r="J678" s="1">
        <v>46146</v>
      </c>
      <c r="K678" s="1">
        <v>46146</v>
      </c>
      <c r="L678" t="s">
        <v>61</v>
      </c>
      <c r="M678" t="s">
        <v>204</v>
      </c>
      <c r="N678" t="s">
        <v>31</v>
      </c>
      <c r="O678" t="s">
        <v>25</v>
      </c>
      <c r="P678">
        <v>28239</v>
      </c>
      <c r="Q678" t="s">
        <v>19</v>
      </c>
      <c r="R678">
        <v>40954</v>
      </c>
      <c r="S678" t="str">
        <f>VLOOKUP(L678&amp;TEXT(I678,"mmmm")&amp;YEAR(I678),'[1]Detalle C-Fecha'!$D$2:$E$15921,2,FALSE)</f>
        <v>Expreso - Servicios Troncales</v>
      </c>
    </row>
    <row r="679" spans="1:19" x14ac:dyDescent="0.3">
      <c r="A679">
        <v>33275</v>
      </c>
      <c r="B679" t="s">
        <v>28</v>
      </c>
      <c r="C679" t="s">
        <v>15</v>
      </c>
      <c r="D679" t="s">
        <v>16</v>
      </c>
      <c r="E679" t="s">
        <v>137</v>
      </c>
      <c r="F679" s="6" t="str">
        <f t="shared" si="10"/>
        <v>7ML</v>
      </c>
      <c r="G679" s="11">
        <v>46146</v>
      </c>
      <c r="H679" s="12">
        <v>0.45347222222222222</v>
      </c>
      <c r="I679" s="11">
        <v>46146</v>
      </c>
      <c r="J679" s="1">
        <v>46146</v>
      </c>
      <c r="K679" s="1">
        <v>46146</v>
      </c>
      <c r="L679" t="s">
        <v>61</v>
      </c>
      <c r="M679" t="s">
        <v>204</v>
      </c>
      <c r="N679" t="s">
        <v>31</v>
      </c>
      <c r="O679" t="s">
        <v>25</v>
      </c>
      <c r="P679">
        <v>28240</v>
      </c>
      <c r="Q679" t="s">
        <v>19</v>
      </c>
      <c r="R679">
        <v>40955</v>
      </c>
      <c r="S679" t="str">
        <f>VLOOKUP(L679&amp;TEXT(I679,"mmmm")&amp;YEAR(I679),'[1]Detalle C-Fecha'!$D$2:$E$15921,2,FALSE)</f>
        <v>Expreso - Servicios Troncales</v>
      </c>
    </row>
    <row r="680" spans="1:19" x14ac:dyDescent="0.3">
      <c r="A680">
        <v>33275</v>
      </c>
      <c r="B680" t="s">
        <v>28</v>
      </c>
      <c r="C680" t="s">
        <v>15</v>
      </c>
      <c r="D680" t="s">
        <v>16</v>
      </c>
      <c r="E680" t="s">
        <v>137</v>
      </c>
      <c r="F680" s="6" t="str">
        <f t="shared" si="10"/>
        <v>7ML</v>
      </c>
      <c r="G680" s="11">
        <v>46146</v>
      </c>
      <c r="H680" s="12">
        <v>0.45347222222222222</v>
      </c>
      <c r="I680" s="11">
        <v>46146</v>
      </c>
      <c r="J680" s="1">
        <v>46146</v>
      </c>
      <c r="K680" s="1">
        <v>46146</v>
      </c>
      <c r="L680" t="s">
        <v>61</v>
      </c>
      <c r="M680" t="s">
        <v>204</v>
      </c>
      <c r="N680" t="s">
        <v>31</v>
      </c>
      <c r="O680" t="s">
        <v>25</v>
      </c>
      <c r="P680">
        <v>28240</v>
      </c>
      <c r="Q680" t="s">
        <v>19</v>
      </c>
      <c r="R680">
        <v>40956</v>
      </c>
      <c r="S680" t="str">
        <f>VLOOKUP(L680&amp;TEXT(I680,"mmmm")&amp;YEAR(I680),'[1]Detalle C-Fecha'!$D$2:$E$15921,2,FALSE)</f>
        <v>Expreso - Servicios Troncales</v>
      </c>
    </row>
    <row r="681" spans="1:19" x14ac:dyDescent="0.3">
      <c r="A681">
        <v>33276</v>
      </c>
      <c r="B681" t="s">
        <v>28</v>
      </c>
      <c r="C681" t="s">
        <v>15</v>
      </c>
      <c r="D681" t="s">
        <v>16</v>
      </c>
      <c r="E681" t="s">
        <v>46</v>
      </c>
      <c r="F681" s="6" t="str">
        <f t="shared" si="10"/>
        <v>6ML</v>
      </c>
      <c r="G681" s="11">
        <v>46146</v>
      </c>
      <c r="H681" s="12">
        <v>0.45347222222222222</v>
      </c>
      <c r="I681" s="11">
        <v>46146</v>
      </c>
      <c r="J681" s="1">
        <v>46146</v>
      </c>
      <c r="K681" s="1">
        <v>46146</v>
      </c>
      <c r="L681" t="s">
        <v>61</v>
      </c>
      <c r="M681" t="s">
        <v>204</v>
      </c>
      <c r="N681" t="s">
        <v>31</v>
      </c>
      <c r="O681" t="s">
        <v>25</v>
      </c>
      <c r="P681">
        <v>28241</v>
      </c>
      <c r="Q681" t="s">
        <v>19</v>
      </c>
      <c r="R681">
        <v>40965</v>
      </c>
      <c r="S681" t="str">
        <f>VLOOKUP(L681&amp;TEXT(I681,"mmmm")&amp;YEAR(I681),'[1]Detalle C-Fecha'!$D$2:$E$15921,2,FALSE)</f>
        <v>Expreso - Servicios Troncales</v>
      </c>
    </row>
    <row r="682" spans="1:19" x14ac:dyDescent="0.3">
      <c r="A682">
        <v>33276</v>
      </c>
      <c r="B682" t="s">
        <v>28</v>
      </c>
      <c r="C682" t="s">
        <v>15</v>
      </c>
      <c r="D682" t="s">
        <v>16</v>
      </c>
      <c r="E682" t="s">
        <v>46</v>
      </c>
      <c r="F682" s="6" t="str">
        <f t="shared" si="10"/>
        <v>6ML</v>
      </c>
      <c r="G682" s="11">
        <v>46146</v>
      </c>
      <c r="H682" s="12">
        <v>0.45347222222222222</v>
      </c>
      <c r="I682" s="11">
        <v>46146</v>
      </c>
      <c r="J682" s="1">
        <v>46146</v>
      </c>
      <c r="K682" s="1">
        <v>46146</v>
      </c>
      <c r="L682" t="s">
        <v>61</v>
      </c>
      <c r="M682" t="s">
        <v>204</v>
      </c>
      <c r="N682" t="s">
        <v>31</v>
      </c>
      <c r="O682" t="s">
        <v>25</v>
      </c>
      <c r="P682">
        <v>28241</v>
      </c>
      <c r="Q682" t="s">
        <v>19</v>
      </c>
      <c r="R682">
        <v>40966</v>
      </c>
      <c r="S682" t="str">
        <f>VLOOKUP(L682&amp;TEXT(I682,"mmmm")&amp;YEAR(I682),'[1]Detalle C-Fecha'!$D$2:$E$15921,2,FALSE)</f>
        <v>Expreso - Servicios Troncales</v>
      </c>
    </row>
    <row r="683" spans="1:19" x14ac:dyDescent="0.3">
      <c r="A683">
        <v>33419</v>
      </c>
      <c r="B683" t="s">
        <v>28</v>
      </c>
      <c r="C683" t="s">
        <v>15</v>
      </c>
      <c r="D683" t="s">
        <v>16</v>
      </c>
      <c r="E683" t="s">
        <v>140</v>
      </c>
      <c r="F683" s="6" t="str">
        <f t="shared" si="10"/>
        <v>4ML</v>
      </c>
      <c r="G683" s="11">
        <v>46146</v>
      </c>
      <c r="H683" s="12">
        <v>0.62291666666666667</v>
      </c>
      <c r="I683" s="11">
        <v>46146</v>
      </c>
      <c r="J683" s="1">
        <v>46146</v>
      </c>
      <c r="K683" s="1">
        <v>46146</v>
      </c>
      <c r="L683" t="s">
        <v>206</v>
      </c>
      <c r="M683" t="s">
        <v>149</v>
      </c>
      <c r="N683" t="s">
        <v>31</v>
      </c>
      <c r="O683" t="s">
        <v>25</v>
      </c>
      <c r="P683">
        <v>28288</v>
      </c>
      <c r="Q683" t="s">
        <v>19</v>
      </c>
      <c r="R683">
        <v>42105</v>
      </c>
      <c r="S683" t="str">
        <f>VLOOKUP(L683&amp;TEXT(I683,"mmmm")&amp;YEAR(I683),'[1]Detalle C-Fecha'!$D$2:$E$15921,2,FALSE)</f>
        <v>Expreso - Servicios Troncales</v>
      </c>
    </row>
    <row r="684" spans="1:19" x14ac:dyDescent="0.3">
      <c r="A684">
        <v>33419</v>
      </c>
      <c r="B684" t="s">
        <v>28</v>
      </c>
      <c r="C684" t="s">
        <v>15</v>
      </c>
      <c r="D684" t="s">
        <v>16</v>
      </c>
      <c r="E684" t="s">
        <v>140</v>
      </c>
      <c r="F684" s="6" t="str">
        <f t="shared" si="10"/>
        <v>4ML</v>
      </c>
      <c r="G684" s="11">
        <v>46146</v>
      </c>
      <c r="H684" s="12">
        <v>0.62291666666666667</v>
      </c>
      <c r="I684" s="11">
        <v>46146</v>
      </c>
      <c r="J684" s="1">
        <v>46146</v>
      </c>
      <c r="K684" s="1">
        <v>46146</v>
      </c>
      <c r="L684" t="s">
        <v>206</v>
      </c>
      <c r="M684" t="s">
        <v>149</v>
      </c>
      <c r="N684" t="s">
        <v>31</v>
      </c>
      <c r="O684" t="s">
        <v>25</v>
      </c>
      <c r="P684">
        <v>28288</v>
      </c>
      <c r="Q684" t="s">
        <v>19</v>
      </c>
      <c r="R684">
        <v>42106</v>
      </c>
      <c r="S684" t="str">
        <f>VLOOKUP(L684&amp;TEXT(I684,"mmmm")&amp;YEAR(I684),'[1]Detalle C-Fecha'!$D$2:$E$15921,2,FALSE)</f>
        <v>Expreso - Servicios Troncales</v>
      </c>
    </row>
    <row r="685" spans="1:19" x14ac:dyDescent="0.3">
      <c r="A685">
        <v>33420</v>
      </c>
      <c r="B685" t="s">
        <v>28</v>
      </c>
      <c r="C685" t="s">
        <v>15</v>
      </c>
      <c r="D685" t="s">
        <v>16</v>
      </c>
      <c r="E685" t="s">
        <v>141</v>
      </c>
      <c r="F685" s="6" t="str">
        <f t="shared" si="10"/>
        <v>5ML</v>
      </c>
      <c r="G685" s="11">
        <v>46146</v>
      </c>
      <c r="H685" s="12">
        <v>0.62291666666666667</v>
      </c>
      <c r="I685" s="11">
        <v>46146</v>
      </c>
      <c r="J685" s="1">
        <v>46146</v>
      </c>
      <c r="K685" s="1">
        <v>46146</v>
      </c>
      <c r="L685" t="s">
        <v>206</v>
      </c>
      <c r="M685" t="s">
        <v>149</v>
      </c>
      <c r="N685" t="s">
        <v>31</v>
      </c>
      <c r="O685" t="s">
        <v>25</v>
      </c>
      <c r="P685">
        <v>28289</v>
      </c>
      <c r="Q685" t="s">
        <v>19</v>
      </c>
      <c r="R685">
        <v>42107</v>
      </c>
      <c r="S685" t="str">
        <f>VLOOKUP(L685&amp;TEXT(I685,"mmmm")&amp;YEAR(I685),'[1]Detalle C-Fecha'!$D$2:$E$15921,2,FALSE)</f>
        <v>Expreso - Servicios Troncales</v>
      </c>
    </row>
    <row r="686" spans="1:19" x14ac:dyDescent="0.3">
      <c r="A686">
        <v>33420</v>
      </c>
      <c r="B686" t="s">
        <v>28</v>
      </c>
      <c r="C686" t="s">
        <v>15</v>
      </c>
      <c r="D686" t="s">
        <v>16</v>
      </c>
      <c r="E686" t="s">
        <v>141</v>
      </c>
      <c r="F686" s="6" t="str">
        <f t="shared" si="10"/>
        <v>5ML</v>
      </c>
      <c r="G686" s="11">
        <v>46146</v>
      </c>
      <c r="H686" s="12">
        <v>0.62291666666666667</v>
      </c>
      <c r="I686" s="11">
        <v>46146</v>
      </c>
      <c r="J686" s="1">
        <v>46146</v>
      </c>
      <c r="K686" s="1">
        <v>46146</v>
      </c>
      <c r="L686" t="s">
        <v>206</v>
      </c>
      <c r="M686" t="s">
        <v>149</v>
      </c>
      <c r="N686" t="s">
        <v>31</v>
      </c>
      <c r="O686" t="s">
        <v>25</v>
      </c>
      <c r="P686">
        <v>28289</v>
      </c>
      <c r="Q686" t="s">
        <v>19</v>
      </c>
      <c r="R686">
        <v>42108</v>
      </c>
      <c r="S686" t="str">
        <f>VLOOKUP(L686&amp;TEXT(I686,"mmmm")&amp;YEAR(I686),'[1]Detalle C-Fecha'!$D$2:$E$15921,2,FALSE)</f>
        <v>Expreso - Servicios Troncales</v>
      </c>
    </row>
    <row r="687" spans="1:19" x14ac:dyDescent="0.3">
      <c r="A687">
        <v>33423</v>
      </c>
      <c r="B687" t="s">
        <v>28</v>
      </c>
      <c r="C687" t="s">
        <v>15</v>
      </c>
      <c r="D687" t="s">
        <v>16</v>
      </c>
      <c r="E687" t="s">
        <v>121</v>
      </c>
      <c r="F687" s="6" t="str">
        <f t="shared" si="10"/>
        <v>2MC</v>
      </c>
      <c r="G687" s="11">
        <v>46146</v>
      </c>
      <c r="H687" s="12">
        <v>0.77708333333333324</v>
      </c>
      <c r="I687" s="11">
        <v>46146</v>
      </c>
      <c r="J687" s="1">
        <v>46146</v>
      </c>
      <c r="K687" s="1">
        <v>46146</v>
      </c>
      <c r="L687" t="s">
        <v>207</v>
      </c>
      <c r="M687" t="s">
        <v>163</v>
      </c>
      <c r="N687" t="s">
        <v>208</v>
      </c>
      <c r="O687" t="s">
        <v>24</v>
      </c>
      <c r="P687">
        <v>28293</v>
      </c>
      <c r="Q687" t="s">
        <v>19</v>
      </c>
      <c r="R687">
        <v>41044</v>
      </c>
      <c r="S687" t="str">
        <f>VLOOKUP(L687&amp;TEXT(I687,"mmmm")&amp;YEAR(I687),'[1]Detalle C-Fecha'!$D$2:$E$15921,2,FALSE)</f>
        <v>CCUDyAZA</v>
      </c>
    </row>
    <row r="688" spans="1:19" x14ac:dyDescent="0.3">
      <c r="A688">
        <v>33423</v>
      </c>
      <c r="B688" t="s">
        <v>28</v>
      </c>
      <c r="C688" t="s">
        <v>15</v>
      </c>
      <c r="D688" t="s">
        <v>16</v>
      </c>
      <c r="E688" t="s">
        <v>121</v>
      </c>
      <c r="F688" s="6" t="str">
        <f t="shared" si="10"/>
        <v>2MC</v>
      </c>
      <c r="G688" s="11">
        <v>46146</v>
      </c>
      <c r="H688" s="12">
        <v>0.77708333333333324</v>
      </c>
      <c r="I688" s="11">
        <v>46146</v>
      </c>
      <c r="J688" s="1">
        <v>46146</v>
      </c>
      <c r="K688" s="1">
        <v>46146</v>
      </c>
      <c r="L688" t="s">
        <v>207</v>
      </c>
      <c r="M688" t="s">
        <v>163</v>
      </c>
      <c r="N688" t="s">
        <v>208</v>
      </c>
      <c r="O688" t="s">
        <v>24</v>
      </c>
      <c r="P688">
        <v>28293</v>
      </c>
      <c r="Q688" t="s">
        <v>19</v>
      </c>
      <c r="R688">
        <v>41259</v>
      </c>
      <c r="S688" t="str">
        <f>VLOOKUP(L688&amp;TEXT(I688,"mmmm")&amp;YEAR(I688),'[1]Detalle C-Fecha'!$D$2:$E$15921,2,FALSE)</f>
        <v>CCUDyAZA</v>
      </c>
    </row>
    <row r="689" spans="1:19" x14ac:dyDescent="0.3">
      <c r="A689">
        <v>33424</v>
      </c>
      <c r="B689" t="s">
        <v>28</v>
      </c>
      <c r="C689" t="s">
        <v>15</v>
      </c>
      <c r="D689" t="s">
        <v>16</v>
      </c>
      <c r="E689" t="s">
        <v>53</v>
      </c>
      <c r="F689" s="6" t="str">
        <f t="shared" si="10"/>
        <v>3MC</v>
      </c>
      <c r="G689" s="11">
        <v>46146</v>
      </c>
      <c r="H689" s="12">
        <v>0.77708333333333324</v>
      </c>
      <c r="I689" s="11">
        <v>46146</v>
      </c>
      <c r="J689" s="1">
        <v>46146</v>
      </c>
      <c r="K689" s="1">
        <v>46146</v>
      </c>
      <c r="L689" t="s">
        <v>207</v>
      </c>
      <c r="M689" t="s">
        <v>163</v>
      </c>
      <c r="N689" t="s">
        <v>208</v>
      </c>
      <c r="O689" t="s">
        <v>24</v>
      </c>
      <c r="P689">
        <v>28294</v>
      </c>
      <c r="Q689" t="s">
        <v>19</v>
      </c>
      <c r="R689">
        <v>41045</v>
      </c>
      <c r="S689" t="str">
        <f>VLOOKUP(L689&amp;TEXT(I689,"mmmm")&amp;YEAR(I689),'[1]Detalle C-Fecha'!$D$2:$E$15921,2,FALSE)</f>
        <v>CCUDyAZA</v>
      </c>
    </row>
    <row r="690" spans="1:19" x14ac:dyDescent="0.3">
      <c r="A690">
        <v>33424</v>
      </c>
      <c r="B690" t="s">
        <v>28</v>
      </c>
      <c r="C690" t="s">
        <v>15</v>
      </c>
      <c r="D690" t="s">
        <v>16</v>
      </c>
      <c r="E690" t="s">
        <v>53</v>
      </c>
      <c r="F690" s="6" t="str">
        <f t="shared" si="10"/>
        <v>3MC</v>
      </c>
      <c r="G690" s="11">
        <v>46146</v>
      </c>
      <c r="H690" s="12">
        <v>0.77708333333333324</v>
      </c>
      <c r="I690" s="11">
        <v>46146</v>
      </c>
      <c r="J690" s="1">
        <v>46146</v>
      </c>
      <c r="K690" s="1">
        <v>46146</v>
      </c>
      <c r="L690" t="s">
        <v>207</v>
      </c>
      <c r="M690" t="s">
        <v>163</v>
      </c>
      <c r="N690" t="s">
        <v>208</v>
      </c>
      <c r="O690" t="s">
        <v>24</v>
      </c>
      <c r="P690">
        <v>28294</v>
      </c>
      <c r="Q690" t="s">
        <v>19</v>
      </c>
      <c r="R690">
        <v>41260</v>
      </c>
      <c r="S690" t="str">
        <f>VLOOKUP(L690&amp;TEXT(I690,"mmmm")&amp;YEAR(I690),'[1]Detalle C-Fecha'!$D$2:$E$15921,2,FALSE)</f>
        <v>CCUDyAZA</v>
      </c>
    </row>
    <row r="691" spans="1:19" x14ac:dyDescent="0.3">
      <c r="A691">
        <v>33425</v>
      </c>
      <c r="B691" t="s">
        <v>28</v>
      </c>
      <c r="C691" t="s">
        <v>15</v>
      </c>
      <c r="D691" t="s">
        <v>16</v>
      </c>
      <c r="E691" t="s">
        <v>112</v>
      </c>
      <c r="F691" s="6" t="str">
        <f t="shared" si="10"/>
        <v>6MC</v>
      </c>
      <c r="G691" s="11">
        <v>46146</v>
      </c>
      <c r="H691" s="12">
        <v>0.77708333333333324</v>
      </c>
      <c r="I691" s="11">
        <v>46146</v>
      </c>
      <c r="J691" s="1">
        <v>46146</v>
      </c>
      <c r="K691" s="1">
        <v>46146</v>
      </c>
      <c r="L691" t="s">
        <v>207</v>
      </c>
      <c r="M691" t="s">
        <v>163</v>
      </c>
      <c r="N691" t="s">
        <v>208</v>
      </c>
      <c r="O691" t="s">
        <v>24</v>
      </c>
      <c r="P691">
        <v>28295</v>
      </c>
      <c r="Q691" t="s">
        <v>19</v>
      </c>
      <c r="R691">
        <v>41046</v>
      </c>
      <c r="S691" t="str">
        <f>VLOOKUP(L691&amp;TEXT(I691,"mmmm")&amp;YEAR(I691),'[1]Detalle C-Fecha'!$D$2:$E$15921,2,FALSE)</f>
        <v>CCUDyAZA</v>
      </c>
    </row>
    <row r="692" spans="1:19" x14ac:dyDescent="0.3">
      <c r="A692">
        <v>33425</v>
      </c>
      <c r="B692" t="s">
        <v>28</v>
      </c>
      <c r="C692" t="s">
        <v>15</v>
      </c>
      <c r="D692" t="s">
        <v>16</v>
      </c>
      <c r="E692" t="s">
        <v>112</v>
      </c>
      <c r="F692" s="6" t="str">
        <f t="shared" si="10"/>
        <v>6MC</v>
      </c>
      <c r="G692" s="11">
        <v>46146</v>
      </c>
      <c r="H692" s="12">
        <v>0.77708333333333324</v>
      </c>
      <c r="I692" s="11">
        <v>46146</v>
      </c>
      <c r="J692" s="1">
        <v>46146</v>
      </c>
      <c r="K692" s="1">
        <v>46146</v>
      </c>
      <c r="L692" t="s">
        <v>207</v>
      </c>
      <c r="M692" t="s">
        <v>163</v>
      </c>
      <c r="N692" t="s">
        <v>208</v>
      </c>
      <c r="O692" t="s">
        <v>24</v>
      </c>
      <c r="P692">
        <v>28295</v>
      </c>
      <c r="Q692" t="s">
        <v>19</v>
      </c>
      <c r="R692">
        <v>41261</v>
      </c>
      <c r="S692" t="str">
        <f>VLOOKUP(L692&amp;TEXT(I692,"mmmm")&amp;YEAR(I692),'[1]Detalle C-Fecha'!$D$2:$E$15921,2,FALSE)</f>
        <v>CCUDyAZA</v>
      </c>
    </row>
    <row r="693" spans="1:19" x14ac:dyDescent="0.3">
      <c r="A693">
        <v>33442</v>
      </c>
      <c r="B693" t="s">
        <v>28</v>
      </c>
      <c r="C693" t="s">
        <v>15</v>
      </c>
      <c r="D693" t="s">
        <v>16</v>
      </c>
      <c r="E693" t="s">
        <v>121</v>
      </c>
      <c r="F693" s="6" t="str">
        <f t="shared" si="10"/>
        <v>2MC</v>
      </c>
      <c r="G693" s="11">
        <v>46147</v>
      </c>
      <c r="H693" s="12">
        <v>0.44097222222222227</v>
      </c>
      <c r="I693" s="11">
        <v>46147</v>
      </c>
      <c r="J693" s="1">
        <v>46147</v>
      </c>
      <c r="K693" s="1">
        <v>46147</v>
      </c>
      <c r="L693" t="s">
        <v>209</v>
      </c>
      <c r="M693">
        <v>1624</v>
      </c>
      <c r="N693" t="s">
        <v>208</v>
      </c>
      <c r="O693" t="s">
        <v>27</v>
      </c>
      <c r="P693">
        <v>28309</v>
      </c>
      <c r="Q693" t="s">
        <v>19</v>
      </c>
      <c r="R693">
        <v>41055</v>
      </c>
      <c r="S693" t="str">
        <f>VLOOKUP(L693&amp;TEXT(I693,"mmmm")&amp;YEAR(I693),'[1]Detalle C-Fecha'!$D$2:$E$15921,2,FALSE)</f>
        <v>JOHNSON - SC JOHNSON DE ARGENTINA SAIC</v>
      </c>
    </row>
    <row r="694" spans="1:19" x14ac:dyDescent="0.3">
      <c r="A694">
        <v>33442</v>
      </c>
      <c r="B694" t="s">
        <v>28</v>
      </c>
      <c r="C694" t="s">
        <v>15</v>
      </c>
      <c r="D694" t="s">
        <v>16</v>
      </c>
      <c r="E694" t="s">
        <v>121</v>
      </c>
      <c r="F694" s="6" t="str">
        <f t="shared" si="10"/>
        <v>2MC</v>
      </c>
      <c r="G694" s="11">
        <v>46147</v>
      </c>
      <c r="H694" s="12">
        <v>0.44097222222222227</v>
      </c>
      <c r="I694" s="11">
        <v>46147</v>
      </c>
      <c r="J694" s="1">
        <v>46147</v>
      </c>
      <c r="K694" s="1">
        <v>46147</v>
      </c>
      <c r="L694" t="s">
        <v>209</v>
      </c>
      <c r="M694">
        <v>1624</v>
      </c>
      <c r="N694" t="s">
        <v>208</v>
      </c>
      <c r="O694" t="s">
        <v>27</v>
      </c>
      <c r="P694">
        <v>28309</v>
      </c>
      <c r="Q694" t="s">
        <v>19</v>
      </c>
      <c r="R694">
        <v>41309</v>
      </c>
      <c r="S694" t="str">
        <f>VLOOKUP(L694&amp;TEXT(I694,"mmmm")&amp;YEAR(I694),'[1]Detalle C-Fecha'!$D$2:$E$15921,2,FALSE)</f>
        <v>JOHNSON - SC JOHNSON DE ARGENTINA SAIC</v>
      </c>
    </row>
    <row r="695" spans="1:19" x14ac:dyDescent="0.3">
      <c r="A695">
        <v>33443</v>
      </c>
      <c r="B695" t="s">
        <v>28</v>
      </c>
      <c r="C695" t="s">
        <v>15</v>
      </c>
      <c r="D695" t="s">
        <v>16</v>
      </c>
      <c r="E695" t="s">
        <v>53</v>
      </c>
      <c r="F695" s="6" t="str">
        <f t="shared" si="10"/>
        <v>3MC</v>
      </c>
      <c r="G695" s="11">
        <v>46147</v>
      </c>
      <c r="H695" s="12">
        <v>0.44097222222222227</v>
      </c>
      <c r="I695" s="11">
        <v>46147</v>
      </c>
      <c r="J695" s="1">
        <v>46147</v>
      </c>
      <c r="K695" s="1">
        <v>46147</v>
      </c>
      <c r="L695" t="s">
        <v>209</v>
      </c>
      <c r="M695">
        <v>1624</v>
      </c>
      <c r="N695" t="s">
        <v>208</v>
      </c>
      <c r="O695" t="s">
        <v>27</v>
      </c>
      <c r="P695">
        <v>28310</v>
      </c>
      <c r="Q695" t="s">
        <v>19</v>
      </c>
      <c r="R695">
        <v>41056</v>
      </c>
      <c r="S695" t="str">
        <f>VLOOKUP(L695&amp;TEXT(I695,"mmmm")&amp;YEAR(I695),'[1]Detalle C-Fecha'!$D$2:$E$15921,2,FALSE)</f>
        <v>JOHNSON - SC JOHNSON DE ARGENTINA SAIC</v>
      </c>
    </row>
    <row r="696" spans="1:19" x14ac:dyDescent="0.3">
      <c r="A696">
        <v>33443</v>
      </c>
      <c r="B696" t="s">
        <v>28</v>
      </c>
      <c r="C696" t="s">
        <v>15</v>
      </c>
      <c r="D696" t="s">
        <v>16</v>
      </c>
      <c r="E696" t="s">
        <v>53</v>
      </c>
      <c r="F696" s="6" t="str">
        <f t="shared" si="10"/>
        <v>3MC</v>
      </c>
      <c r="G696" s="11">
        <v>46147</v>
      </c>
      <c r="H696" s="12">
        <v>0.44097222222222227</v>
      </c>
      <c r="I696" s="11">
        <v>46147</v>
      </c>
      <c r="J696" s="1">
        <v>46147</v>
      </c>
      <c r="K696" s="1">
        <v>46147</v>
      </c>
      <c r="L696" t="s">
        <v>209</v>
      </c>
      <c r="M696">
        <v>1624</v>
      </c>
      <c r="N696" t="s">
        <v>208</v>
      </c>
      <c r="O696" t="s">
        <v>27</v>
      </c>
      <c r="P696">
        <v>28310</v>
      </c>
      <c r="Q696" t="s">
        <v>19</v>
      </c>
      <c r="R696">
        <v>41310</v>
      </c>
      <c r="S696" t="str">
        <f>VLOOKUP(L696&amp;TEXT(I696,"mmmm")&amp;YEAR(I696),'[1]Detalle C-Fecha'!$D$2:$E$15921,2,FALSE)</f>
        <v>JOHNSON - SC JOHNSON DE ARGENTINA SAIC</v>
      </c>
    </row>
    <row r="697" spans="1:19" x14ac:dyDescent="0.3">
      <c r="A697">
        <v>33444</v>
      </c>
      <c r="B697" t="s">
        <v>28</v>
      </c>
      <c r="C697" t="s">
        <v>15</v>
      </c>
      <c r="D697" t="s">
        <v>16</v>
      </c>
      <c r="E697" t="s">
        <v>111</v>
      </c>
      <c r="F697" s="6" t="str">
        <f t="shared" si="10"/>
        <v>6MC</v>
      </c>
      <c r="G697" s="11">
        <v>46147</v>
      </c>
      <c r="H697" s="12">
        <v>0.44097222222222227</v>
      </c>
      <c r="I697" s="11">
        <v>46147</v>
      </c>
      <c r="J697" s="1">
        <v>46147</v>
      </c>
      <c r="K697" s="1">
        <v>46147</v>
      </c>
      <c r="L697" t="s">
        <v>209</v>
      </c>
      <c r="M697">
        <v>1624</v>
      </c>
      <c r="N697" t="s">
        <v>208</v>
      </c>
      <c r="O697" t="s">
        <v>27</v>
      </c>
      <c r="P697">
        <v>28311</v>
      </c>
      <c r="Q697" t="s">
        <v>19</v>
      </c>
      <c r="R697">
        <v>41057</v>
      </c>
      <c r="S697" t="str">
        <f>VLOOKUP(L697&amp;TEXT(I697,"mmmm")&amp;YEAR(I697),'[1]Detalle C-Fecha'!$D$2:$E$15921,2,FALSE)</f>
        <v>JOHNSON - SC JOHNSON DE ARGENTINA SAIC</v>
      </c>
    </row>
    <row r="698" spans="1:19" x14ac:dyDescent="0.3">
      <c r="A698">
        <v>33444</v>
      </c>
      <c r="B698" t="s">
        <v>28</v>
      </c>
      <c r="C698" t="s">
        <v>15</v>
      </c>
      <c r="D698" t="s">
        <v>16</v>
      </c>
      <c r="E698" t="s">
        <v>111</v>
      </c>
      <c r="F698" s="6" t="str">
        <f t="shared" si="10"/>
        <v>6MC</v>
      </c>
      <c r="G698" s="11">
        <v>46147</v>
      </c>
      <c r="H698" s="12">
        <v>0.44097222222222227</v>
      </c>
      <c r="I698" s="11">
        <v>46147</v>
      </c>
      <c r="J698" s="1">
        <v>46147</v>
      </c>
      <c r="K698" s="1">
        <v>46147</v>
      </c>
      <c r="L698" t="s">
        <v>209</v>
      </c>
      <c r="M698">
        <v>1624</v>
      </c>
      <c r="N698" t="s">
        <v>208</v>
      </c>
      <c r="O698" t="s">
        <v>27</v>
      </c>
      <c r="P698">
        <v>28311</v>
      </c>
      <c r="Q698" t="s">
        <v>19</v>
      </c>
      <c r="R698">
        <v>41311</v>
      </c>
      <c r="S698" t="str">
        <f>VLOOKUP(L698&amp;TEXT(I698,"mmmm")&amp;YEAR(I698),'[1]Detalle C-Fecha'!$D$2:$E$15921,2,FALSE)</f>
        <v>JOHNSON - SC JOHNSON DE ARGENTINA SAIC</v>
      </c>
    </row>
    <row r="699" spans="1:19" x14ac:dyDescent="0.3">
      <c r="A699">
        <v>33484</v>
      </c>
      <c r="B699" t="s">
        <v>28</v>
      </c>
      <c r="C699" t="s">
        <v>15</v>
      </c>
      <c r="D699" t="s">
        <v>16</v>
      </c>
      <c r="E699" t="s">
        <v>35</v>
      </c>
      <c r="F699" s="6" t="str">
        <f t="shared" si="10"/>
        <v>2ML</v>
      </c>
      <c r="G699" s="11">
        <v>46148</v>
      </c>
      <c r="H699" s="12">
        <v>0.42569444444444443</v>
      </c>
      <c r="I699" s="11">
        <v>46148</v>
      </c>
      <c r="J699" s="1">
        <v>46148</v>
      </c>
      <c r="K699" s="1">
        <v>46148</v>
      </c>
      <c r="L699" t="s">
        <v>210</v>
      </c>
      <c r="M699" t="s">
        <v>146</v>
      </c>
      <c r="N699" t="s">
        <v>208</v>
      </c>
      <c r="O699" t="s">
        <v>27</v>
      </c>
      <c r="P699">
        <v>28347</v>
      </c>
      <c r="Q699" t="s">
        <v>19</v>
      </c>
      <c r="R699">
        <v>41069</v>
      </c>
      <c r="S699" t="str">
        <f>VLOOKUP(L699&amp;TEXT(I699,"mmmm")&amp;YEAR(I699),'[1]Detalle C-Fecha'!$D$2:$E$15921,2,FALSE)</f>
        <v>Arcor S.A.I.C.</v>
      </c>
    </row>
    <row r="700" spans="1:19" x14ac:dyDescent="0.3">
      <c r="A700">
        <v>33484</v>
      </c>
      <c r="B700" t="s">
        <v>28</v>
      </c>
      <c r="C700" t="s">
        <v>15</v>
      </c>
      <c r="D700" t="s">
        <v>16</v>
      </c>
      <c r="E700" t="s">
        <v>35</v>
      </c>
      <c r="F700" s="6" t="str">
        <f t="shared" si="10"/>
        <v>2ML</v>
      </c>
      <c r="G700" s="11">
        <v>46148</v>
      </c>
      <c r="H700" s="12">
        <v>0.42569444444444443</v>
      </c>
      <c r="I700" s="11">
        <v>46148</v>
      </c>
      <c r="J700" s="1">
        <v>46148</v>
      </c>
      <c r="K700" s="1">
        <v>46148</v>
      </c>
      <c r="L700" t="s">
        <v>210</v>
      </c>
      <c r="M700" t="s">
        <v>146</v>
      </c>
      <c r="N700" t="s">
        <v>208</v>
      </c>
      <c r="O700" t="s">
        <v>27</v>
      </c>
      <c r="P700">
        <v>28347</v>
      </c>
      <c r="Q700" t="s">
        <v>19</v>
      </c>
      <c r="R700">
        <v>41520</v>
      </c>
      <c r="S700" t="str">
        <f>VLOOKUP(L700&amp;TEXT(I700,"mmmm")&amp;YEAR(I700),'[1]Detalle C-Fecha'!$D$2:$E$15921,2,FALSE)</f>
        <v>Arcor S.A.I.C.</v>
      </c>
    </row>
    <row r="701" spans="1:19" x14ac:dyDescent="0.3">
      <c r="A701">
        <v>33485</v>
      </c>
      <c r="B701" t="s">
        <v>28</v>
      </c>
      <c r="C701" t="s">
        <v>15</v>
      </c>
      <c r="D701" t="s">
        <v>16</v>
      </c>
      <c r="E701" t="s">
        <v>47</v>
      </c>
      <c r="F701" s="6" t="str">
        <f t="shared" si="10"/>
        <v>3ML</v>
      </c>
      <c r="G701" s="11">
        <v>46148</v>
      </c>
      <c r="H701" s="12">
        <v>0.42569444444444443</v>
      </c>
      <c r="I701" s="11">
        <v>46148</v>
      </c>
      <c r="J701" s="1">
        <v>46148</v>
      </c>
      <c r="K701" s="1">
        <v>46148</v>
      </c>
      <c r="L701" t="s">
        <v>210</v>
      </c>
      <c r="M701" t="s">
        <v>146</v>
      </c>
      <c r="N701" t="s">
        <v>208</v>
      </c>
      <c r="O701" t="s">
        <v>27</v>
      </c>
      <c r="P701">
        <v>28348</v>
      </c>
      <c r="Q701" t="s">
        <v>19</v>
      </c>
      <c r="R701">
        <v>41070</v>
      </c>
      <c r="S701" t="str">
        <f>VLOOKUP(L701&amp;TEXT(I701,"mmmm")&amp;YEAR(I701),'[1]Detalle C-Fecha'!$D$2:$E$15921,2,FALSE)</f>
        <v>Arcor S.A.I.C.</v>
      </c>
    </row>
    <row r="702" spans="1:19" x14ac:dyDescent="0.3">
      <c r="A702">
        <v>33485</v>
      </c>
      <c r="B702" t="s">
        <v>28</v>
      </c>
      <c r="C702" t="s">
        <v>15</v>
      </c>
      <c r="D702" t="s">
        <v>16</v>
      </c>
      <c r="E702" t="s">
        <v>47</v>
      </c>
      <c r="F702" s="6" t="str">
        <f t="shared" si="10"/>
        <v>3ML</v>
      </c>
      <c r="G702" s="11">
        <v>46148</v>
      </c>
      <c r="H702" s="12">
        <v>0.42569444444444443</v>
      </c>
      <c r="I702" s="11">
        <v>46148</v>
      </c>
      <c r="J702" s="1">
        <v>46148</v>
      </c>
      <c r="K702" s="1">
        <v>46148</v>
      </c>
      <c r="L702" t="s">
        <v>210</v>
      </c>
      <c r="M702" t="s">
        <v>146</v>
      </c>
      <c r="N702" t="s">
        <v>208</v>
      </c>
      <c r="O702" t="s">
        <v>27</v>
      </c>
      <c r="P702">
        <v>28348</v>
      </c>
      <c r="Q702" t="s">
        <v>19</v>
      </c>
      <c r="R702">
        <v>41322</v>
      </c>
      <c r="S702" t="str">
        <f>VLOOKUP(L702&amp;TEXT(I702,"mmmm")&amp;YEAR(I702),'[1]Detalle C-Fecha'!$D$2:$E$15921,2,FALSE)</f>
        <v>Arcor S.A.I.C.</v>
      </c>
    </row>
    <row r="703" spans="1:19" x14ac:dyDescent="0.3">
      <c r="A703">
        <v>33486</v>
      </c>
      <c r="B703" t="s">
        <v>28</v>
      </c>
      <c r="C703" t="s">
        <v>15</v>
      </c>
      <c r="D703" t="s">
        <v>16</v>
      </c>
      <c r="E703" t="s">
        <v>46</v>
      </c>
      <c r="F703" s="6" t="str">
        <f t="shared" si="10"/>
        <v>6ML</v>
      </c>
      <c r="G703" s="11">
        <v>46148</v>
      </c>
      <c r="H703" s="12">
        <v>0.42569444444444443</v>
      </c>
      <c r="I703" s="11">
        <v>46148</v>
      </c>
      <c r="J703" s="1">
        <v>46148</v>
      </c>
      <c r="K703" s="1">
        <v>46148</v>
      </c>
      <c r="L703" t="s">
        <v>210</v>
      </c>
      <c r="M703" t="s">
        <v>146</v>
      </c>
      <c r="N703" t="s">
        <v>208</v>
      </c>
      <c r="O703" t="s">
        <v>27</v>
      </c>
      <c r="P703">
        <v>28350</v>
      </c>
      <c r="Q703" t="s">
        <v>19</v>
      </c>
      <c r="R703">
        <v>41071</v>
      </c>
      <c r="S703" t="str">
        <f>VLOOKUP(L703&amp;TEXT(I703,"mmmm")&amp;YEAR(I703),'[1]Detalle C-Fecha'!$D$2:$E$15921,2,FALSE)</f>
        <v>Arcor S.A.I.C.</v>
      </c>
    </row>
    <row r="704" spans="1:19" x14ac:dyDescent="0.3">
      <c r="A704">
        <v>33486</v>
      </c>
      <c r="B704" t="s">
        <v>28</v>
      </c>
      <c r="C704" t="s">
        <v>15</v>
      </c>
      <c r="D704" t="s">
        <v>16</v>
      </c>
      <c r="E704" t="s">
        <v>46</v>
      </c>
      <c r="F704" s="6" t="str">
        <f t="shared" si="10"/>
        <v>6ML</v>
      </c>
      <c r="G704" s="11">
        <v>46148</v>
      </c>
      <c r="H704" s="12">
        <v>0.42569444444444443</v>
      </c>
      <c r="I704" s="11">
        <v>46148</v>
      </c>
      <c r="J704" s="1">
        <v>46148</v>
      </c>
      <c r="K704" s="1">
        <v>46148</v>
      </c>
      <c r="L704" t="s">
        <v>210</v>
      </c>
      <c r="M704" t="s">
        <v>146</v>
      </c>
      <c r="N704" t="s">
        <v>208</v>
      </c>
      <c r="O704" t="s">
        <v>27</v>
      </c>
      <c r="P704">
        <v>28350</v>
      </c>
      <c r="Q704" t="s">
        <v>19</v>
      </c>
      <c r="R704">
        <v>41323</v>
      </c>
      <c r="S704" t="str">
        <f>VLOOKUP(L704&amp;TEXT(I704,"mmmm")&amp;YEAR(I704),'[1]Detalle C-Fecha'!$D$2:$E$15921,2,FALSE)</f>
        <v>Arcor S.A.I.C.</v>
      </c>
    </row>
    <row r="705" spans="1:19" x14ac:dyDescent="0.3">
      <c r="A705">
        <v>33498</v>
      </c>
      <c r="B705" t="s">
        <v>28</v>
      </c>
      <c r="C705" t="s">
        <v>15</v>
      </c>
      <c r="D705" t="s">
        <v>16</v>
      </c>
      <c r="E705" t="s">
        <v>118</v>
      </c>
      <c r="F705" s="6" t="str">
        <f t="shared" ref="F705:F768" si="11">MID(E705,1,3)</f>
        <v>2ML</v>
      </c>
      <c r="G705" s="11">
        <v>46148</v>
      </c>
      <c r="H705" s="12">
        <v>0.4777777777777778</v>
      </c>
      <c r="I705" s="11">
        <v>46146</v>
      </c>
      <c r="J705" s="1">
        <v>46146</v>
      </c>
      <c r="K705" s="1">
        <v>46146</v>
      </c>
      <c r="L705" t="s">
        <v>65</v>
      </c>
      <c r="M705" t="s">
        <v>142</v>
      </c>
      <c r="N705" t="s">
        <v>17</v>
      </c>
      <c r="O705" t="s">
        <v>25</v>
      </c>
      <c r="P705">
        <v>28361</v>
      </c>
      <c r="Q705" t="s">
        <v>19</v>
      </c>
      <c r="R705">
        <v>41572</v>
      </c>
      <c r="S705" t="str">
        <f>VLOOKUP(L705&amp;TEXT(I705,"mmmm")&amp;YEAR(I705),'[1]Detalle C-Fecha'!$D$2:$E$15921,2,FALSE)</f>
        <v>Expreso - Servicios Troncales</v>
      </c>
    </row>
    <row r="706" spans="1:19" x14ac:dyDescent="0.3">
      <c r="A706">
        <v>33498</v>
      </c>
      <c r="B706" t="s">
        <v>28</v>
      </c>
      <c r="C706" t="s">
        <v>15</v>
      </c>
      <c r="D706" t="s">
        <v>16</v>
      </c>
      <c r="E706" t="s">
        <v>118</v>
      </c>
      <c r="F706" s="6" t="str">
        <f t="shared" si="11"/>
        <v>2ML</v>
      </c>
      <c r="G706" s="11">
        <v>46148</v>
      </c>
      <c r="H706" s="12">
        <v>0.4777777777777778</v>
      </c>
      <c r="I706" s="11">
        <v>46146</v>
      </c>
      <c r="J706" s="1">
        <v>46146</v>
      </c>
      <c r="K706" s="1">
        <v>46146</v>
      </c>
      <c r="L706" t="s">
        <v>65</v>
      </c>
      <c r="M706" t="s">
        <v>142</v>
      </c>
      <c r="N706" t="s">
        <v>17</v>
      </c>
      <c r="O706" t="s">
        <v>25</v>
      </c>
      <c r="P706">
        <v>28361</v>
      </c>
      <c r="Q706" t="s">
        <v>19</v>
      </c>
      <c r="R706">
        <v>41573</v>
      </c>
      <c r="S706" t="str">
        <f>VLOOKUP(L706&amp;TEXT(I706,"mmmm")&amp;YEAR(I706),'[1]Detalle C-Fecha'!$D$2:$E$15921,2,FALSE)</f>
        <v>Expreso - Servicios Troncales</v>
      </c>
    </row>
    <row r="707" spans="1:19" x14ac:dyDescent="0.3">
      <c r="A707">
        <v>33499</v>
      </c>
      <c r="B707" t="s">
        <v>28</v>
      </c>
      <c r="C707" t="s">
        <v>15</v>
      </c>
      <c r="D707" t="s">
        <v>16</v>
      </c>
      <c r="E707" t="s">
        <v>119</v>
      </c>
      <c r="F707" s="6" t="str">
        <f t="shared" si="11"/>
        <v>3ML</v>
      </c>
      <c r="G707" s="11">
        <v>46148</v>
      </c>
      <c r="H707" s="12">
        <v>0.4777777777777778</v>
      </c>
      <c r="I707" s="11">
        <v>46146</v>
      </c>
      <c r="J707" s="1">
        <v>46146</v>
      </c>
      <c r="K707" s="1">
        <v>46146</v>
      </c>
      <c r="L707" t="s">
        <v>65</v>
      </c>
      <c r="M707" t="s">
        <v>142</v>
      </c>
      <c r="N707" t="s">
        <v>17</v>
      </c>
      <c r="O707" t="s">
        <v>25</v>
      </c>
      <c r="P707">
        <v>28362</v>
      </c>
      <c r="Q707" t="s">
        <v>19</v>
      </c>
      <c r="R707">
        <v>41574</v>
      </c>
      <c r="S707" t="str">
        <f>VLOOKUP(L707&amp;TEXT(I707,"mmmm")&amp;YEAR(I707),'[1]Detalle C-Fecha'!$D$2:$E$15921,2,FALSE)</f>
        <v>Expreso - Servicios Troncales</v>
      </c>
    </row>
    <row r="708" spans="1:19" x14ac:dyDescent="0.3">
      <c r="A708">
        <v>33499</v>
      </c>
      <c r="B708" t="s">
        <v>28</v>
      </c>
      <c r="C708" t="s">
        <v>15</v>
      </c>
      <c r="D708" t="s">
        <v>16</v>
      </c>
      <c r="E708" t="s">
        <v>119</v>
      </c>
      <c r="F708" s="6" t="str">
        <f t="shared" si="11"/>
        <v>3ML</v>
      </c>
      <c r="G708" s="11">
        <v>46148</v>
      </c>
      <c r="H708" s="12">
        <v>0.4777777777777778</v>
      </c>
      <c r="I708" s="11">
        <v>46146</v>
      </c>
      <c r="J708" s="1">
        <v>46146</v>
      </c>
      <c r="K708" s="1">
        <v>46146</v>
      </c>
      <c r="L708" t="s">
        <v>65</v>
      </c>
      <c r="M708" t="s">
        <v>142</v>
      </c>
      <c r="N708" t="s">
        <v>17</v>
      </c>
      <c r="O708" t="s">
        <v>25</v>
      </c>
      <c r="P708">
        <v>28362</v>
      </c>
      <c r="Q708" t="s">
        <v>19</v>
      </c>
      <c r="R708">
        <v>41575</v>
      </c>
      <c r="S708" t="str">
        <f>VLOOKUP(L708&amp;TEXT(I708,"mmmm")&amp;YEAR(I708),'[1]Detalle C-Fecha'!$D$2:$E$15921,2,FALSE)</f>
        <v>Expreso - Servicios Troncales</v>
      </c>
    </row>
    <row r="709" spans="1:19" x14ac:dyDescent="0.3">
      <c r="A709">
        <v>33500</v>
      </c>
      <c r="B709" t="s">
        <v>28</v>
      </c>
      <c r="C709" t="s">
        <v>15</v>
      </c>
      <c r="D709" t="s">
        <v>16</v>
      </c>
      <c r="E709" t="s">
        <v>120</v>
      </c>
      <c r="F709" s="6" t="str">
        <f t="shared" si="11"/>
        <v>6ML</v>
      </c>
      <c r="G709" s="11">
        <v>46148</v>
      </c>
      <c r="H709" s="12">
        <v>0.4777777777777778</v>
      </c>
      <c r="I709" s="11">
        <v>46146</v>
      </c>
      <c r="J709" s="1">
        <v>46146</v>
      </c>
      <c r="K709" s="1">
        <v>46146</v>
      </c>
      <c r="L709" t="s">
        <v>65</v>
      </c>
      <c r="M709" t="s">
        <v>142</v>
      </c>
      <c r="N709" t="s">
        <v>17</v>
      </c>
      <c r="O709" t="s">
        <v>25</v>
      </c>
      <c r="P709">
        <v>28363</v>
      </c>
      <c r="Q709" t="s">
        <v>19</v>
      </c>
      <c r="R709">
        <v>41576</v>
      </c>
      <c r="S709" t="str">
        <f>VLOOKUP(L709&amp;TEXT(I709,"mmmm")&amp;YEAR(I709),'[1]Detalle C-Fecha'!$D$2:$E$15921,2,FALSE)</f>
        <v>Expreso - Servicios Troncales</v>
      </c>
    </row>
    <row r="710" spans="1:19" x14ac:dyDescent="0.3">
      <c r="A710">
        <v>33500</v>
      </c>
      <c r="B710" t="s">
        <v>28</v>
      </c>
      <c r="C710" t="s">
        <v>15</v>
      </c>
      <c r="D710" t="s">
        <v>16</v>
      </c>
      <c r="E710" t="s">
        <v>120</v>
      </c>
      <c r="F710" s="6" t="str">
        <f t="shared" si="11"/>
        <v>6ML</v>
      </c>
      <c r="G710" s="11">
        <v>46148</v>
      </c>
      <c r="H710" s="12">
        <v>0.4777777777777778</v>
      </c>
      <c r="I710" s="11">
        <v>46146</v>
      </c>
      <c r="J710" s="1">
        <v>46146</v>
      </c>
      <c r="K710" s="1">
        <v>46146</v>
      </c>
      <c r="L710" t="s">
        <v>65</v>
      </c>
      <c r="M710" t="s">
        <v>142</v>
      </c>
      <c r="N710" t="s">
        <v>17</v>
      </c>
      <c r="O710" t="s">
        <v>25</v>
      </c>
      <c r="P710">
        <v>28363</v>
      </c>
      <c r="Q710" t="s">
        <v>19</v>
      </c>
      <c r="R710">
        <v>41577</v>
      </c>
      <c r="S710" t="str">
        <f>VLOOKUP(L710&amp;TEXT(I710,"mmmm")&amp;YEAR(I710),'[1]Detalle C-Fecha'!$D$2:$E$15921,2,FALSE)</f>
        <v>Expreso - Servicios Troncales</v>
      </c>
    </row>
    <row r="711" spans="1:19" x14ac:dyDescent="0.3">
      <c r="A711">
        <v>33514</v>
      </c>
      <c r="B711" t="s">
        <v>28</v>
      </c>
      <c r="C711" t="s">
        <v>15</v>
      </c>
      <c r="D711" t="s">
        <v>16</v>
      </c>
      <c r="E711" t="s">
        <v>51</v>
      </c>
      <c r="F711" s="6" t="str">
        <f t="shared" si="11"/>
        <v>2MC</v>
      </c>
      <c r="G711" s="11">
        <v>46148</v>
      </c>
      <c r="H711" s="12">
        <v>0.51874999999999993</v>
      </c>
      <c r="I711" s="11">
        <v>46148</v>
      </c>
      <c r="J711" s="1">
        <v>46148</v>
      </c>
      <c r="K711" s="1">
        <v>46148</v>
      </c>
      <c r="L711" t="s">
        <v>211</v>
      </c>
      <c r="M711" t="s">
        <v>192</v>
      </c>
      <c r="N711" t="s">
        <v>208</v>
      </c>
      <c r="O711" t="s">
        <v>24</v>
      </c>
      <c r="P711">
        <v>28375</v>
      </c>
      <c r="Q711" t="s">
        <v>19</v>
      </c>
      <c r="R711">
        <v>41074</v>
      </c>
      <c r="S711" t="str">
        <f>VLOOKUP(L711&amp;TEXT(I711,"mmmm")&amp;YEAR(I711),'[1]Detalle C-Fecha'!$D$2:$E$15921,2,FALSE)</f>
        <v>CCUDyAZA</v>
      </c>
    </row>
    <row r="712" spans="1:19" x14ac:dyDescent="0.3">
      <c r="A712">
        <v>33514</v>
      </c>
      <c r="B712" t="s">
        <v>28</v>
      </c>
      <c r="C712" t="s">
        <v>15</v>
      </c>
      <c r="D712" t="s">
        <v>16</v>
      </c>
      <c r="E712" t="s">
        <v>51</v>
      </c>
      <c r="F712" s="6" t="str">
        <f t="shared" si="11"/>
        <v>2MC</v>
      </c>
      <c r="G712" s="11">
        <v>46148</v>
      </c>
      <c r="H712" s="12">
        <v>0.51874999999999993</v>
      </c>
      <c r="I712" s="11">
        <v>46148</v>
      </c>
      <c r="J712" s="1">
        <v>46148</v>
      </c>
      <c r="K712" s="1">
        <v>46148</v>
      </c>
      <c r="L712" t="s">
        <v>211</v>
      </c>
      <c r="M712" t="s">
        <v>192</v>
      </c>
      <c r="N712" t="s">
        <v>208</v>
      </c>
      <c r="O712" t="s">
        <v>24</v>
      </c>
      <c r="P712">
        <v>28375</v>
      </c>
      <c r="Q712" t="s">
        <v>19</v>
      </c>
      <c r="R712">
        <v>41265</v>
      </c>
      <c r="S712" t="str">
        <f>VLOOKUP(L712&amp;TEXT(I712,"mmmm")&amp;YEAR(I712),'[1]Detalle C-Fecha'!$D$2:$E$15921,2,FALSE)</f>
        <v>CCUDyAZA</v>
      </c>
    </row>
    <row r="713" spans="1:19" x14ac:dyDescent="0.3">
      <c r="A713">
        <v>33515</v>
      </c>
      <c r="B713" t="s">
        <v>28</v>
      </c>
      <c r="C713" t="s">
        <v>15</v>
      </c>
      <c r="D713" t="s">
        <v>16</v>
      </c>
      <c r="E713" t="s">
        <v>53</v>
      </c>
      <c r="F713" s="6" t="str">
        <f t="shared" si="11"/>
        <v>3MC</v>
      </c>
      <c r="G713" s="11">
        <v>46148</v>
      </c>
      <c r="H713" s="12">
        <v>0.51874999999999993</v>
      </c>
      <c r="I713" s="11">
        <v>46148</v>
      </c>
      <c r="J713" s="1">
        <v>46148</v>
      </c>
      <c r="K713" s="1">
        <v>46148</v>
      </c>
      <c r="L713" t="s">
        <v>211</v>
      </c>
      <c r="M713" t="s">
        <v>192</v>
      </c>
      <c r="N713" t="s">
        <v>208</v>
      </c>
      <c r="O713" t="s">
        <v>24</v>
      </c>
      <c r="P713">
        <v>28377</v>
      </c>
      <c r="Q713" t="s">
        <v>19</v>
      </c>
      <c r="R713">
        <v>41075</v>
      </c>
      <c r="S713" t="str">
        <f>VLOOKUP(L713&amp;TEXT(I713,"mmmm")&amp;YEAR(I713),'[1]Detalle C-Fecha'!$D$2:$E$15921,2,FALSE)</f>
        <v>CCUDyAZA</v>
      </c>
    </row>
    <row r="714" spans="1:19" x14ac:dyDescent="0.3">
      <c r="A714">
        <v>33515</v>
      </c>
      <c r="B714" t="s">
        <v>28</v>
      </c>
      <c r="C714" t="s">
        <v>15</v>
      </c>
      <c r="D714" t="s">
        <v>16</v>
      </c>
      <c r="E714" t="s">
        <v>53</v>
      </c>
      <c r="F714" s="6" t="str">
        <f t="shared" si="11"/>
        <v>3MC</v>
      </c>
      <c r="G714" s="11">
        <v>46148</v>
      </c>
      <c r="H714" s="12">
        <v>0.51874999999999993</v>
      </c>
      <c r="I714" s="11">
        <v>46148</v>
      </c>
      <c r="J714" s="1">
        <v>46148</v>
      </c>
      <c r="K714" s="1">
        <v>46148</v>
      </c>
      <c r="L714" t="s">
        <v>211</v>
      </c>
      <c r="M714" t="s">
        <v>192</v>
      </c>
      <c r="N714" t="s">
        <v>208</v>
      </c>
      <c r="O714" t="s">
        <v>24</v>
      </c>
      <c r="P714">
        <v>28377</v>
      </c>
      <c r="Q714" t="s">
        <v>19</v>
      </c>
      <c r="R714">
        <v>41266</v>
      </c>
      <c r="S714" t="str">
        <f>VLOOKUP(L714&amp;TEXT(I714,"mmmm")&amp;YEAR(I714),'[1]Detalle C-Fecha'!$D$2:$E$15921,2,FALSE)</f>
        <v>CCUDyAZA</v>
      </c>
    </row>
    <row r="715" spans="1:19" x14ac:dyDescent="0.3">
      <c r="A715">
        <v>33516</v>
      </c>
      <c r="B715" t="s">
        <v>28</v>
      </c>
      <c r="C715" t="s">
        <v>15</v>
      </c>
      <c r="D715" t="s">
        <v>16</v>
      </c>
      <c r="E715" t="s">
        <v>52</v>
      </c>
      <c r="F715" s="6" t="str">
        <f t="shared" si="11"/>
        <v>6MC</v>
      </c>
      <c r="G715" s="11">
        <v>46148</v>
      </c>
      <c r="H715" s="12">
        <v>0.51874999999999993</v>
      </c>
      <c r="I715" s="11">
        <v>46148</v>
      </c>
      <c r="J715" s="1">
        <v>46148</v>
      </c>
      <c r="K715" s="1">
        <v>46148</v>
      </c>
      <c r="L715" t="s">
        <v>211</v>
      </c>
      <c r="M715" t="s">
        <v>192</v>
      </c>
      <c r="N715" t="s">
        <v>208</v>
      </c>
      <c r="O715" t="s">
        <v>24</v>
      </c>
      <c r="P715">
        <v>28379</v>
      </c>
      <c r="Q715" t="s">
        <v>19</v>
      </c>
      <c r="R715">
        <v>41076</v>
      </c>
      <c r="S715" t="str">
        <f>VLOOKUP(L715&amp;TEXT(I715,"mmmm")&amp;YEAR(I715),'[1]Detalle C-Fecha'!$D$2:$E$15921,2,FALSE)</f>
        <v>CCUDyAZA</v>
      </c>
    </row>
    <row r="716" spans="1:19" x14ac:dyDescent="0.3">
      <c r="A716">
        <v>33516</v>
      </c>
      <c r="B716" t="s">
        <v>28</v>
      </c>
      <c r="C716" t="s">
        <v>15</v>
      </c>
      <c r="D716" t="s">
        <v>16</v>
      </c>
      <c r="E716" t="s">
        <v>52</v>
      </c>
      <c r="F716" s="6" t="str">
        <f t="shared" si="11"/>
        <v>6MC</v>
      </c>
      <c r="G716" s="11">
        <v>46148</v>
      </c>
      <c r="H716" s="12">
        <v>0.51874999999999993</v>
      </c>
      <c r="I716" s="11">
        <v>46148</v>
      </c>
      <c r="J716" s="1">
        <v>46148</v>
      </c>
      <c r="K716" s="1">
        <v>46148</v>
      </c>
      <c r="L716" t="s">
        <v>211</v>
      </c>
      <c r="M716" t="s">
        <v>192</v>
      </c>
      <c r="N716" t="s">
        <v>208</v>
      </c>
      <c r="O716" t="s">
        <v>24</v>
      </c>
      <c r="P716">
        <v>28379</v>
      </c>
      <c r="Q716" t="s">
        <v>19</v>
      </c>
      <c r="R716">
        <v>41267</v>
      </c>
      <c r="S716" t="str">
        <f>VLOOKUP(L716&amp;TEXT(I716,"mmmm")&amp;YEAR(I716),'[1]Detalle C-Fecha'!$D$2:$E$15921,2,FALSE)</f>
        <v>CCUDyAZA</v>
      </c>
    </row>
    <row r="717" spans="1:19" x14ac:dyDescent="0.3">
      <c r="A717">
        <v>33531</v>
      </c>
      <c r="B717" t="s">
        <v>28</v>
      </c>
      <c r="C717" t="s">
        <v>15</v>
      </c>
      <c r="D717" t="s">
        <v>16</v>
      </c>
      <c r="E717" t="s">
        <v>121</v>
      </c>
      <c r="F717" s="6" t="str">
        <f t="shared" si="11"/>
        <v>2MC</v>
      </c>
      <c r="G717" s="11">
        <v>46148</v>
      </c>
      <c r="H717" s="12">
        <v>0.70347222222222217</v>
      </c>
      <c r="I717" s="11">
        <v>46148</v>
      </c>
      <c r="J717" s="1">
        <v>46148</v>
      </c>
      <c r="K717" s="1">
        <v>46148</v>
      </c>
      <c r="L717" t="s">
        <v>212</v>
      </c>
      <c r="M717">
        <v>1624</v>
      </c>
      <c r="N717" t="s">
        <v>208</v>
      </c>
      <c r="O717" t="s">
        <v>27</v>
      </c>
      <c r="P717">
        <v>28396</v>
      </c>
      <c r="Q717" t="s">
        <v>19</v>
      </c>
      <c r="R717">
        <v>41082</v>
      </c>
      <c r="S717" t="str">
        <f>VLOOKUP(L717&amp;TEXT(I717,"mmmm")&amp;YEAR(I717),'[1]Detalle C-Fecha'!$D$2:$E$15921,2,FALSE)</f>
        <v>Papelera - Papelera del Plata S.A.</v>
      </c>
    </row>
    <row r="718" spans="1:19" x14ac:dyDescent="0.3">
      <c r="A718">
        <v>33531</v>
      </c>
      <c r="B718" t="s">
        <v>28</v>
      </c>
      <c r="C718" t="s">
        <v>15</v>
      </c>
      <c r="D718" t="s">
        <v>16</v>
      </c>
      <c r="E718" t="s">
        <v>121</v>
      </c>
      <c r="F718" s="6" t="str">
        <f t="shared" si="11"/>
        <v>2MC</v>
      </c>
      <c r="G718" s="11">
        <v>46148</v>
      </c>
      <c r="H718" s="12">
        <v>0.70347222222222217</v>
      </c>
      <c r="I718" s="11">
        <v>46148</v>
      </c>
      <c r="J718" s="1">
        <v>46148</v>
      </c>
      <c r="K718" s="1">
        <v>46148</v>
      </c>
      <c r="L718" t="s">
        <v>212</v>
      </c>
      <c r="M718">
        <v>1624</v>
      </c>
      <c r="N718" t="s">
        <v>208</v>
      </c>
      <c r="O718" t="s">
        <v>27</v>
      </c>
      <c r="P718">
        <v>28396</v>
      </c>
      <c r="Q718" t="s">
        <v>19</v>
      </c>
      <c r="R718">
        <v>41325</v>
      </c>
      <c r="S718" t="str">
        <f>VLOOKUP(L718&amp;TEXT(I718,"mmmm")&amp;YEAR(I718),'[1]Detalle C-Fecha'!$D$2:$E$15921,2,FALSE)</f>
        <v>Papelera - Papelera del Plata S.A.</v>
      </c>
    </row>
    <row r="719" spans="1:19" x14ac:dyDescent="0.3">
      <c r="A719">
        <v>33532</v>
      </c>
      <c r="B719" t="s">
        <v>28</v>
      </c>
      <c r="C719" t="s">
        <v>15</v>
      </c>
      <c r="D719" t="s">
        <v>16</v>
      </c>
      <c r="E719" t="s">
        <v>53</v>
      </c>
      <c r="F719" s="6" t="str">
        <f t="shared" si="11"/>
        <v>3MC</v>
      </c>
      <c r="G719" s="11">
        <v>46148</v>
      </c>
      <c r="H719" s="12">
        <v>0.70347222222222217</v>
      </c>
      <c r="I719" s="11">
        <v>46148</v>
      </c>
      <c r="J719" s="1">
        <v>46148</v>
      </c>
      <c r="K719" s="1">
        <v>46148</v>
      </c>
      <c r="L719" t="s">
        <v>212</v>
      </c>
      <c r="M719">
        <v>1624</v>
      </c>
      <c r="N719" t="s">
        <v>208</v>
      </c>
      <c r="O719" t="s">
        <v>27</v>
      </c>
      <c r="P719">
        <v>28397</v>
      </c>
      <c r="Q719" t="s">
        <v>19</v>
      </c>
      <c r="R719">
        <v>41083</v>
      </c>
      <c r="S719" t="str">
        <f>VLOOKUP(L719&amp;TEXT(I719,"mmmm")&amp;YEAR(I719),'[1]Detalle C-Fecha'!$D$2:$E$15921,2,FALSE)</f>
        <v>Papelera - Papelera del Plata S.A.</v>
      </c>
    </row>
    <row r="720" spans="1:19" x14ac:dyDescent="0.3">
      <c r="A720">
        <v>33532</v>
      </c>
      <c r="B720" t="s">
        <v>28</v>
      </c>
      <c r="C720" t="s">
        <v>15</v>
      </c>
      <c r="D720" t="s">
        <v>16</v>
      </c>
      <c r="E720" t="s">
        <v>53</v>
      </c>
      <c r="F720" s="6" t="str">
        <f t="shared" si="11"/>
        <v>3MC</v>
      </c>
      <c r="G720" s="11">
        <v>46148</v>
      </c>
      <c r="H720" s="12">
        <v>0.70347222222222217</v>
      </c>
      <c r="I720" s="11">
        <v>46148</v>
      </c>
      <c r="J720" s="1">
        <v>46148</v>
      </c>
      <c r="K720" s="1">
        <v>46148</v>
      </c>
      <c r="L720" t="s">
        <v>212</v>
      </c>
      <c r="M720">
        <v>1624</v>
      </c>
      <c r="N720" t="s">
        <v>208</v>
      </c>
      <c r="O720" t="s">
        <v>27</v>
      </c>
      <c r="P720">
        <v>28397</v>
      </c>
      <c r="Q720" t="s">
        <v>19</v>
      </c>
      <c r="R720">
        <v>41326</v>
      </c>
      <c r="S720" t="str">
        <f>VLOOKUP(L720&amp;TEXT(I720,"mmmm")&amp;YEAR(I720),'[1]Detalle C-Fecha'!$D$2:$E$15921,2,FALSE)</f>
        <v>Papelera - Papelera del Plata S.A.</v>
      </c>
    </row>
    <row r="721" spans="1:19" x14ac:dyDescent="0.3">
      <c r="A721">
        <v>33533</v>
      </c>
      <c r="B721" t="s">
        <v>28</v>
      </c>
      <c r="C721" t="s">
        <v>15</v>
      </c>
      <c r="D721" t="s">
        <v>16</v>
      </c>
      <c r="E721" t="s">
        <v>111</v>
      </c>
      <c r="F721" s="6" t="str">
        <f t="shared" si="11"/>
        <v>6MC</v>
      </c>
      <c r="G721" s="11">
        <v>46148</v>
      </c>
      <c r="H721" s="12">
        <v>0.70347222222222217</v>
      </c>
      <c r="I721" s="11">
        <v>46148</v>
      </c>
      <c r="J721" s="1">
        <v>46148</v>
      </c>
      <c r="K721" s="1">
        <v>46148</v>
      </c>
      <c r="L721" t="s">
        <v>212</v>
      </c>
      <c r="M721">
        <v>1624</v>
      </c>
      <c r="N721" t="s">
        <v>208</v>
      </c>
      <c r="O721" t="s">
        <v>27</v>
      </c>
      <c r="P721">
        <v>28398</v>
      </c>
      <c r="Q721" t="s">
        <v>19</v>
      </c>
      <c r="R721">
        <v>41084</v>
      </c>
      <c r="S721" t="str">
        <f>VLOOKUP(L721&amp;TEXT(I721,"mmmm")&amp;YEAR(I721),'[1]Detalle C-Fecha'!$D$2:$E$15921,2,FALSE)</f>
        <v>Papelera - Papelera del Plata S.A.</v>
      </c>
    </row>
    <row r="722" spans="1:19" x14ac:dyDescent="0.3">
      <c r="A722">
        <v>33533</v>
      </c>
      <c r="B722" t="s">
        <v>28</v>
      </c>
      <c r="C722" t="s">
        <v>15</v>
      </c>
      <c r="D722" t="s">
        <v>16</v>
      </c>
      <c r="E722" t="s">
        <v>111</v>
      </c>
      <c r="F722" s="6" t="str">
        <f t="shared" si="11"/>
        <v>6MC</v>
      </c>
      <c r="G722" s="11">
        <v>46148</v>
      </c>
      <c r="H722" s="12">
        <v>0.70347222222222217</v>
      </c>
      <c r="I722" s="11">
        <v>46148</v>
      </c>
      <c r="J722" s="1">
        <v>46148</v>
      </c>
      <c r="K722" s="1">
        <v>46148</v>
      </c>
      <c r="L722" t="s">
        <v>212</v>
      </c>
      <c r="M722">
        <v>1624</v>
      </c>
      <c r="N722" t="s">
        <v>208</v>
      </c>
      <c r="O722" t="s">
        <v>27</v>
      </c>
      <c r="P722">
        <v>28398</v>
      </c>
      <c r="Q722" t="s">
        <v>19</v>
      </c>
      <c r="R722">
        <v>41327</v>
      </c>
      <c r="S722" t="str">
        <f>VLOOKUP(L722&amp;TEXT(I722,"mmmm")&amp;YEAR(I722),'[1]Detalle C-Fecha'!$D$2:$E$15921,2,FALSE)</f>
        <v>Papelera - Papelera del Plata S.A.</v>
      </c>
    </row>
    <row r="723" spans="1:19" x14ac:dyDescent="0.3">
      <c r="A723">
        <v>33538</v>
      </c>
      <c r="B723" t="s">
        <v>28</v>
      </c>
      <c r="C723" t="s">
        <v>15</v>
      </c>
      <c r="D723" t="s">
        <v>16</v>
      </c>
      <c r="E723" t="s">
        <v>51</v>
      </c>
      <c r="F723" s="6" t="str">
        <f t="shared" si="11"/>
        <v>2MC</v>
      </c>
      <c r="G723" s="11">
        <v>46148</v>
      </c>
      <c r="H723" s="12">
        <v>0.81388888888888899</v>
      </c>
      <c r="I723" s="11">
        <v>46148</v>
      </c>
      <c r="J723" s="1">
        <v>46148</v>
      </c>
      <c r="K723" s="1">
        <v>46148</v>
      </c>
      <c r="L723" t="s">
        <v>213</v>
      </c>
      <c r="M723" t="s">
        <v>130</v>
      </c>
      <c r="N723" t="s">
        <v>21</v>
      </c>
      <c r="O723" t="s">
        <v>24</v>
      </c>
      <c r="P723">
        <v>28401</v>
      </c>
      <c r="Q723" t="s">
        <v>19</v>
      </c>
      <c r="R723">
        <v>41087</v>
      </c>
      <c r="S723" t="str">
        <f>VLOOKUP(L723&amp;TEXT(I723,"mmmm")&amp;YEAR(I723),'[1]Detalle C-Fecha'!$D$2:$E$15921,2,FALSE)</f>
        <v>CCUDyAZA</v>
      </c>
    </row>
    <row r="724" spans="1:19" x14ac:dyDescent="0.3">
      <c r="A724">
        <v>33538</v>
      </c>
      <c r="B724" t="s">
        <v>28</v>
      </c>
      <c r="C724" t="s">
        <v>15</v>
      </c>
      <c r="D724" t="s">
        <v>16</v>
      </c>
      <c r="E724" t="s">
        <v>51</v>
      </c>
      <c r="F724" s="6" t="str">
        <f t="shared" si="11"/>
        <v>2MC</v>
      </c>
      <c r="G724" s="11">
        <v>46148</v>
      </c>
      <c r="H724" s="12">
        <v>0.81388888888888899</v>
      </c>
      <c r="I724" s="11">
        <v>46148</v>
      </c>
      <c r="J724" s="1">
        <v>46148</v>
      </c>
      <c r="K724" s="1">
        <v>46148</v>
      </c>
      <c r="L724" t="s">
        <v>213</v>
      </c>
      <c r="M724" t="s">
        <v>130</v>
      </c>
      <c r="N724" t="s">
        <v>21</v>
      </c>
      <c r="O724" t="s">
        <v>24</v>
      </c>
      <c r="P724">
        <v>28401</v>
      </c>
      <c r="Q724" t="s">
        <v>19</v>
      </c>
      <c r="R724">
        <v>41273</v>
      </c>
      <c r="S724" t="str">
        <f>VLOOKUP(L724&amp;TEXT(I724,"mmmm")&amp;YEAR(I724),'[1]Detalle C-Fecha'!$D$2:$E$15921,2,FALSE)</f>
        <v>CCUDyAZA</v>
      </c>
    </row>
    <row r="725" spans="1:19" x14ac:dyDescent="0.3">
      <c r="A725">
        <v>33539</v>
      </c>
      <c r="B725" t="s">
        <v>28</v>
      </c>
      <c r="C725" t="s">
        <v>15</v>
      </c>
      <c r="D725" t="s">
        <v>16</v>
      </c>
      <c r="E725" t="s">
        <v>53</v>
      </c>
      <c r="F725" s="6" t="str">
        <f t="shared" si="11"/>
        <v>3MC</v>
      </c>
      <c r="G725" s="11">
        <v>46148</v>
      </c>
      <c r="H725" s="12">
        <v>0.81388888888888899</v>
      </c>
      <c r="I725" s="11">
        <v>46148</v>
      </c>
      <c r="J725" s="1">
        <v>46148</v>
      </c>
      <c r="K725" s="1">
        <v>46148</v>
      </c>
      <c r="L725" t="s">
        <v>213</v>
      </c>
      <c r="M725" t="s">
        <v>130</v>
      </c>
      <c r="N725" t="s">
        <v>21</v>
      </c>
      <c r="O725" t="s">
        <v>24</v>
      </c>
      <c r="P725">
        <v>28402</v>
      </c>
      <c r="Q725" t="s">
        <v>19</v>
      </c>
      <c r="R725">
        <v>41088</v>
      </c>
      <c r="S725" t="str">
        <f>VLOOKUP(L725&amp;TEXT(I725,"mmmm")&amp;YEAR(I725),'[1]Detalle C-Fecha'!$D$2:$E$15921,2,FALSE)</f>
        <v>CCUDyAZA</v>
      </c>
    </row>
    <row r="726" spans="1:19" x14ac:dyDescent="0.3">
      <c r="A726">
        <v>33539</v>
      </c>
      <c r="B726" t="s">
        <v>28</v>
      </c>
      <c r="C726" t="s">
        <v>15</v>
      </c>
      <c r="D726" t="s">
        <v>16</v>
      </c>
      <c r="E726" t="s">
        <v>53</v>
      </c>
      <c r="F726" s="6" t="str">
        <f t="shared" si="11"/>
        <v>3MC</v>
      </c>
      <c r="G726" s="11">
        <v>46148</v>
      </c>
      <c r="H726" s="12">
        <v>0.81388888888888899</v>
      </c>
      <c r="I726" s="11">
        <v>46148</v>
      </c>
      <c r="J726" s="1">
        <v>46148</v>
      </c>
      <c r="K726" s="1">
        <v>46148</v>
      </c>
      <c r="L726" t="s">
        <v>213</v>
      </c>
      <c r="M726" t="s">
        <v>130</v>
      </c>
      <c r="N726" t="s">
        <v>21</v>
      </c>
      <c r="O726" t="s">
        <v>24</v>
      </c>
      <c r="P726">
        <v>28402</v>
      </c>
      <c r="Q726" t="s">
        <v>19</v>
      </c>
      <c r="R726">
        <v>41274</v>
      </c>
      <c r="S726" t="str">
        <f>VLOOKUP(L726&amp;TEXT(I726,"mmmm")&amp;YEAR(I726),'[1]Detalle C-Fecha'!$D$2:$E$15921,2,FALSE)</f>
        <v>CCUDyAZA</v>
      </c>
    </row>
    <row r="727" spans="1:19" x14ac:dyDescent="0.3">
      <c r="A727">
        <v>33552</v>
      </c>
      <c r="B727" t="s">
        <v>28</v>
      </c>
      <c r="C727" t="s">
        <v>15</v>
      </c>
      <c r="D727" t="s">
        <v>16</v>
      </c>
      <c r="E727" t="s">
        <v>121</v>
      </c>
      <c r="F727" s="6" t="str">
        <f t="shared" si="11"/>
        <v>2MC</v>
      </c>
      <c r="G727" s="11">
        <v>46149</v>
      </c>
      <c r="H727" s="12">
        <v>0.41597222222222219</v>
      </c>
      <c r="I727" s="11">
        <v>46149</v>
      </c>
      <c r="J727" s="1">
        <v>46149</v>
      </c>
      <c r="K727" s="1">
        <v>46149</v>
      </c>
      <c r="L727" t="s">
        <v>214</v>
      </c>
      <c r="M727">
        <v>1624</v>
      </c>
      <c r="N727" t="s">
        <v>208</v>
      </c>
      <c r="O727" t="s">
        <v>27</v>
      </c>
      <c r="P727">
        <v>28436</v>
      </c>
      <c r="Q727" t="s">
        <v>19</v>
      </c>
      <c r="R727">
        <v>41092</v>
      </c>
      <c r="S727" t="str">
        <f>VLOOKUP(L727&amp;TEXT(I727,"mmmm")&amp;YEAR(I727),'[1]Detalle C-Fecha'!$D$2:$E$15921,2,FALSE)</f>
        <v>Papelera - Papelera del Plata S.A.</v>
      </c>
    </row>
    <row r="728" spans="1:19" x14ac:dyDescent="0.3">
      <c r="A728">
        <v>33552</v>
      </c>
      <c r="B728" t="s">
        <v>28</v>
      </c>
      <c r="C728" t="s">
        <v>15</v>
      </c>
      <c r="D728" t="s">
        <v>16</v>
      </c>
      <c r="E728" t="s">
        <v>121</v>
      </c>
      <c r="F728" s="6" t="str">
        <f t="shared" si="11"/>
        <v>2MC</v>
      </c>
      <c r="G728" s="11">
        <v>46149</v>
      </c>
      <c r="H728" s="12">
        <v>0.41597222222222219</v>
      </c>
      <c r="I728" s="11">
        <v>46149</v>
      </c>
      <c r="J728" s="1">
        <v>46149</v>
      </c>
      <c r="K728" s="1">
        <v>46149</v>
      </c>
      <c r="L728" t="s">
        <v>214</v>
      </c>
      <c r="M728">
        <v>1624</v>
      </c>
      <c r="N728" t="s">
        <v>208</v>
      </c>
      <c r="O728" t="s">
        <v>27</v>
      </c>
      <c r="P728">
        <v>28436</v>
      </c>
      <c r="Q728" t="s">
        <v>19</v>
      </c>
      <c r="R728">
        <v>41331</v>
      </c>
      <c r="S728" t="str">
        <f>VLOOKUP(L728&amp;TEXT(I728,"mmmm")&amp;YEAR(I728),'[1]Detalle C-Fecha'!$D$2:$E$15921,2,FALSE)</f>
        <v>Papelera - Papelera del Plata S.A.</v>
      </c>
    </row>
    <row r="729" spans="1:19" x14ac:dyDescent="0.3">
      <c r="A729">
        <v>33553</v>
      </c>
      <c r="B729" t="s">
        <v>28</v>
      </c>
      <c r="C729" t="s">
        <v>15</v>
      </c>
      <c r="D729" t="s">
        <v>16</v>
      </c>
      <c r="E729" t="s">
        <v>53</v>
      </c>
      <c r="F729" s="6" t="str">
        <f t="shared" si="11"/>
        <v>3MC</v>
      </c>
      <c r="G729" s="11">
        <v>46149</v>
      </c>
      <c r="H729" s="12">
        <v>0.41597222222222219</v>
      </c>
      <c r="I729" s="11">
        <v>46149</v>
      </c>
      <c r="J729" s="1">
        <v>46149</v>
      </c>
      <c r="K729" s="1">
        <v>46149</v>
      </c>
      <c r="L729" t="s">
        <v>214</v>
      </c>
      <c r="M729">
        <v>1624</v>
      </c>
      <c r="N729" t="s">
        <v>208</v>
      </c>
      <c r="O729" t="s">
        <v>27</v>
      </c>
      <c r="P729">
        <v>28435</v>
      </c>
      <c r="Q729" t="s">
        <v>19</v>
      </c>
      <c r="R729">
        <v>41093</v>
      </c>
      <c r="S729" t="str">
        <f>VLOOKUP(L729&amp;TEXT(I729,"mmmm")&amp;YEAR(I729),'[1]Detalle C-Fecha'!$D$2:$E$15921,2,FALSE)</f>
        <v>Papelera - Papelera del Plata S.A.</v>
      </c>
    </row>
    <row r="730" spans="1:19" x14ac:dyDescent="0.3">
      <c r="A730">
        <v>33553</v>
      </c>
      <c r="B730" t="s">
        <v>28</v>
      </c>
      <c r="C730" t="s">
        <v>15</v>
      </c>
      <c r="D730" t="s">
        <v>16</v>
      </c>
      <c r="E730" t="s">
        <v>53</v>
      </c>
      <c r="F730" s="6" t="str">
        <f t="shared" si="11"/>
        <v>3MC</v>
      </c>
      <c r="G730" s="11">
        <v>46149</v>
      </c>
      <c r="H730" s="12">
        <v>0.41597222222222219</v>
      </c>
      <c r="I730" s="11">
        <v>46149</v>
      </c>
      <c r="J730" s="1">
        <v>46149</v>
      </c>
      <c r="K730" s="1">
        <v>46149</v>
      </c>
      <c r="L730" t="s">
        <v>214</v>
      </c>
      <c r="M730">
        <v>1624</v>
      </c>
      <c r="N730" t="s">
        <v>208</v>
      </c>
      <c r="O730" t="s">
        <v>27</v>
      </c>
      <c r="P730">
        <v>28435</v>
      </c>
      <c r="Q730" t="s">
        <v>19</v>
      </c>
      <c r="R730">
        <v>41330</v>
      </c>
      <c r="S730" t="str">
        <f>VLOOKUP(L730&amp;TEXT(I730,"mmmm")&amp;YEAR(I730),'[1]Detalle C-Fecha'!$D$2:$E$15921,2,FALSE)</f>
        <v>Papelera - Papelera del Plata S.A.</v>
      </c>
    </row>
    <row r="731" spans="1:19" x14ac:dyDescent="0.3">
      <c r="A731">
        <v>33554</v>
      </c>
      <c r="B731" t="s">
        <v>28</v>
      </c>
      <c r="C731" t="s">
        <v>15</v>
      </c>
      <c r="D731" t="s">
        <v>16</v>
      </c>
      <c r="E731" t="s">
        <v>111</v>
      </c>
      <c r="F731" s="6" t="str">
        <f t="shared" si="11"/>
        <v>6MC</v>
      </c>
      <c r="G731" s="11">
        <v>46149</v>
      </c>
      <c r="H731" s="12">
        <v>0.41597222222222219</v>
      </c>
      <c r="I731" s="11">
        <v>46149</v>
      </c>
      <c r="J731" s="1">
        <v>46149</v>
      </c>
      <c r="K731" s="1">
        <v>46149</v>
      </c>
      <c r="L731" t="s">
        <v>214</v>
      </c>
      <c r="M731">
        <v>1624</v>
      </c>
      <c r="N731" t="s">
        <v>208</v>
      </c>
      <c r="O731" t="s">
        <v>27</v>
      </c>
      <c r="P731">
        <v>28432</v>
      </c>
      <c r="Q731" t="s">
        <v>19</v>
      </c>
      <c r="R731">
        <v>41094</v>
      </c>
      <c r="S731" t="str">
        <f>VLOOKUP(L731&amp;TEXT(I731,"mmmm")&amp;YEAR(I731),'[1]Detalle C-Fecha'!$D$2:$E$15921,2,FALSE)</f>
        <v>Papelera - Papelera del Plata S.A.</v>
      </c>
    </row>
    <row r="732" spans="1:19" x14ac:dyDescent="0.3">
      <c r="A732">
        <v>33554</v>
      </c>
      <c r="B732" t="s">
        <v>28</v>
      </c>
      <c r="C732" t="s">
        <v>15</v>
      </c>
      <c r="D732" t="s">
        <v>16</v>
      </c>
      <c r="E732" t="s">
        <v>111</v>
      </c>
      <c r="F732" s="6" t="str">
        <f t="shared" si="11"/>
        <v>6MC</v>
      </c>
      <c r="G732" s="11">
        <v>46149</v>
      </c>
      <c r="H732" s="12">
        <v>0.41597222222222219</v>
      </c>
      <c r="I732" s="11">
        <v>46149</v>
      </c>
      <c r="J732" s="1">
        <v>46149</v>
      </c>
      <c r="K732" s="1">
        <v>46149</v>
      </c>
      <c r="L732" t="s">
        <v>214</v>
      </c>
      <c r="M732">
        <v>1624</v>
      </c>
      <c r="N732" t="s">
        <v>208</v>
      </c>
      <c r="O732" t="s">
        <v>27</v>
      </c>
      <c r="P732">
        <v>28432</v>
      </c>
      <c r="Q732" t="s">
        <v>19</v>
      </c>
      <c r="R732">
        <v>41520</v>
      </c>
      <c r="S732" t="str">
        <f>VLOOKUP(L732&amp;TEXT(I732,"mmmm")&amp;YEAR(I732),'[1]Detalle C-Fecha'!$D$2:$E$15921,2,FALSE)</f>
        <v>Papelera - Papelera del Plata S.A.</v>
      </c>
    </row>
    <row r="733" spans="1:19" x14ac:dyDescent="0.3">
      <c r="A733">
        <v>33557</v>
      </c>
      <c r="B733" t="s">
        <v>28</v>
      </c>
      <c r="C733" t="s">
        <v>15</v>
      </c>
      <c r="D733" t="s">
        <v>16</v>
      </c>
      <c r="E733" t="s">
        <v>35</v>
      </c>
      <c r="F733" s="6" t="str">
        <f t="shared" si="11"/>
        <v>2ML</v>
      </c>
      <c r="G733" s="11">
        <v>46149</v>
      </c>
      <c r="H733" s="12">
        <v>0.43055555555555558</v>
      </c>
      <c r="I733" s="11">
        <v>46149</v>
      </c>
      <c r="J733" s="1">
        <v>46149</v>
      </c>
      <c r="K733" s="1">
        <v>46150</v>
      </c>
      <c r="L733" t="s">
        <v>215</v>
      </c>
      <c r="M733" t="s">
        <v>126</v>
      </c>
      <c r="N733" t="s">
        <v>31</v>
      </c>
      <c r="O733" t="s">
        <v>25</v>
      </c>
      <c r="P733">
        <v>28442</v>
      </c>
      <c r="Q733" t="s">
        <v>19</v>
      </c>
      <c r="R733">
        <v>42141</v>
      </c>
      <c r="S733" t="str">
        <f>VLOOKUP(L733&amp;TEXT(I733,"mmmm")&amp;YEAR(I733),'[1]Detalle C-Fecha'!$D$2:$E$15921,2,FALSE)</f>
        <v>Expreso - Servicios Troncales</v>
      </c>
    </row>
    <row r="734" spans="1:19" x14ac:dyDescent="0.3">
      <c r="A734">
        <v>33557</v>
      </c>
      <c r="B734" t="s">
        <v>28</v>
      </c>
      <c r="C734" t="s">
        <v>15</v>
      </c>
      <c r="D734" t="s">
        <v>16</v>
      </c>
      <c r="E734" t="s">
        <v>35</v>
      </c>
      <c r="F734" s="6" t="str">
        <f t="shared" si="11"/>
        <v>2ML</v>
      </c>
      <c r="G734" s="11">
        <v>46149</v>
      </c>
      <c r="H734" s="12">
        <v>0.43055555555555558</v>
      </c>
      <c r="I734" s="11">
        <v>46149</v>
      </c>
      <c r="J734" s="1">
        <v>46149</v>
      </c>
      <c r="K734" s="1">
        <v>46150</v>
      </c>
      <c r="L734" t="s">
        <v>215</v>
      </c>
      <c r="M734" t="s">
        <v>126</v>
      </c>
      <c r="N734" t="s">
        <v>31</v>
      </c>
      <c r="O734" t="s">
        <v>25</v>
      </c>
      <c r="P734">
        <v>28442</v>
      </c>
      <c r="Q734" t="s">
        <v>19</v>
      </c>
      <c r="R734">
        <v>42142</v>
      </c>
      <c r="S734" t="str">
        <f>VLOOKUP(L734&amp;TEXT(I734,"mmmm")&amp;YEAR(I734),'[1]Detalle C-Fecha'!$D$2:$E$15921,2,FALSE)</f>
        <v>Expreso - Servicios Troncales</v>
      </c>
    </row>
    <row r="735" spans="1:19" x14ac:dyDescent="0.3">
      <c r="A735">
        <v>33558</v>
      </c>
      <c r="B735" t="s">
        <v>28</v>
      </c>
      <c r="C735" t="s">
        <v>15</v>
      </c>
      <c r="D735" t="s">
        <v>16</v>
      </c>
      <c r="E735" t="s">
        <v>47</v>
      </c>
      <c r="F735" s="6" t="str">
        <f t="shared" si="11"/>
        <v>3ML</v>
      </c>
      <c r="G735" s="11">
        <v>46149</v>
      </c>
      <c r="H735" s="12">
        <v>0.43055555555555558</v>
      </c>
      <c r="I735" s="11">
        <v>46149</v>
      </c>
      <c r="J735" s="1">
        <v>46149</v>
      </c>
      <c r="K735" s="1">
        <v>46150</v>
      </c>
      <c r="L735" t="s">
        <v>215</v>
      </c>
      <c r="M735" t="s">
        <v>126</v>
      </c>
      <c r="N735" t="s">
        <v>31</v>
      </c>
      <c r="O735" t="s">
        <v>25</v>
      </c>
      <c r="P735">
        <v>28443</v>
      </c>
      <c r="Q735" t="s">
        <v>19</v>
      </c>
      <c r="R735">
        <v>42145</v>
      </c>
      <c r="S735" t="str">
        <f>VLOOKUP(L735&amp;TEXT(I735,"mmmm")&amp;YEAR(I735),'[1]Detalle C-Fecha'!$D$2:$E$15921,2,FALSE)</f>
        <v>Expreso - Servicios Troncales</v>
      </c>
    </row>
    <row r="736" spans="1:19" x14ac:dyDescent="0.3">
      <c r="A736">
        <v>33558</v>
      </c>
      <c r="B736" t="s">
        <v>28</v>
      </c>
      <c r="C736" t="s">
        <v>15</v>
      </c>
      <c r="D736" t="s">
        <v>16</v>
      </c>
      <c r="E736" t="s">
        <v>47</v>
      </c>
      <c r="F736" s="6" t="str">
        <f t="shared" si="11"/>
        <v>3ML</v>
      </c>
      <c r="G736" s="11">
        <v>46149</v>
      </c>
      <c r="H736" s="12">
        <v>0.43055555555555558</v>
      </c>
      <c r="I736" s="11">
        <v>46149</v>
      </c>
      <c r="J736" s="1">
        <v>46149</v>
      </c>
      <c r="K736" s="1">
        <v>46150</v>
      </c>
      <c r="L736" t="s">
        <v>215</v>
      </c>
      <c r="M736" t="s">
        <v>126</v>
      </c>
      <c r="N736" t="s">
        <v>31</v>
      </c>
      <c r="O736" t="s">
        <v>25</v>
      </c>
      <c r="P736">
        <v>28443</v>
      </c>
      <c r="Q736" t="s">
        <v>19</v>
      </c>
      <c r="R736">
        <v>42146</v>
      </c>
      <c r="S736" t="str">
        <f>VLOOKUP(L736&amp;TEXT(I736,"mmmm")&amp;YEAR(I736),'[1]Detalle C-Fecha'!$D$2:$E$15921,2,FALSE)</f>
        <v>Expreso - Servicios Troncales</v>
      </c>
    </row>
    <row r="737" spans="1:19" x14ac:dyDescent="0.3">
      <c r="A737">
        <v>33559</v>
      </c>
      <c r="B737" t="s">
        <v>28</v>
      </c>
      <c r="C737" t="s">
        <v>15</v>
      </c>
      <c r="D737" t="s">
        <v>16</v>
      </c>
      <c r="E737" t="s">
        <v>216</v>
      </c>
      <c r="F737" s="6" t="str">
        <f t="shared" si="11"/>
        <v>8ML</v>
      </c>
      <c r="G737" s="11">
        <v>46149</v>
      </c>
      <c r="H737" s="12">
        <v>0.43055555555555558</v>
      </c>
      <c r="I737" s="11">
        <v>46149</v>
      </c>
      <c r="J737" s="1">
        <v>46149</v>
      </c>
      <c r="K737" s="1">
        <v>46150</v>
      </c>
      <c r="L737" t="s">
        <v>215</v>
      </c>
      <c r="M737" t="s">
        <v>126</v>
      </c>
      <c r="N737" t="s">
        <v>31</v>
      </c>
      <c r="O737" t="s">
        <v>25</v>
      </c>
      <c r="P737">
        <v>28444</v>
      </c>
      <c r="Q737" t="s">
        <v>19</v>
      </c>
      <c r="R737">
        <v>42147</v>
      </c>
      <c r="S737" t="str">
        <f>VLOOKUP(L737&amp;TEXT(I737,"mmmm")&amp;YEAR(I737),'[1]Detalle C-Fecha'!$D$2:$E$15921,2,FALSE)</f>
        <v>Expreso - Servicios Troncales</v>
      </c>
    </row>
    <row r="738" spans="1:19" x14ac:dyDescent="0.3">
      <c r="A738">
        <v>33559</v>
      </c>
      <c r="B738" t="s">
        <v>28</v>
      </c>
      <c r="C738" t="s">
        <v>15</v>
      </c>
      <c r="D738" t="s">
        <v>16</v>
      </c>
      <c r="E738" t="s">
        <v>216</v>
      </c>
      <c r="F738" s="6" t="str">
        <f t="shared" si="11"/>
        <v>8ML</v>
      </c>
      <c r="G738" s="11">
        <v>46149</v>
      </c>
      <c r="H738" s="12">
        <v>0.43055555555555558</v>
      </c>
      <c r="I738" s="11">
        <v>46149</v>
      </c>
      <c r="J738" s="1">
        <v>46149</v>
      </c>
      <c r="K738" s="1">
        <v>46150</v>
      </c>
      <c r="L738" t="s">
        <v>215</v>
      </c>
      <c r="M738" t="s">
        <v>126</v>
      </c>
      <c r="N738" t="s">
        <v>31</v>
      </c>
      <c r="O738" t="s">
        <v>25</v>
      </c>
      <c r="P738">
        <v>28444</v>
      </c>
      <c r="Q738" t="s">
        <v>19</v>
      </c>
      <c r="R738">
        <v>42148</v>
      </c>
      <c r="S738" t="str">
        <f>VLOOKUP(L738&amp;TEXT(I738,"mmmm")&amp;YEAR(I738),'[1]Detalle C-Fecha'!$D$2:$E$15921,2,FALSE)</f>
        <v>Expreso - Servicios Troncales</v>
      </c>
    </row>
    <row r="739" spans="1:19" x14ac:dyDescent="0.3">
      <c r="A739">
        <v>33560</v>
      </c>
      <c r="B739" t="s">
        <v>28</v>
      </c>
      <c r="C739" t="s">
        <v>15</v>
      </c>
      <c r="D739" t="s">
        <v>16</v>
      </c>
      <c r="E739" t="s">
        <v>46</v>
      </c>
      <c r="F739" s="6" t="str">
        <f t="shared" si="11"/>
        <v>6ML</v>
      </c>
      <c r="G739" s="11">
        <v>46149</v>
      </c>
      <c r="H739" s="12">
        <v>0.43055555555555558</v>
      </c>
      <c r="I739" s="11">
        <v>46149</v>
      </c>
      <c r="J739" s="1">
        <v>46149</v>
      </c>
      <c r="K739" s="1">
        <v>46150</v>
      </c>
      <c r="L739" t="s">
        <v>215</v>
      </c>
      <c r="M739" t="s">
        <v>126</v>
      </c>
      <c r="N739" t="s">
        <v>31</v>
      </c>
      <c r="O739" t="s">
        <v>25</v>
      </c>
      <c r="P739">
        <v>28445</v>
      </c>
      <c r="Q739" t="s">
        <v>19</v>
      </c>
      <c r="R739">
        <v>42149</v>
      </c>
      <c r="S739" t="str">
        <f>VLOOKUP(L739&amp;TEXT(I739,"mmmm")&amp;YEAR(I739),'[1]Detalle C-Fecha'!$D$2:$E$15921,2,FALSE)</f>
        <v>Expreso - Servicios Troncales</v>
      </c>
    </row>
    <row r="740" spans="1:19" x14ac:dyDescent="0.3">
      <c r="A740">
        <v>33560</v>
      </c>
      <c r="B740" t="s">
        <v>28</v>
      </c>
      <c r="C740" t="s">
        <v>15</v>
      </c>
      <c r="D740" t="s">
        <v>16</v>
      </c>
      <c r="E740" t="s">
        <v>46</v>
      </c>
      <c r="F740" s="6" t="str">
        <f t="shared" si="11"/>
        <v>6ML</v>
      </c>
      <c r="G740" s="11">
        <v>46149</v>
      </c>
      <c r="H740" s="12">
        <v>0.43055555555555558</v>
      </c>
      <c r="I740" s="11">
        <v>46149</v>
      </c>
      <c r="J740" s="1">
        <v>46149</v>
      </c>
      <c r="K740" s="1">
        <v>46150</v>
      </c>
      <c r="L740" t="s">
        <v>215</v>
      </c>
      <c r="M740" t="s">
        <v>126</v>
      </c>
      <c r="N740" t="s">
        <v>31</v>
      </c>
      <c r="O740" t="s">
        <v>25</v>
      </c>
      <c r="P740">
        <v>28445</v>
      </c>
      <c r="Q740" t="s">
        <v>19</v>
      </c>
      <c r="R740">
        <v>42150</v>
      </c>
      <c r="S740" t="str">
        <f>VLOOKUP(L740&amp;TEXT(I740,"mmmm")&amp;YEAR(I740),'[1]Detalle C-Fecha'!$D$2:$E$15921,2,FALSE)</f>
        <v>Expreso - Servicios Troncales</v>
      </c>
    </row>
    <row r="741" spans="1:19" x14ac:dyDescent="0.3">
      <c r="A741">
        <v>33561</v>
      </c>
      <c r="B741" t="s">
        <v>28</v>
      </c>
      <c r="C741" t="s">
        <v>15</v>
      </c>
      <c r="D741" t="s">
        <v>16</v>
      </c>
      <c r="E741" t="s">
        <v>137</v>
      </c>
      <c r="F741" s="6" t="str">
        <f t="shared" si="11"/>
        <v>7ML</v>
      </c>
      <c r="G741" s="11">
        <v>46149</v>
      </c>
      <c r="H741" s="12">
        <v>0.43055555555555558</v>
      </c>
      <c r="I741" s="11">
        <v>46149</v>
      </c>
      <c r="J741" s="1">
        <v>46149</v>
      </c>
      <c r="K741" s="1">
        <v>46150</v>
      </c>
      <c r="L741" t="s">
        <v>215</v>
      </c>
      <c r="M741" t="s">
        <v>126</v>
      </c>
      <c r="N741" t="s">
        <v>31</v>
      </c>
      <c r="O741" t="s">
        <v>25</v>
      </c>
      <c r="P741">
        <v>28447</v>
      </c>
      <c r="Q741" t="s">
        <v>19</v>
      </c>
      <c r="R741">
        <v>42151</v>
      </c>
      <c r="S741" t="str">
        <f>VLOOKUP(L741&amp;TEXT(I741,"mmmm")&amp;YEAR(I741),'[1]Detalle C-Fecha'!$D$2:$E$15921,2,FALSE)</f>
        <v>Expreso - Servicios Troncales</v>
      </c>
    </row>
    <row r="742" spans="1:19" x14ac:dyDescent="0.3">
      <c r="A742">
        <v>33561</v>
      </c>
      <c r="B742" t="s">
        <v>28</v>
      </c>
      <c r="C742" t="s">
        <v>15</v>
      </c>
      <c r="D742" t="s">
        <v>16</v>
      </c>
      <c r="E742" t="s">
        <v>137</v>
      </c>
      <c r="F742" s="6" t="str">
        <f t="shared" si="11"/>
        <v>7ML</v>
      </c>
      <c r="G742" s="11">
        <v>46149</v>
      </c>
      <c r="H742" s="12">
        <v>0.43055555555555558</v>
      </c>
      <c r="I742" s="11">
        <v>46149</v>
      </c>
      <c r="J742" s="1">
        <v>46149</v>
      </c>
      <c r="K742" s="1">
        <v>46150</v>
      </c>
      <c r="L742" t="s">
        <v>215</v>
      </c>
      <c r="M742" t="s">
        <v>126</v>
      </c>
      <c r="N742" t="s">
        <v>31</v>
      </c>
      <c r="O742" t="s">
        <v>25</v>
      </c>
      <c r="P742">
        <v>28447</v>
      </c>
      <c r="Q742" t="s">
        <v>19</v>
      </c>
      <c r="R742">
        <v>42153</v>
      </c>
      <c r="S742" t="str">
        <f>VLOOKUP(L742&amp;TEXT(I742,"mmmm")&amp;YEAR(I742),'[1]Detalle C-Fecha'!$D$2:$E$15921,2,FALSE)</f>
        <v>Expreso - Servicios Troncales</v>
      </c>
    </row>
    <row r="743" spans="1:19" x14ac:dyDescent="0.3">
      <c r="A743">
        <v>33564</v>
      </c>
      <c r="B743" t="s">
        <v>28</v>
      </c>
      <c r="C743" t="s">
        <v>15</v>
      </c>
      <c r="D743" t="s">
        <v>16</v>
      </c>
      <c r="E743" t="s">
        <v>53</v>
      </c>
      <c r="F743" s="6" t="str">
        <f t="shared" si="11"/>
        <v>3MC</v>
      </c>
      <c r="G743" s="11">
        <v>46149</v>
      </c>
      <c r="H743" s="12">
        <v>0.45624999999999999</v>
      </c>
      <c r="I743" s="11">
        <v>46149</v>
      </c>
      <c r="J743" s="1">
        <v>46149</v>
      </c>
      <c r="K743" s="1">
        <v>46149</v>
      </c>
      <c r="L743" t="s">
        <v>217</v>
      </c>
      <c r="M743" t="s">
        <v>218</v>
      </c>
      <c r="N743" t="s">
        <v>208</v>
      </c>
      <c r="O743" t="s">
        <v>24</v>
      </c>
      <c r="P743">
        <v>28453</v>
      </c>
      <c r="Q743" t="s">
        <v>19</v>
      </c>
      <c r="R743">
        <v>41096</v>
      </c>
      <c r="S743" t="str">
        <f>VLOOKUP(L743&amp;TEXT(I743,"mmmm")&amp;YEAR(I743),'[1]Detalle C-Fecha'!$D$2:$E$15921,2,FALSE)</f>
        <v>CCUDyAZA</v>
      </c>
    </row>
    <row r="744" spans="1:19" x14ac:dyDescent="0.3">
      <c r="A744">
        <v>33564</v>
      </c>
      <c r="B744" t="s">
        <v>28</v>
      </c>
      <c r="C744" t="s">
        <v>15</v>
      </c>
      <c r="D744" t="s">
        <v>16</v>
      </c>
      <c r="E744" t="s">
        <v>53</v>
      </c>
      <c r="F744" s="6" t="str">
        <f t="shared" si="11"/>
        <v>3MC</v>
      </c>
      <c r="G744" s="11">
        <v>46149</v>
      </c>
      <c r="H744" s="12">
        <v>0.45624999999999999</v>
      </c>
      <c r="I744" s="11">
        <v>46149</v>
      </c>
      <c r="J744" s="1">
        <v>46149</v>
      </c>
      <c r="K744" s="1">
        <v>46149</v>
      </c>
      <c r="L744" t="s">
        <v>217</v>
      </c>
      <c r="M744" t="s">
        <v>218</v>
      </c>
      <c r="N744" t="s">
        <v>208</v>
      </c>
      <c r="O744" t="s">
        <v>24</v>
      </c>
      <c r="P744">
        <v>28453</v>
      </c>
      <c r="Q744" t="s">
        <v>19</v>
      </c>
      <c r="R744">
        <v>41279</v>
      </c>
      <c r="S744" t="str">
        <f>VLOOKUP(L744&amp;TEXT(I744,"mmmm")&amp;YEAR(I744),'[1]Detalle C-Fecha'!$D$2:$E$15921,2,FALSE)</f>
        <v>CCUDyAZA</v>
      </c>
    </row>
    <row r="745" spans="1:19" x14ac:dyDescent="0.3">
      <c r="A745">
        <v>33565</v>
      </c>
      <c r="B745" t="s">
        <v>28</v>
      </c>
      <c r="C745" t="s">
        <v>15</v>
      </c>
      <c r="D745" t="s">
        <v>16</v>
      </c>
      <c r="E745" t="s">
        <v>51</v>
      </c>
      <c r="F745" s="6" t="str">
        <f t="shared" si="11"/>
        <v>2MC</v>
      </c>
      <c r="G745" s="11">
        <v>46149</v>
      </c>
      <c r="H745" s="12">
        <v>0.45624999999999999</v>
      </c>
      <c r="I745" s="11">
        <v>46149</v>
      </c>
      <c r="J745" s="1">
        <v>46149</v>
      </c>
      <c r="K745" s="1">
        <v>46149</v>
      </c>
      <c r="L745" t="s">
        <v>217</v>
      </c>
      <c r="M745" t="s">
        <v>218</v>
      </c>
      <c r="N745" t="s">
        <v>208</v>
      </c>
      <c r="O745" t="s">
        <v>24</v>
      </c>
      <c r="P745">
        <v>28452</v>
      </c>
      <c r="Q745" t="s">
        <v>19</v>
      </c>
      <c r="R745">
        <v>41097</v>
      </c>
      <c r="S745" t="str">
        <f>VLOOKUP(L745&amp;TEXT(I745,"mmmm")&amp;YEAR(I745),'[1]Detalle C-Fecha'!$D$2:$E$15921,2,FALSE)</f>
        <v>CCUDyAZA</v>
      </c>
    </row>
    <row r="746" spans="1:19" x14ac:dyDescent="0.3">
      <c r="A746">
        <v>33565</v>
      </c>
      <c r="B746" t="s">
        <v>28</v>
      </c>
      <c r="C746" t="s">
        <v>15</v>
      </c>
      <c r="D746" t="s">
        <v>16</v>
      </c>
      <c r="E746" t="s">
        <v>51</v>
      </c>
      <c r="F746" s="6" t="str">
        <f t="shared" si="11"/>
        <v>2MC</v>
      </c>
      <c r="G746" s="11">
        <v>46149</v>
      </c>
      <c r="H746" s="12">
        <v>0.45624999999999999</v>
      </c>
      <c r="I746" s="11">
        <v>46149</v>
      </c>
      <c r="J746" s="1">
        <v>46149</v>
      </c>
      <c r="K746" s="1">
        <v>46149</v>
      </c>
      <c r="L746" t="s">
        <v>217</v>
      </c>
      <c r="M746" t="s">
        <v>218</v>
      </c>
      <c r="N746" t="s">
        <v>208</v>
      </c>
      <c r="O746" t="s">
        <v>24</v>
      </c>
      <c r="P746">
        <v>28452</v>
      </c>
      <c r="Q746" t="s">
        <v>19</v>
      </c>
      <c r="R746">
        <v>41278</v>
      </c>
      <c r="S746" t="str">
        <f>VLOOKUP(L746&amp;TEXT(I746,"mmmm")&amp;YEAR(I746),'[1]Detalle C-Fecha'!$D$2:$E$15921,2,FALSE)</f>
        <v>CCUDyAZA</v>
      </c>
    </row>
    <row r="747" spans="1:19" x14ac:dyDescent="0.3">
      <c r="A747">
        <v>33641</v>
      </c>
      <c r="B747" t="s">
        <v>28</v>
      </c>
      <c r="C747" t="s">
        <v>15</v>
      </c>
      <c r="D747" t="s">
        <v>16</v>
      </c>
      <c r="E747" t="s">
        <v>35</v>
      </c>
      <c r="F747" s="6" t="str">
        <f t="shared" si="11"/>
        <v>2ML</v>
      </c>
      <c r="G747" s="11">
        <v>46150</v>
      </c>
      <c r="H747" s="12">
        <v>0.45694444444444443</v>
      </c>
      <c r="I747" s="11">
        <v>46150</v>
      </c>
      <c r="J747" s="1">
        <v>46150</v>
      </c>
      <c r="K747" s="1">
        <v>46150</v>
      </c>
      <c r="L747" t="s">
        <v>219</v>
      </c>
      <c r="M747" t="s">
        <v>126</v>
      </c>
      <c r="N747" t="s">
        <v>208</v>
      </c>
      <c r="O747" t="s">
        <v>25</v>
      </c>
      <c r="P747">
        <v>28543</v>
      </c>
      <c r="Q747" t="s">
        <v>19</v>
      </c>
      <c r="R747">
        <v>41143</v>
      </c>
      <c r="S747" t="str">
        <f>VLOOKUP(L747&amp;TEXT(I747,"mmmm")&amp;YEAR(I747),'[1]Detalle C-Fecha'!$D$2:$E$15921,2,FALSE)</f>
        <v>Expreso - Servicios Troncales</v>
      </c>
    </row>
    <row r="748" spans="1:19" x14ac:dyDescent="0.3">
      <c r="A748">
        <v>33641</v>
      </c>
      <c r="B748" t="s">
        <v>28</v>
      </c>
      <c r="C748" t="s">
        <v>15</v>
      </c>
      <c r="D748" t="s">
        <v>16</v>
      </c>
      <c r="E748" t="s">
        <v>35</v>
      </c>
      <c r="F748" s="6" t="str">
        <f t="shared" si="11"/>
        <v>2ML</v>
      </c>
      <c r="G748" s="11">
        <v>46150</v>
      </c>
      <c r="H748" s="12">
        <v>0.45694444444444443</v>
      </c>
      <c r="I748" s="11">
        <v>46150</v>
      </c>
      <c r="J748" s="1">
        <v>46150</v>
      </c>
      <c r="K748" s="1">
        <v>46150</v>
      </c>
      <c r="L748" t="s">
        <v>219</v>
      </c>
      <c r="M748" t="s">
        <v>126</v>
      </c>
      <c r="N748" t="s">
        <v>208</v>
      </c>
      <c r="O748" t="s">
        <v>25</v>
      </c>
      <c r="P748">
        <v>28543</v>
      </c>
      <c r="Q748" t="s">
        <v>19</v>
      </c>
      <c r="R748">
        <v>41176</v>
      </c>
      <c r="S748" t="str">
        <f>VLOOKUP(L748&amp;TEXT(I748,"mmmm")&amp;YEAR(I748),'[1]Detalle C-Fecha'!$D$2:$E$15921,2,FALSE)</f>
        <v>Expreso - Servicios Troncales</v>
      </c>
    </row>
    <row r="749" spans="1:19" x14ac:dyDescent="0.3">
      <c r="A749">
        <v>33642</v>
      </c>
      <c r="B749" t="s">
        <v>28</v>
      </c>
      <c r="C749" t="s">
        <v>15</v>
      </c>
      <c r="D749" t="s">
        <v>16</v>
      </c>
      <c r="E749" t="s">
        <v>47</v>
      </c>
      <c r="F749" s="6" t="str">
        <f t="shared" si="11"/>
        <v>3ML</v>
      </c>
      <c r="G749" s="11">
        <v>46150</v>
      </c>
      <c r="H749" s="12">
        <v>0.45694444444444443</v>
      </c>
      <c r="I749" s="11">
        <v>46150</v>
      </c>
      <c r="J749" s="1">
        <v>46150</v>
      </c>
      <c r="K749" s="1">
        <v>46150</v>
      </c>
      <c r="L749" t="s">
        <v>219</v>
      </c>
      <c r="M749" t="s">
        <v>126</v>
      </c>
      <c r="N749" t="s">
        <v>208</v>
      </c>
      <c r="O749" t="s">
        <v>25</v>
      </c>
      <c r="P749">
        <v>28544</v>
      </c>
      <c r="Q749" t="s">
        <v>19</v>
      </c>
      <c r="R749">
        <v>41144</v>
      </c>
      <c r="S749" t="str">
        <f>VLOOKUP(L749&amp;TEXT(I749,"mmmm")&amp;YEAR(I749),'[1]Detalle C-Fecha'!$D$2:$E$15921,2,FALSE)</f>
        <v>Expreso - Servicios Troncales</v>
      </c>
    </row>
    <row r="750" spans="1:19" x14ac:dyDescent="0.3">
      <c r="A750">
        <v>33642</v>
      </c>
      <c r="B750" t="s">
        <v>28</v>
      </c>
      <c r="C750" t="s">
        <v>15</v>
      </c>
      <c r="D750" t="s">
        <v>16</v>
      </c>
      <c r="E750" t="s">
        <v>47</v>
      </c>
      <c r="F750" s="6" t="str">
        <f t="shared" si="11"/>
        <v>3ML</v>
      </c>
      <c r="G750" s="11">
        <v>46150</v>
      </c>
      <c r="H750" s="12">
        <v>0.45694444444444443</v>
      </c>
      <c r="I750" s="11">
        <v>46150</v>
      </c>
      <c r="J750" s="1">
        <v>46150</v>
      </c>
      <c r="K750" s="1">
        <v>46150</v>
      </c>
      <c r="L750" t="s">
        <v>219</v>
      </c>
      <c r="M750" t="s">
        <v>126</v>
      </c>
      <c r="N750" t="s">
        <v>208</v>
      </c>
      <c r="O750" t="s">
        <v>25</v>
      </c>
      <c r="P750">
        <v>28544</v>
      </c>
      <c r="Q750" t="s">
        <v>19</v>
      </c>
      <c r="R750">
        <v>41178</v>
      </c>
      <c r="S750" t="str">
        <f>VLOOKUP(L750&amp;TEXT(I750,"mmmm")&amp;YEAR(I750),'[1]Detalle C-Fecha'!$D$2:$E$15921,2,FALSE)</f>
        <v>Expreso - Servicios Troncales</v>
      </c>
    </row>
    <row r="751" spans="1:19" x14ac:dyDescent="0.3">
      <c r="A751">
        <v>33643</v>
      </c>
      <c r="B751" t="s">
        <v>28</v>
      </c>
      <c r="C751" t="s">
        <v>15</v>
      </c>
      <c r="D751" t="s">
        <v>16</v>
      </c>
      <c r="E751" t="s">
        <v>46</v>
      </c>
      <c r="F751" s="6" t="str">
        <f t="shared" si="11"/>
        <v>6ML</v>
      </c>
      <c r="G751" s="11">
        <v>46150</v>
      </c>
      <c r="H751" s="12">
        <v>0.45694444444444443</v>
      </c>
      <c r="I751" s="11">
        <v>46150</v>
      </c>
      <c r="J751" s="1">
        <v>46150</v>
      </c>
      <c r="K751" s="1">
        <v>46150</v>
      </c>
      <c r="L751" t="s">
        <v>219</v>
      </c>
      <c r="M751" t="s">
        <v>126</v>
      </c>
      <c r="N751" t="s">
        <v>208</v>
      </c>
      <c r="O751" t="s">
        <v>25</v>
      </c>
      <c r="P751">
        <v>28545</v>
      </c>
      <c r="Q751" t="s">
        <v>19</v>
      </c>
      <c r="R751">
        <v>41145</v>
      </c>
      <c r="S751" t="str">
        <f>VLOOKUP(L751&amp;TEXT(I751,"mmmm")&amp;YEAR(I751),'[1]Detalle C-Fecha'!$D$2:$E$15921,2,FALSE)</f>
        <v>Expreso - Servicios Troncales</v>
      </c>
    </row>
    <row r="752" spans="1:19" x14ac:dyDescent="0.3">
      <c r="A752">
        <v>33643</v>
      </c>
      <c r="B752" t="s">
        <v>28</v>
      </c>
      <c r="C752" t="s">
        <v>15</v>
      </c>
      <c r="D752" t="s">
        <v>16</v>
      </c>
      <c r="E752" t="s">
        <v>46</v>
      </c>
      <c r="F752" s="6" t="str">
        <f t="shared" si="11"/>
        <v>6ML</v>
      </c>
      <c r="G752" s="11">
        <v>46150</v>
      </c>
      <c r="H752" s="12">
        <v>0.45694444444444443</v>
      </c>
      <c r="I752" s="11">
        <v>46150</v>
      </c>
      <c r="J752" s="1">
        <v>46150</v>
      </c>
      <c r="K752" s="1">
        <v>46150</v>
      </c>
      <c r="L752" t="s">
        <v>219</v>
      </c>
      <c r="M752" t="s">
        <v>126</v>
      </c>
      <c r="N752" t="s">
        <v>208</v>
      </c>
      <c r="O752" t="s">
        <v>25</v>
      </c>
      <c r="P752">
        <v>28545</v>
      </c>
      <c r="Q752" t="s">
        <v>19</v>
      </c>
      <c r="R752">
        <v>41179</v>
      </c>
      <c r="S752" t="str">
        <f>VLOOKUP(L752&amp;TEXT(I752,"mmmm")&amp;YEAR(I752),'[1]Detalle C-Fecha'!$D$2:$E$15921,2,FALSE)</f>
        <v>Expreso - Servicios Troncales</v>
      </c>
    </row>
    <row r="753" spans="1:19" x14ac:dyDescent="0.3">
      <c r="A753">
        <v>33646</v>
      </c>
      <c r="B753" t="s">
        <v>28</v>
      </c>
      <c r="C753" t="s">
        <v>15</v>
      </c>
      <c r="D753" t="s">
        <v>16</v>
      </c>
      <c r="E753" t="s">
        <v>51</v>
      </c>
      <c r="F753" s="6" t="str">
        <f t="shared" si="11"/>
        <v>2MC</v>
      </c>
      <c r="G753" s="11">
        <v>46150</v>
      </c>
      <c r="H753" s="12">
        <v>0.46527777777777773</v>
      </c>
      <c r="I753" s="11">
        <v>46150</v>
      </c>
      <c r="J753" s="1">
        <v>46150</v>
      </c>
      <c r="K753" s="1">
        <v>46150</v>
      </c>
      <c r="L753" t="s">
        <v>220</v>
      </c>
      <c r="M753">
        <v>712</v>
      </c>
      <c r="N753" t="s">
        <v>208</v>
      </c>
      <c r="O753" t="s">
        <v>27</v>
      </c>
      <c r="P753">
        <v>28548</v>
      </c>
      <c r="Q753" t="s">
        <v>19</v>
      </c>
      <c r="R753">
        <v>41148</v>
      </c>
      <c r="S753" t="str">
        <f>VLOOKUP(L753&amp;TEXT(I753,"mmmm")&amp;YEAR(I753),'[1]Detalle C-Fecha'!$D$2:$E$15921,2,FALSE)</f>
        <v>JOHNSON - SC JOHNSON DE ARGENTINA SAIC</v>
      </c>
    </row>
    <row r="754" spans="1:19" x14ac:dyDescent="0.3">
      <c r="A754">
        <v>33646</v>
      </c>
      <c r="B754" t="s">
        <v>28</v>
      </c>
      <c r="C754" t="s">
        <v>15</v>
      </c>
      <c r="D754" t="s">
        <v>16</v>
      </c>
      <c r="E754" t="s">
        <v>51</v>
      </c>
      <c r="F754" s="6" t="str">
        <f t="shared" si="11"/>
        <v>2MC</v>
      </c>
      <c r="G754" s="11">
        <v>46150</v>
      </c>
      <c r="H754" s="12">
        <v>0.46527777777777773</v>
      </c>
      <c r="I754" s="11">
        <v>46150</v>
      </c>
      <c r="J754" s="1">
        <v>46150</v>
      </c>
      <c r="K754" s="1">
        <v>46150</v>
      </c>
      <c r="L754" t="s">
        <v>220</v>
      </c>
      <c r="M754">
        <v>712</v>
      </c>
      <c r="N754" t="s">
        <v>208</v>
      </c>
      <c r="O754" t="s">
        <v>27</v>
      </c>
      <c r="P754">
        <v>28548</v>
      </c>
      <c r="Q754" t="s">
        <v>19</v>
      </c>
      <c r="R754">
        <v>41344</v>
      </c>
      <c r="S754" t="str">
        <f>VLOOKUP(L754&amp;TEXT(I754,"mmmm")&amp;YEAR(I754),'[1]Detalle C-Fecha'!$D$2:$E$15921,2,FALSE)</f>
        <v>JOHNSON - SC JOHNSON DE ARGENTINA SAIC</v>
      </c>
    </row>
    <row r="755" spans="1:19" x14ac:dyDescent="0.3">
      <c r="A755">
        <v>33647</v>
      </c>
      <c r="B755" t="s">
        <v>28</v>
      </c>
      <c r="C755" t="s">
        <v>15</v>
      </c>
      <c r="D755" t="s">
        <v>16</v>
      </c>
      <c r="E755" t="s">
        <v>53</v>
      </c>
      <c r="F755" s="6" t="str">
        <f t="shared" si="11"/>
        <v>3MC</v>
      </c>
      <c r="G755" s="11">
        <v>46150</v>
      </c>
      <c r="H755" s="12">
        <v>0.46527777777777773</v>
      </c>
      <c r="I755" s="11">
        <v>46150</v>
      </c>
      <c r="J755" s="1">
        <v>46150</v>
      </c>
      <c r="K755" s="1">
        <v>46150</v>
      </c>
      <c r="L755" t="s">
        <v>220</v>
      </c>
      <c r="M755">
        <v>712</v>
      </c>
      <c r="N755" t="s">
        <v>208</v>
      </c>
      <c r="O755" t="s">
        <v>27</v>
      </c>
      <c r="P755">
        <v>28549</v>
      </c>
      <c r="Q755" t="s">
        <v>19</v>
      </c>
      <c r="R755">
        <v>41149</v>
      </c>
      <c r="S755" t="str">
        <f>VLOOKUP(L755&amp;TEXT(I755,"mmmm")&amp;YEAR(I755),'[1]Detalle C-Fecha'!$D$2:$E$15921,2,FALSE)</f>
        <v>JOHNSON - SC JOHNSON DE ARGENTINA SAIC</v>
      </c>
    </row>
    <row r="756" spans="1:19" x14ac:dyDescent="0.3">
      <c r="A756">
        <v>33647</v>
      </c>
      <c r="B756" t="s">
        <v>28</v>
      </c>
      <c r="C756" t="s">
        <v>15</v>
      </c>
      <c r="D756" t="s">
        <v>16</v>
      </c>
      <c r="E756" t="s">
        <v>53</v>
      </c>
      <c r="F756" s="6" t="str">
        <f t="shared" si="11"/>
        <v>3MC</v>
      </c>
      <c r="G756" s="11">
        <v>46150</v>
      </c>
      <c r="H756" s="12">
        <v>0.46527777777777773</v>
      </c>
      <c r="I756" s="11">
        <v>46150</v>
      </c>
      <c r="J756" s="1">
        <v>46150</v>
      </c>
      <c r="K756" s="1">
        <v>46150</v>
      </c>
      <c r="L756" t="s">
        <v>220</v>
      </c>
      <c r="M756">
        <v>712</v>
      </c>
      <c r="N756" t="s">
        <v>208</v>
      </c>
      <c r="O756" t="s">
        <v>27</v>
      </c>
      <c r="P756">
        <v>28549</v>
      </c>
      <c r="Q756" t="s">
        <v>19</v>
      </c>
      <c r="R756">
        <v>41345</v>
      </c>
      <c r="S756" t="str">
        <f>VLOOKUP(L756&amp;TEXT(I756,"mmmm")&amp;YEAR(I756),'[1]Detalle C-Fecha'!$D$2:$E$15921,2,FALSE)</f>
        <v>JOHNSON - SC JOHNSON DE ARGENTINA SAIC</v>
      </c>
    </row>
    <row r="757" spans="1:19" x14ac:dyDescent="0.3">
      <c r="A757">
        <v>33648</v>
      </c>
      <c r="B757" t="s">
        <v>28</v>
      </c>
      <c r="C757" t="s">
        <v>15</v>
      </c>
      <c r="D757" t="s">
        <v>16</v>
      </c>
      <c r="E757" t="s">
        <v>52</v>
      </c>
      <c r="F757" s="6" t="str">
        <f t="shared" si="11"/>
        <v>6MC</v>
      </c>
      <c r="G757" s="11">
        <v>46150</v>
      </c>
      <c r="H757" s="12">
        <v>0.46527777777777773</v>
      </c>
      <c r="I757" s="11">
        <v>46150</v>
      </c>
      <c r="J757" s="1">
        <v>46150</v>
      </c>
      <c r="K757" s="1">
        <v>46150</v>
      </c>
      <c r="L757" t="s">
        <v>220</v>
      </c>
      <c r="M757">
        <v>712</v>
      </c>
      <c r="N757" t="s">
        <v>208</v>
      </c>
      <c r="O757" t="s">
        <v>27</v>
      </c>
      <c r="P757">
        <v>28550</v>
      </c>
      <c r="Q757" t="s">
        <v>19</v>
      </c>
      <c r="R757">
        <v>41150</v>
      </c>
      <c r="S757" t="str">
        <f>VLOOKUP(L757&amp;TEXT(I757,"mmmm")&amp;YEAR(I757),'[1]Detalle C-Fecha'!$D$2:$E$15921,2,FALSE)</f>
        <v>JOHNSON - SC JOHNSON DE ARGENTINA SAIC</v>
      </c>
    </row>
    <row r="758" spans="1:19" x14ac:dyDescent="0.3">
      <c r="A758">
        <v>33648</v>
      </c>
      <c r="B758" t="s">
        <v>28</v>
      </c>
      <c r="C758" t="s">
        <v>15</v>
      </c>
      <c r="D758" t="s">
        <v>16</v>
      </c>
      <c r="E758" t="s">
        <v>52</v>
      </c>
      <c r="F758" s="6" t="str">
        <f t="shared" si="11"/>
        <v>6MC</v>
      </c>
      <c r="G758" s="11">
        <v>46150</v>
      </c>
      <c r="H758" s="12">
        <v>0.46527777777777773</v>
      </c>
      <c r="I758" s="11">
        <v>46150</v>
      </c>
      <c r="J758" s="1">
        <v>46150</v>
      </c>
      <c r="K758" s="1">
        <v>46150</v>
      </c>
      <c r="L758" t="s">
        <v>220</v>
      </c>
      <c r="M758">
        <v>712</v>
      </c>
      <c r="N758" t="s">
        <v>208</v>
      </c>
      <c r="O758" t="s">
        <v>27</v>
      </c>
      <c r="P758">
        <v>28550</v>
      </c>
      <c r="Q758" t="s">
        <v>19</v>
      </c>
      <c r="R758">
        <v>41346</v>
      </c>
      <c r="S758" t="str">
        <f>VLOOKUP(L758&amp;TEXT(I758,"mmmm")&amp;YEAR(I758),'[1]Detalle C-Fecha'!$D$2:$E$15921,2,FALSE)</f>
        <v>JOHNSON - SC JOHNSON DE ARGENTINA SAIC</v>
      </c>
    </row>
    <row r="759" spans="1:19" x14ac:dyDescent="0.3">
      <c r="A759">
        <v>33651</v>
      </c>
      <c r="B759" t="s">
        <v>28</v>
      </c>
      <c r="C759" t="s">
        <v>15</v>
      </c>
      <c r="D759" t="s">
        <v>16</v>
      </c>
      <c r="E759" t="s">
        <v>121</v>
      </c>
      <c r="F759" s="6" t="str">
        <f t="shared" si="11"/>
        <v>2MC</v>
      </c>
      <c r="G759" s="11">
        <v>46150</v>
      </c>
      <c r="H759" s="12">
        <v>0.47291666666666665</v>
      </c>
      <c r="I759" s="11">
        <v>46150</v>
      </c>
      <c r="J759" s="1">
        <v>46150</v>
      </c>
      <c r="K759" s="1">
        <v>46150</v>
      </c>
      <c r="L759" t="s">
        <v>221</v>
      </c>
      <c r="M759">
        <v>1624</v>
      </c>
      <c r="N759" t="s">
        <v>208</v>
      </c>
      <c r="O759" t="s">
        <v>27</v>
      </c>
      <c r="P759">
        <v>28553</v>
      </c>
      <c r="Q759" t="s">
        <v>19</v>
      </c>
      <c r="R759">
        <v>41151</v>
      </c>
      <c r="S759" t="str">
        <f>VLOOKUP(L759&amp;TEXT(I759,"mmmm")&amp;YEAR(I759),'[1]Detalle C-Fecha'!$D$2:$E$15921,2,FALSE)</f>
        <v>Papelera - Papelera del Plata S.A.</v>
      </c>
    </row>
    <row r="760" spans="1:19" x14ac:dyDescent="0.3">
      <c r="A760">
        <v>33651</v>
      </c>
      <c r="B760" t="s">
        <v>28</v>
      </c>
      <c r="C760" t="s">
        <v>15</v>
      </c>
      <c r="D760" t="s">
        <v>16</v>
      </c>
      <c r="E760" t="s">
        <v>121</v>
      </c>
      <c r="F760" s="6" t="str">
        <f t="shared" si="11"/>
        <v>2MC</v>
      </c>
      <c r="G760" s="11">
        <v>46150</v>
      </c>
      <c r="H760" s="12">
        <v>0.47291666666666665</v>
      </c>
      <c r="I760" s="11">
        <v>46150</v>
      </c>
      <c r="J760" s="1">
        <v>46150</v>
      </c>
      <c r="K760" s="1">
        <v>46150</v>
      </c>
      <c r="L760" t="s">
        <v>221</v>
      </c>
      <c r="M760">
        <v>1624</v>
      </c>
      <c r="N760" t="s">
        <v>208</v>
      </c>
      <c r="O760" t="s">
        <v>27</v>
      </c>
      <c r="P760">
        <v>28553</v>
      </c>
      <c r="Q760" t="s">
        <v>19</v>
      </c>
      <c r="R760">
        <v>41347</v>
      </c>
      <c r="S760" t="str">
        <f>VLOOKUP(L760&amp;TEXT(I760,"mmmm")&amp;YEAR(I760),'[1]Detalle C-Fecha'!$D$2:$E$15921,2,FALSE)</f>
        <v>Papelera - Papelera del Plata S.A.</v>
      </c>
    </row>
    <row r="761" spans="1:19" x14ac:dyDescent="0.3">
      <c r="A761">
        <v>33652</v>
      </c>
      <c r="B761" t="s">
        <v>28</v>
      </c>
      <c r="C761" t="s">
        <v>15</v>
      </c>
      <c r="D761" t="s">
        <v>16</v>
      </c>
      <c r="E761" t="s">
        <v>53</v>
      </c>
      <c r="F761" s="6" t="str">
        <f t="shared" si="11"/>
        <v>3MC</v>
      </c>
      <c r="G761" s="11">
        <v>46150</v>
      </c>
      <c r="H761" s="12">
        <v>0.47291666666666665</v>
      </c>
      <c r="I761" s="11">
        <v>46150</v>
      </c>
      <c r="J761" s="1">
        <v>46150</v>
      </c>
      <c r="K761" s="1">
        <v>46150</v>
      </c>
      <c r="L761" t="s">
        <v>221</v>
      </c>
      <c r="M761">
        <v>1624</v>
      </c>
      <c r="N761" t="s">
        <v>208</v>
      </c>
      <c r="O761" t="s">
        <v>27</v>
      </c>
      <c r="P761">
        <v>28554</v>
      </c>
      <c r="Q761" t="s">
        <v>19</v>
      </c>
      <c r="R761">
        <v>41152</v>
      </c>
      <c r="S761" t="str">
        <f>VLOOKUP(L761&amp;TEXT(I761,"mmmm")&amp;YEAR(I761),'[1]Detalle C-Fecha'!$D$2:$E$15921,2,FALSE)</f>
        <v>Papelera - Papelera del Plata S.A.</v>
      </c>
    </row>
    <row r="762" spans="1:19" x14ac:dyDescent="0.3">
      <c r="A762">
        <v>33652</v>
      </c>
      <c r="B762" t="s">
        <v>28</v>
      </c>
      <c r="C762" t="s">
        <v>15</v>
      </c>
      <c r="D762" t="s">
        <v>16</v>
      </c>
      <c r="E762" t="s">
        <v>53</v>
      </c>
      <c r="F762" s="6" t="str">
        <f t="shared" si="11"/>
        <v>3MC</v>
      </c>
      <c r="G762" s="11">
        <v>46150</v>
      </c>
      <c r="H762" s="12">
        <v>0.47291666666666665</v>
      </c>
      <c r="I762" s="11">
        <v>46150</v>
      </c>
      <c r="J762" s="1">
        <v>46150</v>
      </c>
      <c r="K762" s="1">
        <v>46150</v>
      </c>
      <c r="L762" t="s">
        <v>221</v>
      </c>
      <c r="M762">
        <v>1624</v>
      </c>
      <c r="N762" t="s">
        <v>208</v>
      </c>
      <c r="O762" t="s">
        <v>27</v>
      </c>
      <c r="P762">
        <v>28554</v>
      </c>
      <c r="Q762" t="s">
        <v>19</v>
      </c>
      <c r="R762">
        <v>41348</v>
      </c>
      <c r="S762" t="str">
        <f>VLOOKUP(L762&amp;TEXT(I762,"mmmm")&amp;YEAR(I762),'[1]Detalle C-Fecha'!$D$2:$E$15921,2,FALSE)</f>
        <v>Papelera - Papelera del Plata S.A.</v>
      </c>
    </row>
    <row r="763" spans="1:19" x14ac:dyDescent="0.3">
      <c r="A763">
        <v>33653</v>
      </c>
      <c r="B763" t="s">
        <v>28</v>
      </c>
      <c r="C763" t="s">
        <v>15</v>
      </c>
      <c r="D763" t="s">
        <v>16</v>
      </c>
      <c r="E763" t="s">
        <v>111</v>
      </c>
      <c r="F763" s="6" t="str">
        <f t="shared" si="11"/>
        <v>6MC</v>
      </c>
      <c r="G763" s="11">
        <v>46150</v>
      </c>
      <c r="H763" s="12">
        <v>0.47291666666666665</v>
      </c>
      <c r="I763" s="11">
        <v>46150</v>
      </c>
      <c r="J763" s="1">
        <v>46150</v>
      </c>
      <c r="K763" s="1">
        <v>46150</v>
      </c>
      <c r="L763" t="s">
        <v>221</v>
      </c>
      <c r="M763">
        <v>1624</v>
      </c>
      <c r="N763" t="s">
        <v>208</v>
      </c>
      <c r="O763" t="s">
        <v>27</v>
      </c>
      <c r="P763">
        <v>28555</v>
      </c>
      <c r="Q763" t="s">
        <v>19</v>
      </c>
      <c r="R763">
        <v>41153</v>
      </c>
      <c r="S763" t="str">
        <f>VLOOKUP(L763&amp;TEXT(I763,"mmmm")&amp;YEAR(I763),'[1]Detalle C-Fecha'!$D$2:$E$15921,2,FALSE)</f>
        <v>Papelera - Papelera del Plata S.A.</v>
      </c>
    </row>
    <row r="764" spans="1:19" x14ac:dyDescent="0.3">
      <c r="A764">
        <v>33653</v>
      </c>
      <c r="B764" t="s">
        <v>28</v>
      </c>
      <c r="C764" t="s">
        <v>15</v>
      </c>
      <c r="D764" t="s">
        <v>16</v>
      </c>
      <c r="E764" t="s">
        <v>111</v>
      </c>
      <c r="F764" s="6" t="str">
        <f t="shared" si="11"/>
        <v>6MC</v>
      </c>
      <c r="G764" s="11">
        <v>46150</v>
      </c>
      <c r="H764" s="12">
        <v>0.47291666666666665</v>
      </c>
      <c r="I764" s="11">
        <v>46150</v>
      </c>
      <c r="J764" s="1">
        <v>46150</v>
      </c>
      <c r="K764" s="1">
        <v>46150</v>
      </c>
      <c r="L764" t="s">
        <v>221</v>
      </c>
      <c r="M764">
        <v>1624</v>
      </c>
      <c r="N764" t="s">
        <v>208</v>
      </c>
      <c r="O764" t="s">
        <v>27</v>
      </c>
      <c r="P764">
        <v>28555</v>
      </c>
      <c r="Q764" t="s">
        <v>19</v>
      </c>
      <c r="R764">
        <v>41350</v>
      </c>
      <c r="S764" t="str">
        <f>VLOOKUP(L764&amp;TEXT(I764,"mmmm")&amp;YEAR(I764),'[1]Detalle C-Fecha'!$D$2:$E$15921,2,FALSE)</f>
        <v>Papelera - Papelera del Plata S.A.</v>
      </c>
    </row>
    <row r="765" spans="1:19" x14ac:dyDescent="0.3">
      <c r="A765">
        <v>33657</v>
      </c>
      <c r="B765" t="s">
        <v>28</v>
      </c>
      <c r="C765" t="s">
        <v>15</v>
      </c>
      <c r="D765" t="s">
        <v>16</v>
      </c>
      <c r="E765" t="s">
        <v>51</v>
      </c>
      <c r="F765" s="6" t="str">
        <f t="shared" si="11"/>
        <v>2MC</v>
      </c>
      <c r="G765" s="11">
        <v>46150</v>
      </c>
      <c r="H765" s="12">
        <v>0.51388888888888895</v>
      </c>
      <c r="I765" s="11">
        <v>46150</v>
      </c>
      <c r="J765" s="1">
        <v>46150</v>
      </c>
      <c r="K765" s="1">
        <v>46150</v>
      </c>
      <c r="L765" t="s">
        <v>222</v>
      </c>
      <c r="M765" t="s">
        <v>130</v>
      </c>
      <c r="N765" t="s">
        <v>208</v>
      </c>
      <c r="O765" t="s">
        <v>27</v>
      </c>
      <c r="P765">
        <v>28561</v>
      </c>
      <c r="Q765" t="s">
        <v>19</v>
      </c>
      <c r="R765">
        <v>41156</v>
      </c>
      <c r="S765" t="str">
        <f>VLOOKUP(L765&amp;TEXT(I765,"mmmm")&amp;YEAR(I765),'[1]Detalle C-Fecha'!$D$2:$E$15921,2,FALSE)</f>
        <v>Papelera - Papelera del Plata S.A.</v>
      </c>
    </row>
    <row r="766" spans="1:19" x14ac:dyDescent="0.3">
      <c r="A766">
        <v>33657</v>
      </c>
      <c r="B766" t="s">
        <v>28</v>
      </c>
      <c r="C766" t="s">
        <v>15</v>
      </c>
      <c r="D766" t="s">
        <v>16</v>
      </c>
      <c r="E766" t="s">
        <v>51</v>
      </c>
      <c r="F766" s="6" t="str">
        <f t="shared" si="11"/>
        <v>2MC</v>
      </c>
      <c r="G766" s="11">
        <v>46150</v>
      </c>
      <c r="H766" s="12">
        <v>0.51388888888888895</v>
      </c>
      <c r="I766" s="11">
        <v>46150</v>
      </c>
      <c r="J766" s="1">
        <v>46150</v>
      </c>
      <c r="K766" s="1">
        <v>46150</v>
      </c>
      <c r="L766" t="s">
        <v>222</v>
      </c>
      <c r="M766" t="s">
        <v>130</v>
      </c>
      <c r="N766" t="s">
        <v>208</v>
      </c>
      <c r="O766" t="s">
        <v>27</v>
      </c>
      <c r="P766">
        <v>28561</v>
      </c>
      <c r="Q766" t="s">
        <v>19</v>
      </c>
      <c r="R766">
        <v>41356</v>
      </c>
      <c r="S766" t="str">
        <f>VLOOKUP(L766&amp;TEXT(I766,"mmmm")&amp;YEAR(I766),'[1]Detalle C-Fecha'!$D$2:$E$15921,2,FALSE)</f>
        <v>Papelera - Papelera del Plata S.A.</v>
      </c>
    </row>
    <row r="767" spans="1:19" x14ac:dyDescent="0.3">
      <c r="A767">
        <v>33658</v>
      </c>
      <c r="B767" t="s">
        <v>28</v>
      </c>
      <c r="C767" t="s">
        <v>15</v>
      </c>
      <c r="D767" t="s">
        <v>16</v>
      </c>
      <c r="E767" t="s">
        <v>53</v>
      </c>
      <c r="F767" s="6" t="str">
        <f t="shared" si="11"/>
        <v>3MC</v>
      </c>
      <c r="G767" s="11">
        <v>46150</v>
      </c>
      <c r="H767" s="12">
        <v>0.51388888888888895</v>
      </c>
      <c r="I767" s="11">
        <v>46150</v>
      </c>
      <c r="J767" s="1">
        <v>46150</v>
      </c>
      <c r="K767" s="1">
        <v>46150</v>
      </c>
      <c r="L767" t="s">
        <v>222</v>
      </c>
      <c r="M767" t="s">
        <v>130</v>
      </c>
      <c r="N767" t="s">
        <v>208</v>
      </c>
      <c r="O767" t="s">
        <v>27</v>
      </c>
      <c r="P767">
        <v>28562</v>
      </c>
      <c r="Q767" t="s">
        <v>19</v>
      </c>
      <c r="R767">
        <v>41157</v>
      </c>
      <c r="S767" t="str">
        <f>VLOOKUP(L767&amp;TEXT(I767,"mmmm")&amp;YEAR(I767),'[1]Detalle C-Fecha'!$D$2:$E$15921,2,FALSE)</f>
        <v>Papelera - Papelera del Plata S.A.</v>
      </c>
    </row>
    <row r="768" spans="1:19" x14ac:dyDescent="0.3">
      <c r="A768">
        <v>33658</v>
      </c>
      <c r="B768" t="s">
        <v>28</v>
      </c>
      <c r="C768" t="s">
        <v>15</v>
      </c>
      <c r="D768" t="s">
        <v>16</v>
      </c>
      <c r="E768" t="s">
        <v>53</v>
      </c>
      <c r="F768" s="6" t="str">
        <f t="shared" si="11"/>
        <v>3MC</v>
      </c>
      <c r="G768" s="11">
        <v>46150</v>
      </c>
      <c r="H768" s="12">
        <v>0.51388888888888895</v>
      </c>
      <c r="I768" s="11">
        <v>46150</v>
      </c>
      <c r="J768" s="1">
        <v>46150</v>
      </c>
      <c r="K768" s="1">
        <v>46150</v>
      </c>
      <c r="L768" t="s">
        <v>222</v>
      </c>
      <c r="M768" t="s">
        <v>130</v>
      </c>
      <c r="N768" t="s">
        <v>208</v>
      </c>
      <c r="O768" t="s">
        <v>27</v>
      </c>
      <c r="P768">
        <v>28562</v>
      </c>
      <c r="Q768" t="s">
        <v>19</v>
      </c>
      <c r="R768">
        <v>41357</v>
      </c>
      <c r="S768" t="str">
        <f>VLOOKUP(L768&amp;TEXT(I768,"mmmm")&amp;YEAR(I768),'[1]Detalle C-Fecha'!$D$2:$E$15921,2,FALSE)</f>
        <v>Papelera - Papelera del Plata S.A.</v>
      </c>
    </row>
    <row r="769" spans="1:19" x14ac:dyDescent="0.3">
      <c r="A769">
        <v>33724</v>
      </c>
      <c r="B769" t="s">
        <v>28</v>
      </c>
      <c r="C769" t="s">
        <v>15</v>
      </c>
      <c r="D769" t="s">
        <v>16</v>
      </c>
      <c r="E769" t="s">
        <v>51</v>
      </c>
      <c r="F769" s="6" t="str">
        <f t="shared" ref="F769:F830" si="12">MID(E769,1,3)</f>
        <v>2MC</v>
      </c>
      <c r="G769" s="11">
        <v>46150</v>
      </c>
      <c r="H769" s="12">
        <v>0.79861111111111116</v>
      </c>
      <c r="I769" s="11">
        <v>46150</v>
      </c>
      <c r="J769" s="1">
        <v>46150</v>
      </c>
      <c r="K769" s="1">
        <v>46150</v>
      </c>
      <c r="L769" t="s">
        <v>223</v>
      </c>
      <c r="M769" t="s">
        <v>178</v>
      </c>
      <c r="N769" t="s">
        <v>208</v>
      </c>
      <c r="O769" t="s">
        <v>18</v>
      </c>
      <c r="P769">
        <v>28574</v>
      </c>
      <c r="Q769" t="s">
        <v>19</v>
      </c>
      <c r="R769">
        <v>41168</v>
      </c>
      <c r="S769" t="str">
        <f>VLOOKUP(L769&amp;TEXT(I769,"mmmm")&amp;YEAR(I769),'[1]Detalle C-Fecha'!$D$2:$E$15921,2,FALSE)</f>
        <v>AGN_TTE - AGUANORT - Transporte</v>
      </c>
    </row>
    <row r="770" spans="1:19" x14ac:dyDescent="0.3">
      <c r="A770">
        <v>33724</v>
      </c>
      <c r="B770" t="s">
        <v>28</v>
      </c>
      <c r="C770" t="s">
        <v>15</v>
      </c>
      <c r="D770" t="s">
        <v>16</v>
      </c>
      <c r="E770" t="s">
        <v>51</v>
      </c>
      <c r="F770" s="6" t="str">
        <f t="shared" si="12"/>
        <v>2MC</v>
      </c>
      <c r="G770" s="11">
        <v>46150</v>
      </c>
      <c r="H770" s="12">
        <v>0.79861111111111116</v>
      </c>
      <c r="I770" s="11">
        <v>46150</v>
      </c>
      <c r="J770" s="1">
        <v>46150</v>
      </c>
      <c r="K770" s="1">
        <v>46150</v>
      </c>
      <c r="L770" t="s">
        <v>223</v>
      </c>
      <c r="M770" t="s">
        <v>178</v>
      </c>
      <c r="N770" t="s">
        <v>208</v>
      </c>
      <c r="O770" t="s">
        <v>18</v>
      </c>
      <c r="P770">
        <v>28574</v>
      </c>
      <c r="Q770" t="s">
        <v>19</v>
      </c>
      <c r="R770">
        <v>41240</v>
      </c>
      <c r="S770" t="str">
        <f>VLOOKUP(L770&amp;TEXT(I770,"mmmm")&amp;YEAR(I770),'[1]Detalle C-Fecha'!$D$2:$E$15921,2,FALSE)</f>
        <v>AGN_TTE - AGUANORT - Transporte</v>
      </c>
    </row>
    <row r="771" spans="1:19" x14ac:dyDescent="0.3">
      <c r="A771">
        <v>33725</v>
      </c>
      <c r="B771" t="s">
        <v>28</v>
      </c>
      <c r="C771" t="s">
        <v>15</v>
      </c>
      <c r="D771" t="s">
        <v>16</v>
      </c>
      <c r="E771" t="s">
        <v>53</v>
      </c>
      <c r="F771" s="6" t="str">
        <f t="shared" si="12"/>
        <v>3MC</v>
      </c>
      <c r="G771" s="11">
        <v>46150</v>
      </c>
      <c r="H771" s="12">
        <v>0.79861111111111116</v>
      </c>
      <c r="I771" s="11">
        <v>46150</v>
      </c>
      <c r="J771" s="1">
        <v>46150</v>
      </c>
      <c r="K771" s="1">
        <v>46150</v>
      </c>
      <c r="L771" t="s">
        <v>223</v>
      </c>
      <c r="M771" t="s">
        <v>178</v>
      </c>
      <c r="N771" t="s">
        <v>208</v>
      </c>
      <c r="O771" t="s">
        <v>18</v>
      </c>
      <c r="P771">
        <v>28575</v>
      </c>
      <c r="Q771" t="s">
        <v>19</v>
      </c>
      <c r="R771">
        <v>41169</v>
      </c>
      <c r="S771" t="str">
        <f>VLOOKUP(L771&amp;TEXT(I771,"mmmm")&amp;YEAR(I771),'[1]Detalle C-Fecha'!$D$2:$E$15921,2,FALSE)</f>
        <v>AGN_TTE - AGUANORT - Transporte</v>
      </c>
    </row>
    <row r="772" spans="1:19" x14ac:dyDescent="0.3">
      <c r="A772">
        <v>33725</v>
      </c>
      <c r="B772" t="s">
        <v>28</v>
      </c>
      <c r="C772" t="s">
        <v>15</v>
      </c>
      <c r="D772" t="s">
        <v>16</v>
      </c>
      <c r="E772" t="s">
        <v>53</v>
      </c>
      <c r="F772" s="6" t="str">
        <f t="shared" si="12"/>
        <v>3MC</v>
      </c>
      <c r="G772" s="11">
        <v>46150</v>
      </c>
      <c r="H772" s="12">
        <v>0.79861111111111116</v>
      </c>
      <c r="I772" s="11">
        <v>46150</v>
      </c>
      <c r="J772" s="1">
        <v>46150</v>
      </c>
      <c r="K772" s="1">
        <v>46150</v>
      </c>
      <c r="L772" t="s">
        <v>223</v>
      </c>
      <c r="M772" t="s">
        <v>178</v>
      </c>
      <c r="N772" t="s">
        <v>208</v>
      </c>
      <c r="O772" t="s">
        <v>18</v>
      </c>
      <c r="P772">
        <v>28575</v>
      </c>
      <c r="Q772" t="s">
        <v>19</v>
      </c>
      <c r="R772">
        <v>41241</v>
      </c>
      <c r="S772" t="str">
        <f>VLOOKUP(L772&amp;TEXT(I772,"mmmm")&amp;YEAR(I772),'[1]Detalle C-Fecha'!$D$2:$E$15921,2,FALSE)</f>
        <v>AGN_TTE - AGUANORT - Transporte</v>
      </c>
    </row>
    <row r="773" spans="1:19" x14ac:dyDescent="0.3">
      <c r="A773">
        <v>33726</v>
      </c>
      <c r="B773" t="s">
        <v>28</v>
      </c>
      <c r="C773" t="s">
        <v>15</v>
      </c>
      <c r="D773" t="s">
        <v>16</v>
      </c>
      <c r="E773" t="s">
        <v>112</v>
      </c>
      <c r="F773" s="6" t="str">
        <f t="shared" si="12"/>
        <v>6MC</v>
      </c>
      <c r="G773" s="11">
        <v>46150</v>
      </c>
      <c r="H773" s="12">
        <v>0.79861111111111116</v>
      </c>
      <c r="I773" s="11">
        <v>46150</v>
      </c>
      <c r="J773" s="1">
        <v>46150</v>
      </c>
      <c r="K773" s="1">
        <v>46150</v>
      </c>
      <c r="L773" t="s">
        <v>223</v>
      </c>
      <c r="M773" t="s">
        <v>178</v>
      </c>
      <c r="N773" t="s">
        <v>208</v>
      </c>
      <c r="O773" t="s">
        <v>18</v>
      </c>
      <c r="P773">
        <v>28576</v>
      </c>
      <c r="Q773" t="s">
        <v>19</v>
      </c>
      <c r="R773">
        <v>41170</v>
      </c>
      <c r="S773" t="str">
        <f>VLOOKUP(L773&amp;TEXT(I773,"mmmm")&amp;YEAR(I773),'[1]Detalle C-Fecha'!$D$2:$E$15921,2,FALSE)</f>
        <v>AGN_TTE - AGUANORT - Transporte</v>
      </c>
    </row>
    <row r="774" spans="1:19" x14ac:dyDescent="0.3">
      <c r="A774">
        <v>33726</v>
      </c>
      <c r="B774" t="s">
        <v>28</v>
      </c>
      <c r="C774" t="s">
        <v>15</v>
      </c>
      <c r="D774" t="s">
        <v>16</v>
      </c>
      <c r="E774" t="s">
        <v>112</v>
      </c>
      <c r="F774" s="6" t="str">
        <f t="shared" si="12"/>
        <v>6MC</v>
      </c>
      <c r="G774" s="11">
        <v>46150</v>
      </c>
      <c r="H774" s="12">
        <v>0.79861111111111116</v>
      </c>
      <c r="I774" s="11">
        <v>46150</v>
      </c>
      <c r="J774" s="1">
        <v>46150</v>
      </c>
      <c r="K774" s="1">
        <v>46150</v>
      </c>
      <c r="L774" t="s">
        <v>223</v>
      </c>
      <c r="M774" t="s">
        <v>178</v>
      </c>
      <c r="N774" t="s">
        <v>208</v>
      </c>
      <c r="O774" t="s">
        <v>18</v>
      </c>
      <c r="P774">
        <v>28576</v>
      </c>
      <c r="Q774" t="s">
        <v>19</v>
      </c>
      <c r="R774">
        <v>41242</v>
      </c>
      <c r="S774" t="str">
        <f>VLOOKUP(L774&amp;TEXT(I774,"mmmm")&amp;YEAR(I774),'[1]Detalle C-Fecha'!$D$2:$E$15921,2,FALSE)</f>
        <v>AGN_TTE - AGUANORT - Transporte</v>
      </c>
    </row>
    <row r="775" spans="1:19" x14ac:dyDescent="0.3">
      <c r="A775">
        <v>33736</v>
      </c>
      <c r="B775" t="s">
        <v>28</v>
      </c>
      <c r="C775" t="s">
        <v>15</v>
      </c>
      <c r="D775" t="s">
        <v>16</v>
      </c>
      <c r="E775" t="s">
        <v>108</v>
      </c>
      <c r="F775" s="6" t="str">
        <f t="shared" si="12"/>
        <v>2MU</v>
      </c>
      <c r="G775" s="11">
        <v>46153</v>
      </c>
      <c r="H775" s="12">
        <v>0.44305555555555554</v>
      </c>
      <c r="I775" s="11">
        <v>46153</v>
      </c>
      <c r="J775" s="1">
        <v>46153</v>
      </c>
      <c r="K775" s="1">
        <v>46153</v>
      </c>
      <c r="L775" t="s">
        <v>225</v>
      </c>
      <c r="M775" t="s">
        <v>161</v>
      </c>
      <c r="N775" t="s">
        <v>21</v>
      </c>
      <c r="O775" t="s">
        <v>27</v>
      </c>
      <c r="P775">
        <v>28586</v>
      </c>
      <c r="Q775" t="s">
        <v>19</v>
      </c>
      <c r="R775">
        <v>41525</v>
      </c>
      <c r="S775" t="str">
        <f>VLOOKUP(L775&amp;TEXT(I775,"mmmm")&amp;YEAR(I775),'[1]Detalle C-Fecha'!$D$2:$E$15921,2,FALSE)</f>
        <v>Unilever - Unilever de Arg. S.A.</v>
      </c>
    </row>
    <row r="776" spans="1:19" x14ac:dyDescent="0.3">
      <c r="A776">
        <v>33736</v>
      </c>
      <c r="B776" t="s">
        <v>28</v>
      </c>
      <c r="C776" t="s">
        <v>15</v>
      </c>
      <c r="D776" t="s">
        <v>16</v>
      </c>
      <c r="E776" t="s">
        <v>108</v>
      </c>
      <c r="F776" s="6" t="str">
        <f t="shared" si="12"/>
        <v>2MU</v>
      </c>
      <c r="G776" s="11">
        <v>46153</v>
      </c>
      <c r="H776" s="12">
        <v>0.44305555555555554</v>
      </c>
      <c r="I776" s="11">
        <v>46153</v>
      </c>
      <c r="J776" s="1">
        <v>46153</v>
      </c>
      <c r="K776" s="1">
        <v>46153</v>
      </c>
      <c r="L776" t="s">
        <v>225</v>
      </c>
      <c r="M776" t="s">
        <v>161</v>
      </c>
      <c r="N776" t="s">
        <v>21</v>
      </c>
      <c r="O776" t="s">
        <v>27</v>
      </c>
      <c r="P776">
        <v>28586</v>
      </c>
      <c r="Q776" t="s">
        <v>19</v>
      </c>
      <c r="R776">
        <v>41816</v>
      </c>
      <c r="S776" t="str">
        <f>VLOOKUP(L776&amp;TEXT(I776,"mmmm")&amp;YEAR(I776),'[1]Detalle C-Fecha'!$D$2:$E$15921,2,FALSE)</f>
        <v>Unilever - Unilever de Arg. S.A.</v>
      </c>
    </row>
    <row r="777" spans="1:19" x14ac:dyDescent="0.3">
      <c r="A777">
        <v>33737</v>
      </c>
      <c r="B777" t="s">
        <v>28</v>
      </c>
      <c r="C777" t="s">
        <v>15</v>
      </c>
      <c r="D777" t="s">
        <v>16</v>
      </c>
      <c r="E777" t="s">
        <v>109</v>
      </c>
      <c r="F777" s="6" t="str">
        <f t="shared" si="12"/>
        <v>3MU</v>
      </c>
      <c r="G777" s="11">
        <v>46153</v>
      </c>
      <c r="H777" s="12">
        <v>0.44305555555555554</v>
      </c>
      <c r="I777" s="11">
        <v>46153</v>
      </c>
      <c r="J777" s="1">
        <v>46153</v>
      </c>
      <c r="K777" s="1">
        <v>46153</v>
      </c>
      <c r="L777" t="s">
        <v>225</v>
      </c>
      <c r="M777" t="s">
        <v>161</v>
      </c>
      <c r="N777" t="s">
        <v>21</v>
      </c>
      <c r="O777" t="s">
        <v>27</v>
      </c>
      <c r="P777">
        <v>28587</v>
      </c>
      <c r="Q777" t="s">
        <v>19</v>
      </c>
      <c r="R777">
        <v>41526</v>
      </c>
      <c r="S777" t="str">
        <f>VLOOKUP(L777&amp;TEXT(I777,"mmmm")&amp;YEAR(I777),'[1]Detalle C-Fecha'!$D$2:$E$15921,2,FALSE)</f>
        <v>Unilever - Unilever de Arg. S.A.</v>
      </c>
    </row>
    <row r="778" spans="1:19" x14ac:dyDescent="0.3">
      <c r="A778">
        <v>33737</v>
      </c>
      <c r="B778" t="s">
        <v>28</v>
      </c>
      <c r="C778" t="s">
        <v>15</v>
      </c>
      <c r="D778" t="s">
        <v>16</v>
      </c>
      <c r="E778" t="s">
        <v>109</v>
      </c>
      <c r="F778" s="6" t="str">
        <f t="shared" si="12"/>
        <v>3MU</v>
      </c>
      <c r="G778" s="11">
        <v>46153</v>
      </c>
      <c r="H778" s="12">
        <v>0.44305555555555554</v>
      </c>
      <c r="I778" s="11">
        <v>46153</v>
      </c>
      <c r="J778" s="1">
        <v>46153</v>
      </c>
      <c r="K778" s="1">
        <v>46153</v>
      </c>
      <c r="L778" t="s">
        <v>225</v>
      </c>
      <c r="M778" t="s">
        <v>161</v>
      </c>
      <c r="N778" t="s">
        <v>21</v>
      </c>
      <c r="O778" t="s">
        <v>27</v>
      </c>
      <c r="P778">
        <v>28587</v>
      </c>
      <c r="Q778" t="s">
        <v>19</v>
      </c>
      <c r="R778">
        <v>41816</v>
      </c>
      <c r="S778" t="str">
        <f>VLOOKUP(L778&amp;TEXT(I778,"mmmm")&amp;YEAR(I778),'[1]Detalle C-Fecha'!$D$2:$E$15921,2,FALSE)</f>
        <v>Unilever - Unilever de Arg. S.A.</v>
      </c>
    </row>
    <row r="779" spans="1:19" x14ac:dyDescent="0.3">
      <c r="A779">
        <v>33738</v>
      </c>
      <c r="B779" t="s">
        <v>28</v>
      </c>
      <c r="C779" t="s">
        <v>15</v>
      </c>
      <c r="D779" t="s">
        <v>16</v>
      </c>
      <c r="E779" t="s">
        <v>107</v>
      </c>
      <c r="F779" s="6" t="str">
        <f t="shared" si="12"/>
        <v>4MU</v>
      </c>
      <c r="G779" s="11">
        <v>46153</v>
      </c>
      <c r="H779" s="12">
        <v>0.44305555555555554</v>
      </c>
      <c r="I779" s="11">
        <v>46153</v>
      </c>
      <c r="J779" s="1">
        <v>46153</v>
      </c>
      <c r="K779" s="1">
        <v>46153</v>
      </c>
      <c r="L779" t="s">
        <v>225</v>
      </c>
      <c r="M779" t="s">
        <v>161</v>
      </c>
      <c r="N779" t="s">
        <v>21</v>
      </c>
      <c r="O779" t="s">
        <v>27</v>
      </c>
      <c r="P779">
        <v>28588</v>
      </c>
      <c r="Q779" t="s">
        <v>19</v>
      </c>
      <c r="R779">
        <v>41527</v>
      </c>
      <c r="S779" t="str">
        <f>VLOOKUP(L779&amp;TEXT(I779,"mmmm")&amp;YEAR(I779),'[1]Detalle C-Fecha'!$D$2:$E$15921,2,FALSE)</f>
        <v>Unilever - Unilever de Arg. S.A.</v>
      </c>
    </row>
    <row r="780" spans="1:19" x14ac:dyDescent="0.3">
      <c r="A780">
        <v>33738</v>
      </c>
      <c r="B780" t="s">
        <v>28</v>
      </c>
      <c r="C780" t="s">
        <v>15</v>
      </c>
      <c r="D780" t="s">
        <v>16</v>
      </c>
      <c r="E780" t="s">
        <v>107</v>
      </c>
      <c r="F780" s="6" t="str">
        <f t="shared" si="12"/>
        <v>4MU</v>
      </c>
      <c r="G780" s="11">
        <v>46153</v>
      </c>
      <c r="H780" s="12">
        <v>0.44305555555555554</v>
      </c>
      <c r="I780" s="11">
        <v>46153</v>
      </c>
      <c r="J780" s="1">
        <v>46153</v>
      </c>
      <c r="K780" s="1">
        <v>46153</v>
      </c>
      <c r="L780" t="s">
        <v>225</v>
      </c>
      <c r="M780" t="s">
        <v>161</v>
      </c>
      <c r="N780" t="s">
        <v>21</v>
      </c>
      <c r="O780" t="s">
        <v>27</v>
      </c>
      <c r="P780">
        <v>28588</v>
      </c>
      <c r="Q780" t="s">
        <v>19</v>
      </c>
      <c r="R780">
        <v>41816</v>
      </c>
      <c r="S780" t="str">
        <f>VLOOKUP(L780&amp;TEXT(I780,"mmmm")&amp;YEAR(I780),'[1]Detalle C-Fecha'!$D$2:$E$15921,2,FALSE)</f>
        <v>Unilever - Unilever de Arg. S.A.</v>
      </c>
    </row>
    <row r="781" spans="1:19" x14ac:dyDescent="0.3">
      <c r="A781">
        <v>33785</v>
      </c>
      <c r="B781" t="s">
        <v>28</v>
      </c>
      <c r="C781" t="s">
        <v>15</v>
      </c>
      <c r="D781" t="s">
        <v>16</v>
      </c>
      <c r="E781" t="s">
        <v>121</v>
      </c>
      <c r="F781" s="6" t="str">
        <f t="shared" si="12"/>
        <v>2MC</v>
      </c>
      <c r="G781" s="11">
        <v>46154</v>
      </c>
      <c r="H781" s="12">
        <v>0.39652777777777781</v>
      </c>
      <c r="I781" s="11">
        <v>46154</v>
      </c>
      <c r="J781" s="1">
        <v>46154</v>
      </c>
      <c r="K781" s="1">
        <v>46154</v>
      </c>
      <c r="L781" t="s">
        <v>226</v>
      </c>
      <c r="M781">
        <v>1624</v>
      </c>
      <c r="N781" t="s">
        <v>208</v>
      </c>
      <c r="O781" t="s">
        <v>25</v>
      </c>
      <c r="P781">
        <v>28662</v>
      </c>
      <c r="Q781" t="s">
        <v>19</v>
      </c>
      <c r="R781">
        <v>41553</v>
      </c>
      <c r="S781" t="str">
        <f>VLOOKUP(L781&amp;TEXT(I781,"mmmm")&amp;YEAR(I781),'[1]Detalle C-Fecha'!$D$2:$E$15921,2,FALSE)</f>
        <v>SUC_CTC - Sucursal Buenos Aires</v>
      </c>
    </row>
    <row r="782" spans="1:19" x14ac:dyDescent="0.3">
      <c r="A782">
        <v>33785</v>
      </c>
      <c r="B782" t="s">
        <v>28</v>
      </c>
      <c r="C782" t="s">
        <v>15</v>
      </c>
      <c r="D782" t="s">
        <v>16</v>
      </c>
      <c r="E782" t="s">
        <v>121</v>
      </c>
      <c r="F782" s="6" t="str">
        <f t="shared" si="12"/>
        <v>2MC</v>
      </c>
      <c r="G782" s="11">
        <v>46154</v>
      </c>
      <c r="H782" s="12">
        <v>0.39652777777777781</v>
      </c>
      <c r="I782" s="11">
        <v>46154</v>
      </c>
      <c r="J782" s="1">
        <v>46154</v>
      </c>
      <c r="K782" s="1">
        <v>46154</v>
      </c>
      <c r="L782" t="s">
        <v>226</v>
      </c>
      <c r="M782">
        <v>1624</v>
      </c>
      <c r="N782" t="s">
        <v>208</v>
      </c>
      <c r="O782" t="s">
        <v>25</v>
      </c>
      <c r="P782">
        <v>28662</v>
      </c>
      <c r="Q782" t="s">
        <v>19</v>
      </c>
      <c r="R782">
        <v>41815</v>
      </c>
      <c r="S782" t="str">
        <f>VLOOKUP(L782&amp;TEXT(I782,"mmmm")&amp;YEAR(I782),'[1]Detalle C-Fecha'!$D$2:$E$15921,2,FALSE)</f>
        <v>SUC_CTC - Sucursal Buenos Aires</v>
      </c>
    </row>
    <row r="783" spans="1:19" x14ac:dyDescent="0.3">
      <c r="A783">
        <v>33786</v>
      </c>
      <c r="B783" t="s">
        <v>28</v>
      </c>
      <c r="C783" t="s">
        <v>15</v>
      </c>
      <c r="D783" t="s">
        <v>16</v>
      </c>
      <c r="E783" t="s">
        <v>53</v>
      </c>
      <c r="F783" s="6" t="str">
        <f t="shared" si="12"/>
        <v>3MC</v>
      </c>
      <c r="G783" s="11">
        <v>46154</v>
      </c>
      <c r="H783" s="12">
        <v>0.39652777777777781</v>
      </c>
      <c r="I783" s="11">
        <v>46154</v>
      </c>
      <c r="J783" s="1">
        <v>46154</v>
      </c>
      <c r="K783" s="1">
        <v>46154</v>
      </c>
      <c r="L783" t="s">
        <v>226</v>
      </c>
      <c r="M783">
        <v>1624</v>
      </c>
      <c r="N783" t="s">
        <v>208</v>
      </c>
      <c r="O783" t="s">
        <v>25</v>
      </c>
      <c r="P783">
        <v>28663</v>
      </c>
      <c r="Q783" t="s">
        <v>19</v>
      </c>
      <c r="R783">
        <v>41376</v>
      </c>
      <c r="S783" t="str">
        <f>VLOOKUP(L783&amp;TEXT(I783,"mmmm")&amp;YEAR(I783),'[1]Detalle C-Fecha'!$D$2:$E$15921,2,FALSE)</f>
        <v>SUC_CTC - Sucursal Buenos Aires</v>
      </c>
    </row>
    <row r="784" spans="1:19" x14ac:dyDescent="0.3">
      <c r="A784">
        <v>33786</v>
      </c>
      <c r="B784" t="s">
        <v>28</v>
      </c>
      <c r="C784" t="s">
        <v>15</v>
      </c>
      <c r="D784" t="s">
        <v>16</v>
      </c>
      <c r="E784" t="s">
        <v>53</v>
      </c>
      <c r="F784" s="6" t="str">
        <f t="shared" si="12"/>
        <v>3MC</v>
      </c>
      <c r="G784" s="11">
        <v>46154</v>
      </c>
      <c r="H784" s="12">
        <v>0.39652777777777781</v>
      </c>
      <c r="I784" s="11">
        <v>46154</v>
      </c>
      <c r="J784" s="1">
        <v>46154</v>
      </c>
      <c r="K784" s="1">
        <v>46154</v>
      </c>
      <c r="L784" t="s">
        <v>226</v>
      </c>
      <c r="M784">
        <v>1624</v>
      </c>
      <c r="N784" t="s">
        <v>208</v>
      </c>
      <c r="O784" t="s">
        <v>25</v>
      </c>
      <c r="P784">
        <v>28663</v>
      </c>
      <c r="Q784" t="s">
        <v>19</v>
      </c>
      <c r="R784">
        <v>41519</v>
      </c>
      <c r="S784" t="str">
        <f>VLOOKUP(L784&amp;TEXT(I784,"mmmm")&amp;YEAR(I784),'[1]Detalle C-Fecha'!$D$2:$E$15921,2,FALSE)</f>
        <v>SUC_CTC - Sucursal Buenos Aires</v>
      </c>
    </row>
    <row r="785" spans="1:19" x14ac:dyDescent="0.3">
      <c r="A785">
        <v>33787</v>
      </c>
      <c r="B785" t="s">
        <v>28</v>
      </c>
      <c r="C785" t="s">
        <v>15</v>
      </c>
      <c r="D785" t="s">
        <v>16</v>
      </c>
      <c r="E785" t="s">
        <v>111</v>
      </c>
      <c r="F785" s="6" t="str">
        <f t="shared" si="12"/>
        <v>6MC</v>
      </c>
      <c r="G785" s="11">
        <v>46154</v>
      </c>
      <c r="H785" s="12">
        <v>0.39652777777777781</v>
      </c>
      <c r="I785" s="11">
        <v>46154</v>
      </c>
      <c r="J785" s="1">
        <v>46154</v>
      </c>
      <c r="K785" s="1">
        <v>46154</v>
      </c>
      <c r="L785" t="s">
        <v>226</v>
      </c>
      <c r="M785">
        <v>1624</v>
      </c>
      <c r="N785" t="s">
        <v>208</v>
      </c>
      <c r="O785" t="s">
        <v>25</v>
      </c>
      <c r="P785">
        <v>28664</v>
      </c>
      <c r="Q785" t="s">
        <v>19</v>
      </c>
      <c r="R785">
        <v>41377</v>
      </c>
      <c r="S785" t="str">
        <f>VLOOKUP(L785&amp;TEXT(I785,"mmmm")&amp;YEAR(I785),'[1]Detalle C-Fecha'!$D$2:$E$15921,2,FALSE)</f>
        <v>SUC_CTC - Sucursal Buenos Aires</v>
      </c>
    </row>
    <row r="786" spans="1:19" x14ac:dyDescent="0.3">
      <c r="A786">
        <v>33787</v>
      </c>
      <c r="B786" t="s">
        <v>28</v>
      </c>
      <c r="C786" t="s">
        <v>15</v>
      </c>
      <c r="D786" t="s">
        <v>16</v>
      </c>
      <c r="E786" t="s">
        <v>111</v>
      </c>
      <c r="F786" s="6" t="str">
        <f t="shared" si="12"/>
        <v>6MC</v>
      </c>
      <c r="G786" s="11">
        <v>46154</v>
      </c>
      <c r="H786" s="12">
        <v>0.39652777777777781</v>
      </c>
      <c r="I786" s="11">
        <v>46154</v>
      </c>
      <c r="J786" s="1">
        <v>46154</v>
      </c>
      <c r="K786" s="1">
        <v>46154</v>
      </c>
      <c r="L786" t="s">
        <v>226</v>
      </c>
      <c r="M786">
        <v>1624</v>
      </c>
      <c r="N786" t="s">
        <v>208</v>
      </c>
      <c r="O786" t="s">
        <v>25</v>
      </c>
      <c r="P786">
        <v>28664</v>
      </c>
      <c r="Q786" t="s">
        <v>19</v>
      </c>
      <c r="R786">
        <v>41519</v>
      </c>
      <c r="S786" t="str">
        <f>VLOOKUP(L786&amp;TEXT(I786,"mmmm")&amp;YEAR(I786),'[1]Detalle C-Fecha'!$D$2:$E$15921,2,FALSE)</f>
        <v>SUC_CTC - Sucursal Buenos Aires</v>
      </c>
    </row>
    <row r="787" spans="1:19" x14ac:dyDescent="0.3">
      <c r="A787">
        <v>33922</v>
      </c>
      <c r="B787" t="s">
        <v>28</v>
      </c>
      <c r="C787" t="s">
        <v>15</v>
      </c>
      <c r="D787" t="s">
        <v>16</v>
      </c>
      <c r="E787" t="s">
        <v>121</v>
      </c>
      <c r="F787" s="6" t="str">
        <f t="shared" si="12"/>
        <v>2MC</v>
      </c>
      <c r="G787" s="11">
        <v>46156</v>
      </c>
      <c r="H787" s="12">
        <v>0.31527777777777777</v>
      </c>
      <c r="I787" s="11">
        <v>46156</v>
      </c>
      <c r="J787" s="1">
        <v>46156</v>
      </c>
      <c r="K787" s="1">
        <v>46156</v>
      </c>
      <c r="L787" t="s">
        <v>227</v>
      </c>
      <c r="M787">
        <v>1624</v>
      </c>
      <c r="N787" t="s">
        <v>208</v>
      </c>
      <c r="O787" t="s">
        <v>27</v>
      </c>
      <c r="P787">
        <v>28808</v>
      </c>
      <c r="Q787" t="s">
        <v>19</v>
      </c>
      <c r="R787">
        <v>41386</v>
      </c>
      <c r="S787" t="str">
        <f>VLOOKUP(L787&amp;TEXT(I787,"mmmm")&amp;YEAR(I787),'[1]Detalle C-Fecha'!$D$2:$E$15921,2,FALSE)</f>
        <v>CCUCoAZA</v>
      </c>
    </row>
    <row r="788" spans="1:19" x14ac:dyDescent="0.3">
      <c r="A788">
        <v>33922</v>
      </c>
      <c r="B788" t="s">
        <v>28</v>
      </c>
      <c r="C788" t="s">
        <v>15</v>
      </c>
      <c r="D788" t="s">
        <v>16</v>
      </c>
      <c r="E788" t="s">
        <v>121</v>
      </c>
      <c r="F788" s="6" t="str">
        <f t="shared" si="12"/>
        <v>2MC</v>
      </c>
      <c r="G788" s="11">
        <v>46156</v>
      </c>
      <c r="H788" s="12">
        <v>0.31527777777777777</v>
      </c>
      <c r="I788" s="11">
        <v>46156</v>
      </c>
      <c r="J788" s="1">
        <v>46156</v>
      </c>
      <c r="K788" s="1">
        <v>46156</v>
      </c>
      <c r="L788" t="s">
        <v>227</v>
      </c>
      <c r="M788">
        <v>1624</v>
      </c>
      <c r="N788" t="s">
        <v>208</v>
      </c>
      <c r="O788" t="s">
        <v>27</v>
      </c>
      <c r="P788">
        <v>28808</v>
      </c>
      <c r="Q788" t="s">
        <v>19</v>
      </c>
      <c r="R788">
        <v>41520</v>
      </c>
      <c r="S788" t="str">
        <f>VLOOKUP(L788&amp;TEXT(I788,"mmmm")&amp;YEAR(I788),'[1]Detalle C-Fecha'!$D$2:$E$15921,2,FALSE)</f>
        <v>CCUCoAZA</v>
      </c>
    </row>
    <row r="789" spans="1:19" x14ac:dyDescent="0.3">
      <c r="A789">
        <v>33923</v>
      </c>
      <c r="B789" t="s">
        <v>28</v>
      </c>
      <c r="C789" t="s">
        <v>15</v>
      </c>
      <c r="D789" t="s">
        <v>16</v>
      </c>
      <c r="E789" t="s">
        <v>53</v>
      </c>
      <c r="F789" s="6" t="str">
        <f t="shared" si="12"/>
        <v>3MC</v>
      </c>
      <c r="G789" s="11">
        <v>46156</v>
      </c>
      <c r="H789" s="12">
        <v>0.31527777777777777</v>
      </c>
      <c r="I789" s="11">
        <v>46156</v>
      </c>
      <c r="J789" s="1">
        <v>46156</v>
      </c>
      <c r="K789" s="1">
        <v>46156</v>
      </c>
      <c r="L789" t="s">
        <v>227</v>
      </c>
      <c r="M789">
        <v>1624</v>
      </c>
      <c r="N789" t="s">
        <v>208</v>
      </c>
      <c r="O789" t="s">
        <v>27</v>
      </c>
      <c r="P789">
        <v>28809</v>
      </c>
      <c r="Q789" t="s">
        <v>19</v>
      </c>
      <c r="R789">
        <v>41387</v>
      </c>
      <c r="S789" t="str">
        <f>VLOOKUP(L789&amp;TEXT(I789,"mmmm")&amp;YEAR(I789),'[1]Detalle C-Fecha'!$D$2:$E$15921,2,FALSE)</f>
        <v>CCUCoAZA</v>
      </c>
    </row>
    <row r="790" spans="1:19" x14ac:dyDescent="0.3">
      <c r="A790">
        <v>33923</v>
      </c>
      <c r="B790" t="s">
        <v>28</v>
      </c>
      <c r="C790" t="s">
        <v>15</v>
      </c>
      <c r="D790" t="s">
        <v>16</v>
      </c>
      <c r="E790" t="s">
        <v>53</v>
      </c>
      <c r="F790" s="6" t="str">
        <f t="shared" si="12"/>
        <v>3MC</v>
      </c>
      <c r="G790" s="11">
        <v>46156</v>
      </c>
      <c r="H790" s="12">
        <v>0.31527777777777777</v>
      </c>
      <c r="I790" s="11">
        <v>46156</v>
      </c>
      <c r="J790" s="1">
        <v>46156</v>
      </c>
      <c r="K790" s="1">
        <v>46156</v>
      </c>
      <c r="L790" t="s">
        <v>227</v>
      </c>
      <c r="M790">
        <v>1624</v>
      </c>
      <c r="N790" t="s">
        <v>208</v>
      </c>
      <c r="O790" t="s">
        <v>27</v>
      </c>
      <c r="P790">
        <v>28809</v>
      </c>
      <c r="Q790" t="s">
        <v>19</v>
      </c>
      <c r="R790">
        <v>41520</v>
      </c>
      <c r="S790" t="str">
        <f>VLOOKUP(L790&amp;TEXT(I790,"mmmm")&amp;YEAR(I790),'[1]Detalle C-Fecha'!$D$2:$E$15921,2,FALSE)</f>
        <v>CCUCoAZA</v>
      </c>
    </row>
    <row r="791" spans="1:19" x14ac:dyDescent="0.3">
      <c r="A791">
        <v>33924</v>
      </c>
      <c r="B791" t="s">
        <v>28</v>
      </c>
      <c r="C791" t="s">
        <v>15</v>
      </c>
      <c r="D791" t="s">
        <v>16</v>
      </c>
      <c r="E791" t="s">
        <v>111</v>
      </c>
      <c r="F791" s="6" t="str">
        <f t="shared" si="12"/>
        <v>6MC</v>
      </c>
      <c r="G791" s="11">
        <v>46156</v>
      </c>
      <c r="H791" s="12">
        <v>0.31527777777777777</v>
      </c>
      <c r="I791" s="11">
        <v>46156</v>
      </c>
      <c r="J791" s="1">
        <v>46156</v>
      </c>
      <c r="K791" s="1">
        <v>46156</v>
      </c>
      <c r="L791" t="s">
        <v>227</v>
      </c>
      <c r="M791">
        <v>1624</v>
      </c>
      <c r="N791" t="s">
        <v>208</v>
      </c>
      <c r="O791" t="s">
        <v>27</v>
      </c>
      <c r="P791">
        <v>28810</v>
      </c>
      <c r="Q791" t="s">
        <v>19</v>
      </c>
      <c r="R791">
        <v>41388</v>
      </c>
      <c r="S791" t="str">
        <f>VLOOKUP(L791&amp;TEXT(I791,"mmmm")&amp;YEAR(I791),'[1]Detalle C-Fecha'!$D$2:$E$15921,2,FALSE)</f>
        <v>CCUCoAZA</v>
      </c>
    </row>
    <row r="792" spans="1:19" x14ac:dyDescent="0.3">
      <c r="A792">
        <v>33924</v>
      </c>
      <c r="B792" t="s">
        <v>28</v>
      </c>
      <c r="C792" t="s">
        <v>15</v>
      </c>
      <c r="D792" t="s">
        <v>16</v>
      </c>
      <c r="E792" t="s">
        <v>111</v>
      </c>
      <c r="F792" s="6" t="str">
        <f t="shared" si="12"/>
        <v>6MC</v>
      </c>
      <c r="G792" s="11">
        <v>46156</v>
      </c>
      <c r="H792" s="12">
        <v>0.31527777777777777</v>
      </c>
      <c r="I792" s="11">
        <v>46156</v>
      </c>
      <c r="J792" s="1">
        <v>46156</v>
      </c>
      <c r="K792" s="1">
        <v>46156</v>
      </c>
      <c r="L792" t="s">
        <v>227</v>
      </c>
      <c r="M792">
        <v>1624</v>
      </c>
      <c r="N792" t="s">
        <v>208</v>
      </c>
      <c r="O792" t="s">
        <v>27</v>
      </c>
      <c r="P792">
        <v>28810</v>
      </c>
      <c r="Q792" t="s">
        <v>19</v>
      </c>
      <c r="R792">
        <v>41520</v>
      </c>
      <c r="S792" t="str">
        <f>VLOOKUP(L792&amp;TEXT(I792,"mmmm")&amp;YEAR(I792),'[1]Detalle C-Fecha'!$D$2:$E$15921,2,FALSE)</f>
        <v>CCUCoAZA</v>
      </c>
    </row>
    <row r="793" spans="1:19" x14ac:dyDescent="0.3">
      <c r="A793">
        <v>33929</v>
      </c>
      <c r="B793" t="s">
        <v>28</v>
      </c>
      <c r="C793" t="s">
        <v>15</v>
      </c>
      <c r="D793" t="s">
        <v>16</v>
      </c>
      <c r="E793" t="s">
        <v>121</v>
      </c>
      <c r="F793" s="6" t="str">
        <f t="shared" si="12"/>
        <v>2MC</v>
      </c>
      <c r="G793" s="11">
        <v>46156</v>
      </c>
      <c r="H793" s="12">
        <v>0.37708333333333338</v>
      </c>
      <c r="I793" s="11">
        <v>46156</v>
      </c>
      <c r="J793" s="1">
        <v>46156</v>
      </c>
      <c r="K793" s="1">
        <v>46156</v>
      </c>
      <c r="L793" t="s">
        <v>228</v>
      </c>
      <c r="M793">
        <v>1624</v>
      </c>
      <c r="N793" t="s">
        <v>208</v>
      </c>
      <c r="O793" t="s">
        <v>27</v>
      </c>
      <c r="P793">
        <v>28829</v>
      </c>
      <c r="Q793" t="s">
        <v>19</v>
      </c>
      <c r="R793">
        <v>41612</v>
      </c>
      <c r="S793" t="str">
        <f>VLOOKUP(L793&amp;TEXT(I793,"mmmm")&amp;YEAR(I793),'[1]Detalle C-Fecha'!$D$2:$E$15921,2,FALSE)</f>
        <v>Papelera - Papelera del Plata S.A.</v>
      </c>
    </row>
    <row r="794" spans="1:19" x14ac:dyDescent="0.3">
      <c r="A794">
        <v>33929</v>
      </c>
      <c r="B794" t="s">
        <v>28</v>
      </c>
      <c r="C794" t="s">
        <v>15</v>
      </c>
      <c r="D794" t="s">
        <v>16</v>
      </c>
      <c r="E794" t="s">
        <v>121</v>
      </c>
      <c r="F794" s="6" t="str">
        <f t="shared" si="12"/>
        <v>2MC</v>
      </c>
      <c r="G794" s="11">
        <v>46156</v>
      </c>
      <c r="H794" s="12">
        <v>0.37708333333333338</v>
      </c>
      <c r="I794" s="11">
        <v>46156</v>
      </c>
      <c r="J794" s="1">
        <v>46156</v>
      </c>
      <c r="K794" s="1">
        <v>46156</v>
      </c>
      <c r="L794" t="s">
        <v>228</v>
      </c>
      <c r="M794">
        <v>1624</v>
      </c>
      <c r="N794" t="s">
        <v>208</v>
      </c>
      <c r="O794" t="s">
        <v>27</v>
      </c>
      <c r="P794">
        <v>28829</v>
      </c>
      <c r="Q794" t="s">
        <v>19</v>
      </c>
      <c r="R794">
        <v>41816</v>
      </c>
      <c r="S794" t="str">
        <f>VLOOKUP(L794&amp;TEXT(I794,"mmmm")&amp;YEAR(I794),'[1]Detalle C-Fecha'!$D$2:$E$15921,2,FALSE)</f>
        <v>Papelera - Papelera del Plata S.A.</v>
      </c>
    </row>
    <row r="795" spans="1:19" x14ac:dyDescent="0.3">
      <c r="A795">
        <v>33930</v>
      </c>
      <c r="B795" t="s">
        <v>28</v>
      </c>
      <c r="C795" t="s">
        <v>15</v>
      </c>
      <c r="D795" t="s">
        <v>16</v>
      </c>
      <c r="E795" t="s">
        <v>53</v>
      </c>
      <c r="F795" s="6" t="str">
        <f t="shared" si="12"/>
        <v>3MC</v>
      </c>
      <c r="G795" s="11">
        <v>46156</v>
      </c>
      <c r="H795" s="12">
        <v>0.37708333333333338</v>
      </c>
      <c r="I795" s="11">
        <v>46156</v>
      </c>
      <c r="J795" s="1">
        <v>46156</v>
      </c>
      <c r="K795" s="1">
        <v>46156</v>
      </c>
      <c r="L795" t="s">
        <v>228</v>
      </c>
      <c r="M795">
        <v>1624</v>
      </c>
      <c r="N795" t="s">
        <v>208</v>
      </c>
      <c r="O795" t="s">
        <v>27</v>
      </c>
      <c r="P795">
        <v>28830</v>
      </c>
      <c r="Q795" t="s">
        <v>19</v>
      </c>
      <c r="R795">
        <v>41378</v>
      </c>
      <c r="S795" t="str">
        <f>VLOOKUP(L795&amp;TEXT(I795,"mmmm")&amp;YEAR(I795),'[1]Detalle C-Fecha'!$D$2:$E$15921,2,FALSE)</f>
        <v>Papelera - Papelera del Plata S.A.</v>
      </c>
    </row>
    <row r="796" spans="1:19" x14ac:dyDescent="0.3">
      <c r="A796">
        <v>33930</v>
      </c>
      <c r="B796" t="s">
        <v>28</v>
      </c>
      <c r="C796" t="s">
        <v>15</v>
      </c>
      <c r="D796" t="s">
        <v>16</v>
      </c>
      <c r="E796" t="s">
        <v>53</v>
      </c>
      <c r="F796" s="6" t="str">
        <f t="shared" si="12"/>
        <v>3MC</v>
      </c>
      <c r="G796" s="11">
        <v>46156</v>
      </c>
      <c r="H796" s="12">
        <v>0.37708333333333338</v>
      </c>
      <c r="I796" s="11">
        <v>46156</v>
      </c>
      <c r="J796" s="1">
        <v>46156</v>
      </c>
      <c r="K796" s="1">
        <v>46156</v>
      </c>
      <c r="L796" t="s">
        <v>228</v>
      </c>
      <c r="M796">
        <v>1624</v>
      </c>
      <c r="N796" t="s">
        <v>208</v>
      </c>
      <c r="O796" t="s">
        <v>27</v>
      </c>
      <c r="P796">
        <v>28830</v>
      </c>
      <c r="Q796" t="s">
        <v>19</v>
      </c>
      <c r="R796">
        <v>41520</v>
      </c>
      <c r="S796" t="str">
        <f>VLOOKUP(L796&amp;TEXT(I796,"mmmm")&amp;YEAR(I796),'[1]Detalle C-Fecha'!$D$2:$E$15921,2,FALSE)</f>
        <v>Papelera - Papelera del Plata S.A.</v>
      </c>
    </row>
    <row r="797" spans="1:19" x14ac:dyDescent="0.3">
      <c r="A797">
        <v>33931</v>
      </c>
      <c r="B797" t="s">
        <v>28</v>
      </c>
      <c r="C797" t="s">
        <v>15</v>
      </c>
      <c r="D797" t="s">
        <v>16</v>
      </c>
      <c r="E797" t="s">
        <v>111</v>
      </c>
      <c r="F797" s="6" t="str">
        <f t="shared" si="12"/>
        <v>6MC</v>
      </c>
      <c r="G797" s="11">
        <v>46156</v>
      </c>
      <c r="H797" s="12">
        <v>0.37708333333333338</v>
      </c>
      <c r="I797" s="11">
        <v>46156</v>
      </c>
      <c r="J797" s="1">
        <v>46156</v>
      </c>
      <c r="K797" s="1">
        <v>46156</v>
      </c>
      <c r="L797" t="s">
        <v>228</v>
      </c>
      <c r="M797">
        <v>1624</v>
      </c>
      <c r="N797" t="s">
        <v>208</v>
      </c>
      <c r="O797" t="s">
        <v>27</v>
      </c>
      <c r="P797">
        <v>28832</v>
      </c>
      <c r="Q797" t="s">
        <v>19</v>
      </c>
      <c r="R797">
        <v>41379</v>
      </c>
      <c r="S797" t="str">
        <f>VLOOKUP(L797&amp;TEXT(I797,"mmmm")&amp;YEAR(I797),'[1]Detalle C-Fecha'!$D$2:$E$15921,2,FALSE)</f>
        <v>Papelera - Papelera del Plata S.A.</v>
      </c>
    </row>
    <row r="798" spans="1:19" x14ac:dyDescent="0.3">
      <c r="A798">
        <v>33931</v>
      </c>
      <c r="B798" t="s">
        <v>28</v>
      </c>
      <c r="C798" t="s">
        <v>15</v>
      </c>
      <c r="D798" t="s">
        <v>16</v>
      </c>
      <c r="E798" t="s">
        <v>111</v>
      </c>
      <c r="F798" s="6" t="str">
        <f t="shared" si="12"/>
        <v>6MC</v>
      </c>
      <c r="G798" s="11">
        <v>46156</v>
      </c>
      <c r="H798" s="12">
        <v>0.37708333333333338</v>
      </c>
      <c r="I798" s="11">
        <v>46156</v>
      </c>
      <c r="J798" s="1">
        <v>46156</v>
      </c>
      <c r="K798" s="1">
        <v>46156</v>
      </c>
      <c r="L798" t="s">
        <v>228</v>
      </c>
      <c r="M798">
        <v>1624</v>
      </c>
      <c r="N798" t="s">
        <v>208</v>
      </c>
      <c r="O798" t="s">
        <v>27</v>
      </c>
      <c r="P798">
        <v>28832</v>
      </c>
      <c r="Q798" t="s">
        <v>19</v>
      </c>
      <c r="R798">
        <v>41520</v>
      </c>
      <c r="S798" t="str">
        <f>VLOOKUP(L798&amp;TEXT(I798,"mmmm")&amp;YEAR(I798),'[1]Detalle C-Fecha'!$D$2:$E$15921,2,FALSE)</f>
        <v>Papelera - Papelera del Plata S.A.</v>
      </c>
    </row>
    <row r="799" spans="1:19" x14ac:dyDescent="0.3">
      <c r="A799">
        <v>33933</v>
      </c>
      <c r="B799" t="s">
        <v>28</v>
      </c>
      <c r="C799" t="s">
        <v>15</v>
      </c>
      <c r="D799" t="s">
        <v>16</v>
      </c>
      <c r="E799" t="s">
        <v>108</v>
      </c>
      <c r="F799" s="6" t="str">
        <f t="shared" si="12"/>
        <v>2MU</v>
      </c>
      <c r="G799" s="11">
        <v>46156</v>
      </c>
      <c r="H799" s="12">
        <v>0.39305555555555555</v>
      </c>
      <c r="I799" s="11">
        <v>46156</v>
      </c>
      <c r="J799" s="1">
        <v>46156</v>
      </c>
      <c r="K799" s="1">
        <v>46156</v>
      </c>
      <c r="L799" t="s">
        <v>229</v>
      </c>
      <c r="M799" t="s">
        <v>161</v>
      </c>
      <c r="N799" t="s">
        <v>208</v>
      </c>
      <c r="O799" t="s">
        <v>25</v>
      </c>
      <c r="P799">
        <v>28846</v>
      </c>
      <c r="Q799" t="s">
        <v>19</v>
      </c>
      <c r="R799">
        <v>41614</v>
      </c>
      <c r="S799" t="str">
        <f>VLOOKUP(L799&amp;TEXT(I799,"mmmm")&amp;YEAR(I799),'[1]Detalle C-Fecha'!$D$2:$E$15921,2,FALSE)</f>
        <v>SUC_CTC - Sucursal Buenos Aires</v>
      </c>
    </row>
    <row r="800" spans="1:19" x14ac:dyDescent="0.3">
      <c r="A800">
        <v>33933</v>
      </c>
      <c r="B800" t="s">
        <v>28</v>
      </c>
      <c r="C800" t="s">
        <v>15</v>
      </c>
      <c r="D800" t="s">
        <v>16</v>
      </c>
      <c r="E800" t="s">
        <v>108</v>
      </c>
      <c r="F800" s="6" t="str">
        <f t="shared" si="12"/>
        <v>2MU</v>
      </c>
      <c r="G800" s="11">
        <v>46156</v>
      </c>
      <c r="H800" s="12">
        <v>0.39305555555555555</v>
      </c>
      <c r="I800" s="11">
        <v>46156</v>
      </c>
      <c r="J800" s="1">
        <v>46156</v>
      </c>
      <c r="K800" s="1">
        <v>46156</v>
      </c>
      <c r="L800" t="s">
        <v>229</v>
      </c>
      <c r="M800" t="s">
        <v>161</v>
      </c>
      <c r="N800" t="s">
        <v>208</v>
      </c>
      <c r="O800" t="s">
        <v>25</v>
      </c>
      <c r="P800">
        <v>28846</v>
      </c>
      <c r="Q800" t="s">
        <v>19</v>
      </c>
      <c r="R800">
        <v>41815</v>
      </c>
      <c r="S800" t="str">
        <f>VLOOKUP(L800&amp;TEXT(I800,"mmmm")&amp;YEAR(I800),'[1]Detalle C-Fecha'!$D$2:$E$15921,2,FALSE)</f>
        <v>SUC_CTC - Sucursal Buenos Aires</v>
      </c>
    </row>
    <row r="801" spans="1:19" x14ac:dyDescent="0.3">
      <c r="A801">
        <v>33934</v>
      </c>
      <c r="B801" t="s">
        <v>28</v>
      </c>
      <c r="C801" t="s">
        <v>15</v>
      </c>
      <c r="D801" t="s">
        <v>16</v>
      </c>
      <c r="E801" t="s">
        <v>109</v>
      </c>
      <c r="F801" s="6" t="str">
        <f t="shared" si="12"/>
        <v>3MU</v>
      </c>
      <c r="G801" s="11">
        <v>46156</v>
      </c>
      <c r="H801" s="12">
        <v>0.39305555555555555</v>
      </c>
      <c r="I801" s="11">
        <v>46156</v>
      </c>
      <c r="J801" s="1">
        <v>46156</v>
      </c>
      <c r="K801" s="1">
        <v>46156</v>
      </c>
      <c r="L801" t="s">
        <v>229</v>
      </c>
      <c r="M801" t="s">
        <v>161</v>
      </c>
      <c r="N801" t="s">
        <v>208</v>
      </c>
      <c r="O801" t="s">
        <v>25</v>
      </c>
      <c r="P801">
        <v>28847</v>
      </c>
      <c r="Q801" t="s">
        <v>19</v>
      </c>
      <c r="R801">
        <v>41380</v>
      </c>
      <c r="S801" t="str">
        <f>VLOOKUP(L801&amp;TEXT(I801,"mmmm")&amp;YEAR(I801),'[1]Detalle C-Fecha'!$D$2:$E$15921,2,FALSE)</f>
        <v>SUC_CTC - Sucursal Buenos Aires</v>
      </c>
    </row>
    <row r="802" spans="1:19" x14ac:dyDescent="0.3">
      <c r="A802">
        <v>33934</v>
      </c>
      <c r="B802" t="s">
        <v>28</v>
      </c>
      <c r="C802" t="s">
        <v>15</v>
      </c>
      <c r="D802" t="s">
        <v>16</v>
      </c>
      <c r="E802" t="s">
        <v>109</v>
      </c>
      <c r="F802" s="6" t="str">
        <f t="shared" si="12"/>
        <v>3MU</v>
      </c>
      <c r="G802" s="11">
        <v>46156</v>
      </c>
      <c r="H802" s="12">
        <v>0.39305555555555555</v>
      </c>
      <c r="I802" s="11">
        <v>46156</v>
      </c>
      <c r="J802" s="1">
        <v>46156</v>
      </c>
      <c r="K802" s="1">
        <v>46156</v>
      </c>
      <c r="L802" t="s">
        <v>229</v>
      </c>
      <c r="M802" t="s">
        <v>161</v>
      </c>
      <c r="N802" t="s">
        <v>208</v>
      </c>
      <c r="O802" t="s">
        <v>25</v>
      </c>
      <c r="P802">
        <v>28847</v>
      </c>
      <c r="Q802" t="s">
        <v>19</v>
      </c>
      <c r="R802">
        <v>41519</v>
      </c>
      <c r="S802" t="str">
        <f>VLOOKUP(L802&amp;TEXT(I802,"mmmm")&amp;YEAR(I802),'[1]Detalle C-Fecha'!$D$2:$E$15921,2,FALSE)</f>
        <v>SUC_CTC - Sucursal Buenos Aires</v>
      </c>
    </row>
    <row r="803" spans="1:19" x14ac:dyDescent="0.3">
      <c r="A803">
        <v>33935</v>
      </c>
      <c r="B803" t="s">
        <v>28</v>
      </c>
      <c r="C803" t="s">
        <v>15</v>
      </c>
      <c r="D803" t="s">
        <v>16</v>
      </c>
      <c r="E803" t="s">
        <v>107</v>
      </c>
      <c r="F803" s="6" t="str">
        <f t="shared" si="12"/>
        <v>4MU</v>
      </c>
      <c r="G803" s="11">
        <v>46156</v>
      </c>
      <c r="H803" s="12">
        <v>0.39305555555555555</v>
      </c>
      <c r="I803" s="11">
        <v>46156</v>
      </c>
      <c r="J803" s="1">
        <v>46156</v>
      </c>
      <c r="K803" s="1">
        <v>46156</v>
      </c>
      <c r="L803" t="s">
        <v>229</v>
      </c>
      <c r="M803" t="s">
        <v>161</v>
      </c>
      <c r="N803" t="s">
        <v>208</v>
      </c>
      <c r="O803" t="s">
        <v>25</v>
      </c>
      <c r="P803">
        <v>28848</v>
      </c>
      <c r="Q803" t="s">
        <v>19</v>
      </c>
      <c r="R803">
        <v>41381</v>
      </c>
      <c r="S803" t="str">
        <f>VLOOKUP(L803&amp;TEXT(I803,"mmmm")&amp;YEAR(I803),'[1]Detalle C-Fecha'!$D$2:$E$15921,2,FALSE)</f>
        <v>SUC_CTC - Sucursal Buenos Aires</v>
      </c>
    </row>
    <row r="804" spans="1:19" x14ac:dyDescent="0.3">
      <c r="A804">
        <v>33935</v>
      </c>
      <c r="B804" t="s">
        <v>28</v>
      </c>
      <c r="C804" t="s">
        <v>15</v>
      </c>
      <c r="D804" t="s">
        <v>16</v>
      </c>
      <c r="E804" t="s">
        <v>107</v>
      </c>
      <c r="F804" s="6" t="str">
        <f t="shared" si="12"/>
        <v>4MU</v>
      </c>
      <c r="G804" s="11">
        <v>46156</v>
      </c>
      <c r="H804" s="12">
        <v>0.39305555555555555</v>
      </c>
      <c r="I804" s="11">
        <v>46156</v>
      </c>
      <c r="J804" s="1">
        <v>46156</v>
      </c>
      <c r="K804" s="1">
        <v>46156</v>
      </c>
      <c r="L804" t="s">
        <v>229</v>
      </c>
      <c r="M804" t="s">
        <v>161</v>
      </c>
      <c r="N804" t="s">
        <v>208</v>
      </c>
      <c r="O804" t="s">
        <v>25</v>
      </c>
      <c r="P804">
        <v>28848</v>
      </c>
      <c r="Q804" t="s">
        <v>19</v>
      </c>
      <c r="R804">
        <v>41519</v>
      </c>
      <c r="S804" t="str">
        <f>VLOOKUP(L804&amp;TEXT(I804,"mmmm")&amp;YEAR(I804),'[1]Detalle C-Fecha'!$D$2:$E$15921,2,FALSE)</f>
        <v>SUC_CTC - Sucursal Buenos Aires</v>
      </c>
    </row>
    <row r="805" spans="1:19" x14ac:dyDescent="0.3">
      <c r="A805">
        <v>33936</v>
      </c>
      <c r="B805" t="s">
        <v>28</v>
      </c>
      <c r="C805" t="s">
        <v>15</v>
      </c>
      <c r="D805" t="s">
        <v>16</v>
      </c>
      <c r="E805" t="s">
        <v>140</v>
      </c>
      <c r="F805" s="6" t="str">
        <f t="shared" si="12"/>
        <v>4ML</v>
      </c>
      <c r="G805" s="11">
        <v>46156</v>
      </c>
      <c r="H805" s="12">
        <v>0.39305555555555555</v>
      </c>
      <c r="I805" s="11">
        <v>46156</v>
      </c>
      <c r="J805" s="1">
        <v>46156</v>
      </c>
      <c r="K805" s="1">
        <v>46156</v>
      </c>
      <c r="L805" t="s">
        <v>61</v>
      </c>
      <c r="M805" t="s">
        <v>204</v>
      </c>
      <c r="N805" t="s">
        <v>31</v>
      </c>
      <c r="O805" t="s">
        <v>25</v>
      </c>
      <c r="P805">
        <v>28821</v>
      </c>
      <c r="Q805" t="s">
        <v>19</v>
      </c>
      <c r="R805">
        <v>42190</v>
      </c>
      <c r="S805" t="str">
        <f>VLOOKUP(L805&amp;TEXT(I805,"mmmm")&amp;YEAR(I805),'[1]Detalle C-Fecha'!$D$2:$E$15921,2,FALSE)</f>
        <v>Expreso - Servicios Troncales</v>
      </c>
    </row>
    <row r="806" spans="1:19" x14ac:dyDescent="0.3">
      <c r="A806">
        <v>33936</v>
      </c>
      <c r="B806" t="s">
        <v>28</v>
      </c>
      <c r="C806" t="s">
        <v>15</v>
      </c>
      <c r="D806" t="s">
        <v>16</v>
      </c>
      <c r="E806" t="s">
        <v>140</v>
      </c>
      <c r="F806" s="6" t="str">
        <f t="shared" si="12"/>
        <v>4ML</v>
      </c>
      <c r="G806" s="11">
        <v>46156</v>
      </c>
      <c r="H806" s="12">
        <v>0.39305555555555555</v>
      </c>
      <c r="I806" s="11">
        <v>46156</v>
      </c>
      <c r="J806" s="1">
        <v>46156</v>
      </c>
      <c r="K806" s="1">
        <v>46156</v>
      </c>
      <c r="L806" t="s">
        <v>61</v>
      </c>
      <c r="M806" t="s">
        <v>204</v>
      </c>
      <c r="N806" t="s">
        <v>31</v>
      </c>
      <c r="O806" t="s">
        <v>25</v>
      </c>
      <c r="P806">
        <v>28821</v>
      </c>
      <c r="Q806" t="s">
        <v>19</v>
      </c>
      <c r="R806">
        <v>42191</v>
      </c>
      <c r="S806" t="str">
        <f>VLOOKUP(L806&amp;TEXT(I806,"mmmm")&amp;YEAR(I806),'[1]Detalle C-Fecha'!$D$2:$E$15921,2,FALSE)</f>
        <v>Expreso - Servicios Troncales</v>
      </c>
    </row>
    <row r="807" spans="1:19" x14ac:dyDescent="0.3">
      <c r="A807">
        <v>33937</v>
      </c>
      <c r="B807" t="s">
        <v>28</v>
      </c>
      <c r="C807" t="s">
        <v>15</v>
      </c>
      <c r="D807" t="s">
        <v>16</v>
      </c>
      <c r="E807" t="s">
        <v>110</v>
      </c>
      <c r="F807" s="6" t="str">
        <f t="shared" si="12"/>
        <v>5MU</v>
      </c>
      <c r="G807" s="11">
        <v>46156</v>
      </c>
      <c r="H807" s="12">
        <v>0.39305555555555555</v>
      </c>
      <c r="I807" s="11">
        <v>46156</v>
      </c>
      <c r="J807" s="1">
        <v>46156</v>
      </c>
      <c r="K807" s="1">
        <v>46156</v>
      </c>
      <c r="L807" t="s">
        <v>229</v>
      </c>
      <c r="M807" t="s">
        <v>161</v>
      </c>
      <c r="N807" t="s">
        <v>208</v>
      </c>
      <c r="O807" t="s">
        <v>25</v>
      </c>
      <c r="P807">
        <v>28849</v>
      </c>
      <c r="Q807" t="s">
        <v>19</v>
      </c>
      <c r="R807">
        <v>41382</v>
      </c>
      <c r="S807" t="str">
        <f>VLOOKUP(L807&amp;TEXT(I807,"mmmm")&amp;YEAR(I807),'[1]Detalle C-Fecha'!$D$2:$E$15921,2,FALSE)</f>
        <v>SUC_CTC - Sucursal Buenos Aires</v>
      </c>
    </row>
    <row r="808" spans="1:19" x14ac:dyDescent="0.3">
      <c r="A808">
        <v>33937</v>
      </c>
      <c r="B808" t="s">
        <v>28</v>
      </c>
      <c r="C808" t="s">
        <v>15</v>
      </c>
      <c r="D808" t="s">
        <v>16</v>
      </c>
      <c r="E808" t="s">
        <v>110</v>
      </c>
      <c r="F808" s="6" t="str">
        <f t="shared" si="12"/>
        <v>5MU</v>
      </c>
      <c r="G808" s="11">
        <v>46156</v>
      </c>
      <c r="H808" s="12">
        <v>0.39305555555555555</v>
      </c>
      <c r="I808" s="11">
        <v>46156</v>
      </c>
      <c r="J808" s="1">
        <v>46156</v>
      </c>
      <c r="K808" s="1">
        <v>46156</v>
      </c>
      <c r="L808" t="s">
        <v>229</v>
      </c>
      <c r="M808" t="s">
        <v>161</v>
      </c>
      <c r="N808" t="s">
        <v>208</v>
      </c>
      <c r="O808" t="s">
        <v>25</v>
      </c>
      <c r="P808">
        <v>28849</v>
      </c>
      <c r="Q808" t="s">
        <v>19</v>
      </c>
      <c r="R808">
        <v>41519</v>
      </c>
      <c r="S808" t="str">
        <f>VLOOKUP(L808&amp;TEXT(I808,"mmmm")&amp;YEAR(I808),'[1]Detalle C-Fecha'!$D$2:$E$15921,2,FALSE)</f>
        <v>SUC_CTC - Sucursal Buenos Aires</v>
      </c>
    </row>
    <row r="809" spans="1:19" x14ac:dyDescent="0.3">
      <c r="A809">
        <v>33938</v>
      </c>
      <c r="B809" t="s">
        <v>28</v>
      </c>
      <c r="C809" t="s">
        <v>15</v>
      </c>
      <c r="D809" t="s">
        <v>16</v>
      </c>
      <c r="E809" t="s">
        <v>141</v>
      </c>
      <c r="F809" s="6" t="str">
        <f t="shared" si="12"/>
        <v>5ML</v>
      </c>
      <c r="G809" s="11">
        <v>46156</v>
      </c>
      <c r="H809" s="12">
        <v>0.39305555555555555</v>
      </c>
      <c r="I809" s="11">
        <v>46156</v>
      </c>
      <c r="J809" s="1">
        <v>46156</v>
      </c>
      <c r="K809" s="1">
        <v>46156</v>
      </c>
      <c r="L809" t="s">
        <v>61</v>
      </c>
      <c r="M809" t="s">
        <v>204</v>
      </c>
      <c r="N809" t="s">
        <v>31</v>
      </c>
      <c r="O809" t="s">
        <v>25</v>
      </c>
      <c r="P809">
        <v>28822</v>
      </c>
      <c r="Q809" t="s">
        <v>19</v>
      </c>
      <c r="R809">
        <v>42194</v>
      </c>
      <c r="S809" t="str">
        <f>VLOOKUP(L809&amp;TEXT(I809,"mmmm")&amp;YEAR(I809),'[1]Detalle C-Fecha'!$D$2:$E$15921,2,FALSE)</f>
        <v>Expreso - Servicios Troncales</v>
      </c>
    </row>
    <row r="810" spans="1:19" x14ac:dyDescent="0.3">
      <c r="A810">
        <v>33938</v>
      </c>
      <c r="B810" t="s">
        <v>28</v>
      </c>
      <c r="C810" t="s">
        <v>15</v>
      </c>
      <c r="D810" t="s">
        <v>16</v>
      </c>
      <c r="E810" t="s">
        <v>141</v>
      </c>
      <c r="F810" s="6" t="str">
        <f t="shared" si="12"/>
        <v>5ML</v>
      </c>
      <c r="G810" s="11">
        <v>46156</v>
      </c>
      <c r="H810" s="12">
        <v>0.39305555555555555</v>
      </c>
      <c r="I810" s="11">
        <v>46156</v>
      </c>
      <c r="J810" s="1">
        <v>46156</v>
      </c>
      <c r="K810" s="1">
        <v>46156</v>
      </c>
      <c r="L810" t="s">
        <v>61</v>
      </c>
      <c r="M810" t="s">
        <v>204</v>
      </c>
      <c r="N810" t="s">
        <v>31</v>
      </c>
      <c r="O810" t="s">
        <v>25</v>
      </c>
      <c r="P810">
        <v>28822</v>
      </c>
      <c r="Q810" t="s">
        <v>19</v>
      </c>
      <c r="R810">
        <v>42197</v>
      </c>
      <c r="S810" t="str">
        <f>VLOOKUP(L810&amp;TEXT(I810,"mmmm")&amp;YEAR(I810),'[1]Detalle C-Fecha'!$D$2:$E$15921,2,FALSE)</f>
        <v>Expreso - Servicios Troncales</v>
      </c>
    </row>
    <row r="811" spans="1:19" x14ac:dyDescent="0.3">
      <c r="A811">
        <v>33960</v>
      </c>
      <c r="B811" t="s">
        <v>28</v>
      </c>
      <c r="C811" t="s">
        <v>15</v>
      </c>
      <c r="D811" t="s">
        <v>16</v>
      </c>
      <c r="E811" t="s">
        <v>51</v>
      </c>
      <c r="F811" s="6" t="str">
        <f t="shared" si="12"/>
        <v>2MC</v>
      </c>
      <c r="G811" s="11">
        <v>46156</v>
      </c>
      <c r="H811" s="12">
        <v>0.57986111111111105</v>
      </c>
      <c r="I811" s="11">
        <v>46156</v>
      </c>
      <c r="J811" s="1">
        <v>46156</v>
      </c>
      <c r="K811" s="1">
        <v>46156</v>
      </c>
      <c r="L811" t="s">
        <v>230</v>
      </c>
      <c r="M811">
        <v>1218</v>
      </c>
      <c r="N811" t="s">
        <v>208</v>
      </c>
      <c r="O811" t="s">
        <v>27</v>
      </c>
      <c r="P811">
        <v>28944</v>
      </c>
      <c r="Q811" t="s">
        <v>19</v>
      </c>
      <c r="R811">
        <v>41383</v>
      </c>
      <c r="S811" t="str">
        <f>VLOOKUP(L811&amp;TEXT(I811,"mmmm")&amp;YEAR(I811),'[1]Detalle C-Fecha'!$D$2:$E$15921,2,FALSE)</f>
        <v>CCUCoAZA</v>
      </c>
    </row>
    <row r="812" spans="1:19" x14ac:dyDescent="0.3">
      <c r="A812">
        <v>33960</v>
      </c>
      <c r="B812" t="s">
        <v>28</v>
      </c>
      <c r="C812" t="s">
        <v>15</v>
      </c>
      <c r="D812" t="s">
        <v>16</v>
      </c>
      <c r="E812" t="s">
        <v>51</v>
      </c>
      <c r="F812" s="6" t="str">
        <f t="shared" si="12"/>
        <v>2MC</v>
      </c>
      <c r="G812" s="11">
        <v>46156</v>
      </c>
      <c r="H812" s="12">
        <v>0.57986111111111105</v>
      </c>
      <c r="I812" s="11">
        <v>46156</v>
      </c>
      <c r="J812" s="1">
        <v>46156</v>
      </c>
      <c r="K812" s="1">
        <v>46156</v>
      </c>
      <c r="L812" t="s">
        <v>230</v>
      </c>
      <c r="M812">
        <v>1218</v>
      </c>
      <c r="N812" t="s">
        <v>208</v>
      </c>
      <c r="O812" t="s">
        <v>27</v>
      </c>
      <c r="P812">
        <v>28944</v>
      </c>
      <c r="Q812" t="s">
        <v>19</v>
      </c>
      <c r="R812">
        <v>41520</v>
      </c>
      <c r="S812" t="str">
        <f>VLOOKUP(L812&amp;TEXT(I812,"mmmm")&amp;YEAR(I812),'[1]Detalle C-Fecha'!$D$2:$E$15921,2,FALSE)</f>
        <v>CCUCoAZA</v>
      </c>
    </row>
    <row r="813" spans="1:19" x14ac:dyDescent="0.3">
      <c r="A813">
        <v>33961</v>
      </c>
      <c r="B813" t="s">
        <v>28</v>
      </c>
      <c r="C813" t="s">
        <v>15</v>
      </c>
      <c r="D813" t="s">
        <v>16</v>
      </c>
      <c r="E813" t="s">
        <v>53</v>
      </c>
      <c r="F813" s="6" t="str">
        <f t="shared" si="12"/>
        <v>3MC</v>
      </c>
      <c r="G813" s="11">
        <v>46156</v>
      </c>
      <c r="H813" s="12">
        <v>0.57986111111111105</v>
      </c>
      <c r="I813" s="11">
        <v>46156</v>
      </c>
      <c r="J813" s="1">
        <v>46156</v>
      </c>
      <c r="K813" s="1">
        <v>46156</v>
      </c>
      <c r="L813" t="s">
        <v>230</v>
      </c>
      <c r="M813">
        <v>1218</v>
      </c>
      <c r="N813" t="s">
        <v>208</v>
      </c>
      <c r="O813" t="s">
        <v>27</v>
      </c>
      <c r="P813">
        <v>28945</v>
      </c>
      <c r="Q813" t="s">
        <v>19</v>
      </c>
      <c r="R813">
        <v>41384</v>
      </c>
      <c r="S813" t="str">
        <f>VLOOKUP(L813&amp;TEXT(I813,"mmmm")&amp;YEAR(I813),'[1]Detalle C-Fecha'!$D$2:$E$15921,2,FALSE)</f>
        <v>CCUCoAZA</v>
      </c>
    </row>
    <row r="814" spans="1:19" x14ac:dyDescent="0.3">
      <c r="A814">
        <v>33961</v>
      </c>
      <c r="B814" t="s">
        <v>28</v>
      </c>
      <c r="C814" t="s">
        <v>15</v>
      </c>
      <c r="D814" t="s">
        <v>16</v>
      </c>
      <c r="E814" t="s">
        <v>53</v>
      </c>
      <c r="F814" s="6" t="str">
        <f t="shared" si="12"/>
        <v>3MC</v>
      </c>
      <c r="G814" s="11">
        <v>46156</v>
      </c>
      <c r="H814" s="12">
        <v>0.57986111111111105</v>
      </c>
      <c r="I814" s="11">
        <v>46156</v>
      </c>
      <c r="J814" s="1">
        <v>46156</v>
      </c>
      <c r="K814" s="1">
        <v>46156</v>
      </c>
      <c r="L814" t="s">
        <v>230</v>
      </c>
      <c r="M814">
        <v>1218</v>
      </c>
      <c r="N814" t="s">
        <v>208</v>
      </c>
      <c r="O814" t="s">
        <v>27</v>
      </c>
      <c r="P814">
        <v>28945</v>
      </c>
      <c r="Q814" t="s">
        <v>19</v>
      </c>
      <c r="R814">
        <v>41520</v>
      </c>
      <c r="S814" t="str">
        <f>VLOOKUP(L814&amp;TEXT(I814,"mmmm")&amp;YEAR(I814),'[1]Detalle C-Fecha'!$D$2:$E$15921,2,FALSE)</f>
        <v>CCUCoAZA</v>
      </c>
    </row>
    <row r="815" spans="1:19" x14ac:dyDescent="0.3">
      <c r="A815">
        <v>33962</v>
      </c>
      <c r="B815" t="s">
        <v>28</v>
      </c>
      <c r="C815" t="s">
        <v>15</v>
      </c>
      <c r="D815" t="s">
        <v>16</v>
      </c>
      <c r="E815" t="s">
        <v>52</v>
      </c>
      <c r="F815" s="6" t="str">
        <f t="shared" si="12"/>
        <v>6MC</v>
      </c>
      <c r="G815" s="11">
        <v>46156</v>
      </c>
      <c r="H815" s="12">
        <v>0.57986111111111105</v>
      </c>
      <c r="I815" s="11">
        <v>46156</v>
      </c>
      <c r="J815" s="1">
        <v>46156</v>
      </c>
      <c r="K815" s="1">
        <v>46156</v>
      </c>
      <c r="L815" t="s">
        <v>230</v>
      </c>
      <c r="M815">
        <v>1218</v>
      </c>
      <c r="N815" t="s">
        <v>208</v>
      </c>
      <c r="O815" t="s">
        <v>27</v>
      </c>
      <c r="P815">
        <v>28946</v>
      </c>
      <c r="Q815" t="s">
        <v>19</v>
      </c>
      <c r="R815">
        <v>41385</v>
      </c>
      <c r="S815" t="str">
        <f>VLOOKUP(L815&amp;TEXT(I815,"mmmm")&amp;YEAR(I815),'[1]Detalle C-Fecha'!$D$2:$E$15921,2,FALSE)</f>
        <v>CCUCoAZA</v>
      </c>
    </row>
    <row r="816" spans="1:19" x14ac:dyDescent="0.3">
      <c r="A816">
        <v>33962</v>
      </c>
      <c r="B816" t="s">
        <v>28</v>
      </c>
      <c r="C816" t="s">
        <v>15</v>
      </c>
      <c r="D816" t="s">
        <v>16</v>
      </c>
      <c r="E816" t="s">
        <v>52</v>
      </c>
      <c r="F816" s="6" t="str">
        <f t="shared" si="12"/>
        <v>6MC</v>
      </c>
      <c r="G816" s="11">
        <v>46156</v>
      </c>
      <c r="H816" s="12">
        <v>0.57986111111111105</v>
      </c>
      <c r="I816" s="11">
        <v>46156</v>
      </c>
      <c r="J816" s="1">
        <v>46156</v>
      </c>
      <c r="K816" s="1">
        <v>46156</v>
      </c>
      <c r="L816" t="s">
        <v>230</v>
      </c>
      <c r="M816">
        <v>1218</v>
      </c>
      <c r="N816" t="s">
        <v>208</v>
      </c>
      <c r="O816" t="s">
        <v>27</v>
      </c>
      <c r="P816">
        <v>28946</v>
      </c>
      <c r="Q816" t="s">
        <v>19</v>
      </c>
      <c r="R816">
        <v>41520</v>
      </c>
      <c r="S816" t="str">
        <f>VLOOKUP(L816&amp;TEXT(I816,"mmmm")&amp;YEAR(I816),'[1]Detalle C-Fecha'!$D$2:$E$15921,2,FALSE)</f>
        <v>CCUCoAZA</v>
      </c>
    </row>
    <row r="817" spans="1:19" x14ac:dyDescent="0.3">
      <c r="A817">
        <v>34158</v>
      </c>
      <c r="B817" t="s">
        <v>28</v>
      </c>
      <c r="C817" t="s">
        <v>15</v>
      </c>
      <c r="D817" t="s">
        <v>16</v>
      </c>
      <c r="E817" t="s">
        <v>121</v>
      </c>
      <c r="F817" s="6" t="str">
        <f t="shared" si="12"/>
        <v>2MC</v>
      </c>
      <c r="G817" s="11">
        <v>46157</v>
      </c>
      <c r="H817" s="12">
        <v>0.45208333333333334</v>
      </c>
      <c r="I817" s="11">
        <v>46157</v>
      </c>
      <c r="J817" s="1">
        <v>46157</v>
      </c>
      <c r="K817" s="1">
        <v>46168</v>
      </c>
      <c r="L817" t="s">
        <v>231</v>
      </c>
      <c r="M817">
        <v>1624</v>
      </c>
      <c r="N817" t="s">
        <v>208</v>
      </c>
      <c r="O817" t="s">
        <v>27</v>
      </c>
      <c r="P817">
        <v>28974</v>
      </c>
      <c r="Q817" t="s">
        <v>123</v>
      </c>
      <c r="S817" t="str">
        <f>VLOOKUP(L817&amp;TEXT(I817,"mmmm")&amp;YEAR(I817),'[1]Detalle C-Fecha'!$D$2:$E$15921,2,FALSE)</f>
        <v>Unilever - Unilever de Arg. S.A.</v>
      </c>
    </row>
    <row r="818" spans="1:19" x14ac:dyDescent="0.3">
      <c r="A818">
        <v>34158</v>
      </c>
      <c r="B818" t="s">
        <v>28</v>
      </c>
      <c r="C818" t="s">
        <v>15</v>
      </c>
      <c r="D818" t="s">
        <v>16</v>
      </c>
      <c r="E818" t="s">
        <v>121</v>
      </c>
      <c r="F818" s="6" t="str">
        <f t="shared" si="12"/>
        <v>2MC</v>
      </c>
      <c r="G818" s="11">
        <v>46157</v>
      </c>
      <c r="H818" s="12">
        <v>0.45208333333333334</v>
      </c>
      <c r="I818" s="11">
        <v>46157</v>
      </c>
      <c r="J818" s="1">
        <v>46157</v>
      </c>
      <c r="K818" s="1">
        <v>46168</v>
      </c>
      <c r="L818" t="s">
        <v>231</v>
      </c>
      <c r="M818">
        <v>1624</v>
      </c>
      <c r="N818" t="s">
        <v>208</v>
      </c>
      <c r="O818" t="s">
        <v>27</v>
      </c>
      <c r="P818">
        <v>28974</v>
      </c>
      <c r="Q818" t="s">
        <v>123</v>
      </c>
      <c r="R818">
        <v>42533</v>
      </c>
      <c r="S818" t="str">
        <f>VLOOKUP(L818&amp;TEXT(I818,"mmmm")&amp;YEAR(I818),'[1]Detalle C-Fecha'!$D$2:$E$15921,2,FALSE)</f>
        <v>Unilever - Unilever de Arg. S.A.</v>
      </c>
    </row>
    <row r="819" spans="1:19" x14ac:dyDescent="0.3">
      <c r="A819">
        <v>34159</v>
      </c>
      <c r="B819" t="s">
        <v>28</v>
      </c>
      <c r="C819" t="s">
        <v>15</v>
      </c>
      <c r="D819" t="s">
        <v>16</v>
      </c>
      <c r="E819" t="s">
        <v>53</v>
      </c>
      <c r="F819" s="6" t="str">
        <f t="shared" si="12"/>
        <v>3MC</v>
      </c>
      <c r="G819" s="11">
        <v>46157</v>
      </c>
      <c r="H819" s="12">
        <v>0.45208333333333334</v>
      </c>
      <c r="I819" s="11">
        <v>46157</v>
      </c>
      <c r="K819" s="1">
        <v>46164</v>
      </c>
      <c r="L819" t="s">
        <v>231</v>
      </c>
      <c r="M819">
        <v>1624</v>
      </c>
      <c r="N819" t="s">
        <v>208</v>
      </c>
      <c r="O819" t="s">
        <v>27</v>
      </c>
      <c r="P819">
        <v>28975</v>
      </c>
      <c r="Q819" t="s">
        <v>19</v>
      </c>
      <c r="R819">
        <v>41888</v>
      </c>
      <c r="S819" t="str">
        <f>VLOOKUP(L819&amp;TEXT(I819,"mmmm")&amp;YEAR(I819),'[1]Detalle C-Fecha'!$D$2:$E$15921,2,FALSE)</f>
        <v>Unilever - Unilever de Arg. S.A.</v>
      </c>
    </row>
    <row r="820" spans="1:19" x14ac:dyDescent="0.3">
      <c r="A820">
        <v>34159</v>
      </c>
      <c r="B820" t="s">
        <v>28</v>
      </c>
      <c r="C820" t="s">
        <v>15</v>
      </c>
      <c r="D820" t="s">
        <v>16</v>
      </c>
      <c r="E820" t="s">
        <v>53</v>
      </c>
      <c r="F820" s="6" t="str">
        <f t="shared" si="12"/>
        <v>3MC</v>
      </c>
      <c r="G820" s="11">
        <v>46157</v>
      </c>
      <c r="H820" s="12">
        <v>0.45208333333333334</v>
      </c>
      <c r="I820" s="11">
        <v>46157</v>
      </c>
      <c r="K820" s="1">
        <v>46164</v>
      </c>
      <c r="L820" t="s">
        <v>231</v>
      </c>
      <c r="M820">
        <v>1624</v>
      </c>
      <c r="N820" t="s">
        <v>208</v>
      </c>
      <c r="O820" t="s">
        <v>27</v>
      </c>
      <c r="P820">
        <v>28975</v>
      </c>
      <c r="Q820" t="s">
        <v>19</v>
      </c>
      <c r="R820">
        <v>42169</v>
      </c>
      <c r="S820" t="str">
        <f>VLOOKUP(L820&amp;TEXT(I820,"mmmm")&amp;YEAR(I820),'[1]Detalle C-Fecha'!$D$2:$E$15921,2,FALSE)</f>
        <v>Unilever - Unilever de Arg. S.A.</v>
      </c>
    </row>
    <row r="821" spans="1:19" x14ac:dyDescent="0.3">
      <c r="A821">
        <v>34160</v>
      </c>
      <c r="B821" t="s">
        <v>28</v>
      </c>
      <c r="C821" t="s">
        <v>15</v>
      </c>
      <c r="D821" t="s">
        <v>16</v>
      </c>
      <c r="E821" t="s">
        <v>111</v>
      </c>
      <c r="F821" s="6" t="str">
        <f t="shared" si="12"/>
        <v>6MC</v>
      </c>
      <c r="G821" s="11">
        <v>46157</v>
      </c>
      <c r="H821" s="12">
        <v>0.45208333333333334</v>
      </c>
      <c r="I821" s="11">
        <v>46157</v>
      </c>
      <c r="J821" s="1">
        <v>46157</v>
      </c>
      <c r="K821" s="1">
        <v>46168</v>
      </c>
      <c r="L821" t="s">
        <v>231</v>
      </c>
      <c r="M821">
        <v>1624</v>
      </c>
      <c r="N821" t="s">
        <v>208</v>
      </c>
      <c r="O821" t="s">
        <v>27</v>
      </c>
      <c r="P821">
        <v>28976</v>
      </c>
      <c r="Q821" t="s">
        <v>123</v>
      </c>
      <c r="S821" t="str">
        <f>VLOOKUP(L821&amp;TEXT(I821,"mmmm")&amp;YEAR(I821),'[1]Detalle C-Fecha'!$D$2:$E$15921,2,FALSE)</f>
        <v>Unilever - Unilever de Arg. S.A.</v>
      </c>
    </row>
    <row r="822" spans="1:19" x14ac:dyDescent="0.3">
      <c r="A822">
        <v>34160</v>
      </c>
      <c r="B822" t="s">
        <v>28</v>
      </c>
      <c r="C822" t="s">
        <v>15</v>
      </c>
      <c r="D822" t="s">
        <v>16</v>
      </c>
      <c r="E822" t="s">
        <v>111</v>
      </c>
      <c r="F822" s="6" t="str">
        <f t="shared" si="12"/>
        <v>6MC</v>
      </c>
      <c r="G822" s="11">
        <v>46157</v>
      </c>
      <c r="H822" s="12">
        <v>0.45208333333333334</v>
      </c>
      <c r="I822" s="11">
        <v>46157</v>
      </c>
      <c r="J822" s="1">
        <v>46157</v>
      </c>
      <c r="K822" s="1">
        <v>46168</v>
      </c>
      <c r="L822" t="s">
        <v>231</v>
      </c>
      <c r="M822">
        <v>1624</v>
      </c>
      <c r="N822" t="s">
        <v>208</v>
      </c>
      <c r="O822" t="s">
        <v>27</v>
      </c>
      <c r="P822">
        <v>28976</v>
      </c>
      <c r="Q822" t="s">
        <v>123</v>
      </c>
      <c r="R822">
        <v>42534</v>
      </c>
      <c r="S822" t="str">
        <f>VLOOKUP(L822&amp;TEXT(I822,"mmmm")&amp;YEAR(I822),'[1]Detalle C-Fecha'!$D$2:$E$15921,2,FALSE)</f>
        <v>Unilever - Unilever de Arg. S.A.</v>
      </c>
    </row>
    <row r="823" spans="1:19" x14ac:dyDescent="0.3">
      <c r="A823">
        <v>34189</v>
      </c>
      <c r="B823" t="s">
        <v>28</v>
      </c>
      <c r="C823" t="s">
        <v>15</v>
      </c>
      <c r="D823" t="s">
        <v>16</v>
      </c>
      <c r="E823" t="s">
        <v>51</v>
      </c>
      <c r="F823" s="6" t="str">
        <f t="shared" si="12"/>
        <v>2MC</v>
      </c>
      <c r="G823" s="11">
        <v>46158</v>
      </c>
      <c r="H823" s="12">
        <v>0.38750000000000001</v>
      </c>
      <c r="I823" s="11">
        <v>46156</v>
      </c>
      <c r="J823" s="1">
        <v>46156</v>
      </c>
      <c r="K823" s="1">
        <v>46156</v>
      </c>
      <c r="L823" t="s">
        <v>232</v>
      </c>
      <c r="M823" t="s">
        <v>155</v>
      </c>
      <c r="N823" t="s">
        <v>17</v>
      </c>
      <c r="O823" t="s">
        <v>24</v>
      </c>
      <c r="P823">
        <v>29004</v>
      </c>
      <c r="Q823" t="s">
        <v>19</v>
      </c>
      <c r="R823">
        <v>42079</v>
      </c>
      <c r="S823" t="str">
        <f>VLOOKUP(L823&amp;TEXT(I823,"mmmm")&amp;YEAR(I823),'[1]Detalle C-Fecha'!$D$2:$E$15921,2,FALSE)</f>
        <v>CCU_MZA - Comp. Cerv. Unidas - MZA</v>
      </c>
    </row>
    <row r="824" spans="1:19" x14ac:dyDescent="0.3">
      <c r="A824">
        <v>34189</v>
      </c>
      <c r="B824" t="s">
        <v>28</v>
      </c>
      <c r="C824" t="s">
        <v>15</v>
      </c>
      <c r="D824" t="s">
        <v>16</v>
      </c>
      <c r="E824" t="s">
        <v>51</v>
      </c>
      <c r="F824" s="6" t="str">
        <f t="shared" si="12"/>
        <v>2MC</v>
      </c>
      <c r="G824" s="11">
        <v>46158</v>
      </c>
      <c r="H824" s="12">
        <v>0.38750000000000001</v>
      </c>
      <c r="I824" s="11">
        <v>46156</v>
      </c>
      <c r="J824" s="1">
        <v>46156</v>
      </c>
      <c r="K824" s="1">
        <v>46156</v>
      </c>
      <c r="L824" t="s">
        <v>232</v>
      </c>
      <c r="M824" t="s">
        <v>155</v>
      </c>
      <c r="N824" t="s">
        <v>17</v>
      </c>
      <c r="O824" t="s">
        <v>24</v>
      </c>
      <c r="P824">
        <v>29004</v>
      </c>
      <c r="Q824" t="s">
        <v>19</v>
      </c>
      <c r="R824">
        <v>42080</v>
      </c>
      <c r="S824" t="str">
        <f>VLOOKUP(L824&amp;TEXT(I824,"mmmm")&amp;YEAR(I824),'[1]Detalle C-Fecha'!$D$2:$E$15921,2,FALSE)</f>
        <v>CCU_MZA - Comp. Cerv. Unidas - MZA</v>
      </c>
    </row>
    <row r="825" spans="1:19" x14ac:dyDescent="0.3">
      <c r="A825">
        <v>34190</v>
      </c>
      <c r="B825" t="s">
        <v>28</v>
      </c>
      <c r="C825" t="s">
        <v>15</v>
      </c>
      <c r="D825" t="s">
        <v>16</v>
      </c>
      <c r="E825" t="s">
        <v>53</v>
      </c>
      <c r="F825" s="6" t="str">
        <f t="shared" si="12"/>
        <v>3MC</v>
      </c>
      <c r="G825" s="11">
        <v>46158</v>
      </c>
      <c r="H825" s="12">
        <v>0.38750000000000001</v>
      </c>
      <c r="I825" s="11">
        <v>46156</v>
      </c>
      <c r="J825" s="1">
        <v>46156</v>
      </c>
      <c r="K825" s="1">
        <v>46156</v>
      </c>
      <c r="L825" t="s">
        <v>232</v>
      </c>
      <c r="M825" t="s">
        <v>155</v>
      </c>
      <c r="N825" t="s">
        <v>17</v>
      </c>
      <c r="O825" t="s">
        <v>24</v>
      </c>
      <c r="P825">
        <v>29005</v>
      </c>
      <c r="Q825" t="s">
        <v>19</v>
      </c>
      <c r="R825">
        <v>42081</v>
      </c>
      <c r="S825" t="str">
        <f>VLOOKUP(L825&amp;TEXT(I825,"mmmm")&amp;YEAR(I825),'[1]Detalle C-Fecha'!$D$2:$E$15921,2,FALSE)</f>
        <v>CCU_MZA - Comp. Cerv. Unidas - MZA</v>
      </c>
    </row>
    <row r="826" spans="1:19" x14ac:dyDescent="0.3">
      <c r="A826">
        <v>34190</v>
      </c>
      <c r="B826" t="s">
        <v>28</v>
      </c>
      <c r="C826" t="s">
        <v>15</v>
      </c>
      <c r="D826" t="s">
        <v>16</v>
      </c>
      <c r="E826" t="s">
        <v>53</v>
      </c>
      <c r="F826" s="6" t="str">
        <f t="shared" si="12"/>
        <v>3MC</v>
      </c>
      <c r="G826" s="11">
        <v>46158</v>
      </c>
      <c r="H826" s="12">
        <v>0.38750000000000001</v>
      </c>
      <c r="I826" s="11">
        <v>46156</v>
      </c>
      <c r="J826" s="1">
        <v>46156</v>
      </c>
      <c r="K826" s="1">
        <v>46156</v>
      </c>
      <c r="L826" t="s">
        <v>232</v>
      </c>
      <c r="M826" t="s">
        <v>155</v>
      </c>
      <c r="N826" t="s">
        <v>17</v>
      </c>
      <c r="O826" t="s">
        <v>24</v>
      </c>
      <c r="P826">
        <v>29005</v>
      </c>
      <c r="Q826" t="s">
        <v>19</v>
      </c>
      <c r="R826">
        <v>42082</v>
      </c>
      <c r="S826" t="str">
        <f>VLOOKUP(L826&amp;TEXT(I826,"mmmm")&amp;YEAR(I826),'[1]Detalle C-Fecha'!$D$2:$E$15921,2,FALSE)</f>
        <v>CCU_MZA - Comp. Cerv. Unidas - MZA</v>
      </c>
    </row>
    <row r="827" spans="1:19" x14ac:dyDescent="0.3">
      <c r="A827">
        <v>34191</v>
      </c>
      <c r="B827" t="s">
        <v>28</v>
      </c>
      <c r="C827" t="s">
        <v>15</v>
      </c>
      <c r="D827" t="s">
        <v>16</v>
      </c>
      <c r="E827" t="s">
        <v>52</v>
      </c>
      <c r="F827" s="6" t="str">
        <f t="shared" si="12"/>
        <v>6MC</v>
      </c>
      <c r="G827" s="11">
        <v>46158</v>
      </c>
      <c r="H827" s="12">
        <v>0.38750000000000001</v>
      </c>
      <c r="I827" s="11">
        <v>46156</v>
      </c>
      <c r="J827" s="1">
        <v>46156</v>
      </c>
      <c r="K827" s="1">
        <v>46156</v>
      </c>
      <c r="L827" t="s">
        <v>232</v>
      </c>
      <c r="M827" t="s">
        <v>155</v>
      </c>
      <c r="N827" t="s">
        <v>17</v>
      </c>
      <c r="O827" t="s">
        <v>24</v>
      </c>
      <c r="P827">
        <v>29006</v>
      </c>
      <c r="Q827" t="s">
        <v>19</v>
      </c>
      <c r="R827">
        <v>42083</v>
      </c>
      <c r="S827" t="str">
        <f>VLOOKUP(L827&amp;TEXT(I827,"mmmm")&amp;YEAR(I827),'[1]Detalle C-Fecha'!$D$2:$E$15921,2,FALSE)</f>
        <v>CCU_MZA - Comp. Cerv. Unidas - MZA</v>
      </c>
    </row>
    <row r="828" spans="1:19" x14ac:dyDescent="0.3">
      <c r="A828">
        <v>34191</v>
      </c>
      <c r="B828" t="s">
        <v>28</v>
      </c>
      <c r="C828" t="s">
        <v>15</v>
      </c>
      <c r="D828" t="s">
        <v>16</v>
      </c>
      <c r="E828" t="s">
        <v>52</v>
      </c>
      <c r="F828" s="6" t="str">
        <f t="shared" si="12"/>
        <v>6MC</v>
      </c>
      <c r="G828" s="11">
        <v>46158</v>
      </c>
      <c r="H828" s="12">
        <v>0.38750000000000001</v>
      </c>
      <c r="I828" s="11">
        <v>46156</v>
      </c>
      <c r="J828" s="1">
        <v>46156</v>
      </c>
      <c r="K828" s="1">
        <v>46156</v>
      </c>
      <c r="L828" t="s">
        <v>232</v>
      </c>
      <c r="M828" t="s">
        <v>155</v>
      </c>
      <c r="N828" t="s">
        <v>17</v>
      </c>
      <c r="O828" t="s">
        <v>24</v>
      </c>
      <c r="P828">
        <v>29006</v>
      </c>
      <c r="Q828" t="s">
        <v>19</v>
      </c>
      <c r="R828">
        <v>42084</v>
      </c>
      <c r="S828" t="str">
        <f>VLOOKUP(L828&amp;TEXT(I828,"mmmm")&amp;YEAR(I828),'[1]Detalle C-Fecha'!$D$2:$E$15921,2,FALSE)</f>
        <v>CCU_MZA - Comp. Cerv. Unidas - MZA</v>
      </c>
    </row>
    <row r="829" spans="1:19" x14ac:dyDescent="0.3">
      <c r="A829">
        <v>34197</v>
      </c>
      <c r="B829" t="s">
        <v>28</v>
      </c>
      <c r="C829" t="s">
        <v>15</v>
      </c>
      <c r="D829" t="s">
        <v>16</v>
      </c>
      <c r="E829" t="s">
        <v>35</v>
      </c>
      <c r="F829" s="6" t="str">
        <f t="shared" si="12"/>
        <v>2ML</v>
      </c>
      <c r="G829" s="11">
        <v>46158</v>
      </c>
      <c r="H829" s="12">
        <v>0.4201388888888889</v>
      </c>
      <c r="I829" s="11">
        <v>46157</v>
      </c>
      <c r="J829" s="1">
        <v>46169</v>
      </c>
      <c r="K829" s="1">
        <v>46169</v>
      </c>
      <c r="L829" t="s">
        <v>233</v>
      </c>
      <c r="M829" t="s">
        <v>163</v>
      </c>
      <c r="N829" t="s">
        <v>17</v>
      </c>
      <c r="O829" t="s">
        <v>24</v>
      </c>
      <c r="P829">
        <v>29010</v>
      </c>
      <c r="Q829" t="s">
        <v>19</v>
      </c>
      <c r="R829">
        <v>42172</v>
      </c>
      <c r="S829" t="str">
        <f>VLOOKUP(L829&amp;TEXT(I829,"mmmm")&amp;YEAR(I829),'[1]Detalle C-Fecha'!$D$2:$E$15921,2,FALSE)</f>
        <v>CENCOMLD - Cencosud SA - Mendoza</v>
      </c>
    </row>
    <row r="830" spans="1:19" x14ac:dyDescent="0.3">
      <c r="A830">
        <v>34197</v>
      </c>
      <c r="B830" t="s">
        <v>28</v>
      </c>
      <c r="C830" t="s">
        <v>15</v>
      </c>
      <c r="D830" t="s">
        <v>16</v>
      </c>
      <c r="E830" t="s">
        <v>35</v>
      </c>
      <c r="F830" s="6" t="str">
        <f t="shared" si="12"/>
        <v>2ML</v>
      </c>
      <c r="G830" s="11">
        <v>46158</v>
      </c>
      <c r="H830" s="12">
        <v>0.4201388888888889</v>
      </c>
      <c r="I830" s="11">
        <v>46157</v>
      </c>
      <c r="J830" s="1">
        <v>46169</v>
      </c>
      <c r="K830" s="1">
        <v>46169</v>
      </c>
      <c r="L830" t="s">
        <v>233</v>
      </c>
      <c r="M830" t="s">
        <v>163</v>
      </c>
      <c r="N830" t="s">
        <v>17</v>
      </c>
      <c r="O830" t="s">
        <v>24</v>
      </c>
      <c r="P830">
        <v>29010</v>
      </c>
      <c r="Q830" t="s">
        <v>19</v>
      </c>
      <c r="R830">
        <v>42173</v>
      </c>
      <c r="S830" t="str">
        <f>VLOOKUP(L830&amp;TEXT(I830,"mmmm")&amp;YEAR(I830),'[1]Detalle C-Fecha'!$D$2:$E$15921,2,FALSE)</f>
        <v>CENCOMLD - Cencosud SA - Mendoza</v>
      </c>
    </row>
    <row r="831" spans="1:19" x14ac:dyDescent="0.3">
      <c r="A831">
        <v>34198</v>
      </c>
      <c r="B831" t="s">
        <v>28</v>
      </c>
      <c r="C831" t="s">
        <v>124</v>
      </c>
      <c r="D831" t="s">
        <v>23</v>
      </c>
      <c r="E831" t="s">
        <v>47</v>
      </c>
      <c r="F831" s="6" t="str">
        <f t="shared" ref="F831:F894" si="13">MID(E831,1,3)</f>
        <v>3ML</v>
      </c>
      <c r="G831" s="11">
        <v>46158</v>
      </c>
      <c r="H831" s="12">
        <v>0.4201388888888889</v>
      </c>
      <c r="I831" s="11">
        <v>46157</v>
      </c>
      <c r="L831" t="s">
        <v>233</v>
      </c>
      <c r="M831" t="s">
        <v>163</v>
      </c>
      <c r="N831" t="s">
        <v>17</v>
      </c>
      <c r="O831" t="s">
        <v>24</v>
      </c>
      <c r="P831">
        <v>29011</v>
      </c>
      <c r="Q831" t="s">
        <v>123</v>
      </c>
      <c r="S831" t="str">
        <f>VLOOKUP(L831&amp;TEXT(I831,"mmmm")&amp;YEAR(I831),'[1]Detalle C-Fecha'!$D$2:$E$15921,2,FALSE)</f>
        <v>CENCOMLD - Cencosud SA - Mendoza</v>
      </c>
    </row>
    <row r="832" spans="1:19" x14ac:dyDescent="0.3">
      <c r="A832">
        <v>34199</v>
      </c>
      <c r="B832" t="s">
        <v>28</v>
      </c>
      <c r="C832" t="s">
        <v>15</v>
      </c>
      <c r="D832" t="s">
        <v>16</v>
      </c>
      <c r="E832" t="s">
        <v>46</v>
      </c>
      <c r="F832" s="6" t="str">
        <f t="shared" si="13"/>
        <v>6ML</v>
      </c>
      <c r="G832" s="11">
        <v>46158</v>
      </c>
      <c r="H832" s="12">
        <v>0.4201388888888889</v>
      </c>
      <c r="I832" s="11">
        <v>46157</v>
      </c>
      <c r="J832" s="1">
        <v>46169</v>
      </c>
      <c r="K832" s="1">
        <v>46169</v>
      </c>
      <c r="L832" t="s">
        <v>233</v>
      </c>
      <c r="M832" t="s">
        <v>163</v>
      </c>
      <c r="N832" t="s">
        <v>17</v>
      </c>
      <c r="O832" t="s">
        <v>24</v>
      </c>
      <c r="P832">
        <v>29012</v>
      </c>
      <c r="Q832" t="s">
        <v>19</v>
      </c>
      <c r="R832">
        <v>42178</v>
      </c>
      <c r="S832" t="str">
        <f>VLOOKUP(L832&amp;TEXT(I832,"mmmm")&amp;YEAR(I832),'[1]Detalle C-Fecha'!$D$2:$E$15921,2,FALSE)</f>
        <v>CENCOMLD - Cencosud SA - Mendoza</v>
      </c>
    </row>
    <row r="833" spans="1:19" x14ac:dyDescent="0.3">
      <c r="A833">
        <v>34199</v>
      </c>
      <c r="B833" t="s">
        <v>28</v>
      </c>
      <c r="C833" t="s">
        <v>15</v>
      </c>
      <c r="D833" t="s">
        <v>16</v>
      </c>
      <c r="E833" t="s">
        <v>46</v>
      </c>
      <c r="F833" s="6" t="str">
        <f t="shared" si="13"/>
        <v>6ML</v>
      </c>
      <c r="G833" s="11">
        <v>46158</v>
      </c>
      <c r="H833" s="12">
        <v>0.4201388888888889</v>
      </c>
      <c r="I833" s="11">
        <v>46157</v>
      </c>
      <c r="J833" s="1">
        <v>46169</v>
      </c>
      <c r="K833" s="1">
        <v>46169</v>
      </c>
      <c r="L833" t="s">
        <v>233</v>
      </c>
      <c r="M833" t="s">
        <v>163</v>
      </c>
      <c r="N833" t="s">
        <v>17</v>
      </c>
      <c r="O833" t="s">
        <v>24</v>
      </c>
      <c r="P833">
        <v>29012</v>
      </c>
      <c r="Q833" t="s">
        <v>19</v>
      </c>
      <c r="R833">
        <v>42179</v>
      </c>
      <c r="S833" t="str">
        <f>VLOOKUP(L833&amp;TEXT(I833,"mmmm")&amp;YEAR(I833),'[1]Detalle C-Fecha'!$D$2:$E$15921,2,FALSE)</f>
        <v>CENCOMLD - Cencosud SA - Mendoza</v>
      </c>
    </row>
    <row r="834" spans="1:19" x14ac:dyDescent="0.3">
      <c r="A834">
        <v>34209</v>
      </c>
      <c r="B834" t="s">
        <v>28</v>
      </c>
      <c r="C834" t="s">
        <v>15</v>
      </c>
      <c r="D834" t="s">
        <v>16</v>
      </c>
      <c r="E834" t="s">
        <v>115</v>
      </c>
      <c r="F834" s="6" t="str">
        <f t="shared" si="13"/>
        <v>2ML</v>
      </c>
      <c r="G834" s="11">
        <v>46158</v>
      </c>
      <c r="H834" s="12">
        <v>0.45069444444444445</v>
      </c>
      <c r="I834" s="11">
        <v>46158</v>
      </c>
      <c r="J834" s="1">
        <v>46169</v>
      </c>
      <c r="K834" s="1">
        <v>46169</v>
      </c>
      <c r="L834" t="s">
        <v>43</v>
      </c>
      <c r="M834" t="s">
        <v>149</v>
      </c>
      <c r="N834" t="s">
        <v>17</v>
      </c>
      <c r="O834" t="s">
        <v>25</v>
      </c>
      <c r="P834">
        <v>29014</v>
      </c>
      <c r="Q834" t="s">
        <v>19</v>
      </c>
      <c r="R834">
        <v>42184</v>
      </c>
      <c r="S834" t="str">
        <f>VLOOKUP(L834&amp;TEXT(I834,"mmmm")&amp;YEAR(I834),'[1]Detalle C-Fecha'!$D$2:$E$15921,2,FALSE)</f>
        <v>Expreso - Servicios Troncales</v>
      </c>
    </row>
    <row r="835" spans="1:19" x14ac:dyDescent="0.3">
      <c r="A835">
        <v>34209</v>
      </c>
      <c r="B835" t="s">
        <v>28</v>
      </c>
      <c r="C835" t="s">
        <v>15</v>
      </c>
      <c r="D835" t="s">
        <v>16</v>
      </c>
      <c r="E835" t="s">
        <v>115</v>
      </c>
      <c r="F835" s="6" t="str">
        <f t="shared" si="13"/>
        <v>2ML</v>
      </c>
      <c r="G835" s="11">
        <v>46158</v>
      </c>
      <c r="H835" s="12">
        <v>0.45069444444444445</v>
      </c>
      <c r="I835" s="11">
        <v>46158</v>
      </c>
      <c r="J835" s="1">
        <v>46169</v>
      </c>
      <c r="K835" s="1">
        <v>46169</v>
      </c>
      <c r="L835" t="s">
        <v>43</v>
      </c>
      <c r="M835" t="s">
        <v>149</v>
      </c>
      <c r="N835" t="s">
        <v>17</v>
      </c>
      <c r="O835" t="s">
        <v>25</v>
      </c>
      <c r="P835">
        <v>29014</v>
      </c>
      <c r="Q835" t="s">
        <v>19</v>
      </c>
      <c r="R835">
        <v>42185</v>
      </c>
      <c r="S835" t="str">
        <f>VLOOKUP(L835&amp;TEXT(I835,"mmmm")&amp;YEAR(I835),'[1]Detalle C-Fecha'!$D$2:$E$15921,2,FALSE)</f>
        <v>Expreso - Servicios Troncales</v>
      </c>
    </row>
    <row r="836" spans="1:19" x14ac:dyDescent="0.3">
      <c r="A836">
        <v>34210</v>
      </c>
      <c r="B836" t="s">
        <v>28</v>
      </c>
      <c r="C836" t="s">
        <v>15</v>
      </c>
      <c r="D836" t="s">
        <v>16</v>
      </c>
      <c r="E836" t="s">
        <v>116</v>
      </c>
      <c r="F836" s="6" t="str">
        <f t="shared" si="13"/>
        <v>3ML</v>
      </c>
      <c r="G836" s="11">
        <v>46158</v>
      </c>
      <c r="H836" s="12">
        <v>0.45069444444444445</v>
      </c>
      <c r="I836" s="11">
        <v>46158</v>
      </c>
      <c r="J836" s="1">
        <v>46169</v>
      </c>
      <c r="K836" s="1">
        <v>46169</v>
      </c>
      <c r="L836" t="s">
        <v>43</v>
      </c>
      <c r="M836" t="s">
        <v>149</v>
      </c>
      <c r="N836" t="s">
        <v>17</v>
      </c>
      <c r="O836" t="s">
        <v>25</v>
      </c>
      <c r="P836">
        <v>29015</v>
      </c>
      <c r="Q836" t="s">
        <v>19</v>
      </c>
      <c r="R836">
        <v>42186</v>
      </c>
      <c r="S836" t="str">
        <f>VLOOKUP(L836&amp;TEXT(I836,"mmmm")&amp;YEAR(I836),'[1]Detalle C-Fecha'!$D$2:$E$15921,2,FALSE)</f>
        <v>Expreso - Servicios Troncales</v>
      </c>
    </row>
    <row r="837" spans="1:19" x14ac:dyDescent="0.3">
      <c r="A837">
        <v>34210</v>
      </c>
      <c r="B837" t="s">
        <v>28</v>
      </c>
      <c r="C837" t="s">
        <v>15</v>
      </c>
      <c r="D837" t="s">
        <v>16</v>
      </c>
      <c r="E837" t="s">
        <v>116</v>
      </c>
      <c r="F837" s="6" t="str">
        <f t="shared" si="13"/>
        <v>3ML</v>
      </c>
      <c r="G837" s="11">
        <v>46158</v>
      </c>
      <c r="H837" s="12">
        <v>0.45069444444444445</v>
      </c>
      <c r="I837" s="11">
        <v>46158</v>
      </c>
      <c r="J837" s="1">
        <v>46169</v>
      </c>
      <c r="K837" s="1">
        <v>46169</v>
      </c>
      <c r="L837" t="s">
        <v>43</v>
      </c>
      <c r="M837" t="s">
        <v>149</v>
      </c>
      <c r="N837" t="s">
        <v>17</v>
      </c>
      <c r="O837" t="s">
        <v>25</v>
      </c>
      <c r="P837">
        <v>29015</v>
      </c>
      <c r="Q837" t="s">
        <v>19</v>
      </c>
      <c r="R837">
        <v>42187</v>
      </c>
      <c r="S837" t="str">
        <f>VLOOKUP(L837&amp;TEXT(I837,"mmmm")&amp;YEAR(I837),'[1]Detalle C-Fecha'!$D$2:$E$15921,2,FALSE)</f>
        <v>Expreso - Servicios Troncales</v>
      </c>
    </row>
    <row r="838" spans="1:19" x14ac:dyDescent="0.3">
      <c r="A838">
        <v>34211</v>
      </c>
      <c r="B838" t="s">
        <v>28</v>
      </c>
      <c r="C838" t="s">
        <v>15</v>
      </c>
      <c r="D838" t="s">
        <v>16</v>
      </c>
      <c r="E838" t="s">
        <v>117</v>
      </c>
      <c r="F838" s="6" t="str">
        <f t="shared" si="13"/>
        <v>6ML</v>
      </c>
      <c r="G838" s="11">
        <v>46158</v>
      </c>
      <c r="H838" s="12">
        <v>0.45069444444444445</v>
      </c>
      <c r="I838" s="11">
        <v>46158</v>
      </c>
      <c r="J838" s="1">
        <v>46169</v>
      </c>
      <c r="K838" s="1">
        <v>46169</v>
      </c>
      <c r="L838" t="s">
        <v>43</v>
      </c>
      <c r="M838" t="s">
        <v>149</v>
      </c>
      <c r="N838" t="s">
        <v>17</v>
      </c>
      <c r="O838" t="s">
        <v>25</v>
      </c>
      <c r="P838">
        <v>29016</v>
      </c>
      <c r="Q838" t="s">
        <v>19</v>
      </c>
      <c r="R838">
        <v>42188</v>
      </c>
      <c r="S838" t="str">
        <f>VLOOKUP(L838&amp;TEXT(I838,"mmmm")&amp;YEAR(I838),'[1]Detalle C-Fecha'!$D$2:$E$15921,2,FALSE)</f>
        <v>Expreso - Servicios Troncales</v>
      </c>
    </row>
    <row r="839" spans="1:19" x14ac:dyDescent="0.3">
      <c r="A839">
        <v>34211</v>
      </c>
      <c r="B839" t="s">
        <v>28</v>
      </c>
      <c r="C839" t="s">
        <v>15</v>
      </c>
      <c r="D839" t="s">
        <v>16</v>
      </c>
      <c r="E839" t="s">
        <v>117</v>
      </c>
      <c r="F839" s="6" t="str">
        <f t="shared" si="13"/>
        <v>6ML</v>
      </c>
      <c r="G839" s="11">
        <v>46158</v>
      </c>
      <c r="H839" s="12">
        <v>0.45069444444444445</v>
      </c>
      <c r="I839" s="11">
        <v>46158</v>
      </c>
      <c r="J839" s="1">
        <v>46169</v>
      </c>
      <c r="K839" s="1">
        <v>46169</v>
      </c>
      <c r="L839" t="s">
        <v>43</v>
      </c>
      <c r="M839" t="s">
        <v>149</v>
      </c>
      <c r="N839" t="s">
        <v>17</v>
      </c>
      <c r="O839" t="s">
        <v>25</v>
      </c>
      <c r="P839">
        <v>29016</v>
      </c>
      <c r="Q839" t="s">
        <v>19</v>
      </c>
      <c r="R839">
        <v>42189</v>
      </c>
      <c r="S839" t="str">
        <f>VLOOKUP(L839&amp;TEXT(I839,"mmmm")&amp;YEAR(I839),'[1]Detalle C-Fecha'!$D$2:$E$15921,2,FALSE)</f>
        <v>Expreso - Servicios Troncales</v>
      </c>
    </row>
    <row r="840" spans="1:19" x14ac:dyDescent="0.3">
      <c r="A840">
        <v>34232</v>
      </c>
      <c r="B840" t="s">
        <v>28</v>
      </c>
      <c r="C840" t="s">
        <v>15</v>
      </c>
      <c r="D840" t="s">
        <v>16</v>
      </c>
      <c r="E840" t="s">
        <v>115</v>
      </c>
      <c r="F840" s="6" t="str">
        <f t="shared" si="13"/>
        <v>2ML</v>
      </c>
      <c r="G840" s="11">
        <v>46160</v>
      </c>
      <c r="H840" s="12">
        <v>0.46736111111111112</v>
      </c>
      <c r="I840" s="11">
        <v>46160</v>
      </c>
      <c r="J840" s="1">
        <v>46169</v>
      </c>
      <c r="K840" s="1">
        <v>46169</v>
      </c>
      <c r="L840" t="s">
        <v>148</v>
      </c>
      <c r="M840" t="s">
        <v>149</v>
      </c>
      <c r="N840" t="s">
        <v>17</v>
      </c>
      <c r="O840" t="s">
        <v>25</v>
      </c>
      <c r="P840">
        <v>29061</v>
      </c>
      <c r="Q840" t="s">
        <v>19</v>
      </c>
      <c r="R840">
        <v>42207</v>
      </c>
      <c r="S840" t="str">
        <f>VLOOKUP(L840&amp;TEXT(I840,"mmmm")&amp;YEAR(I840),'[1]Detalle C-Fecha'!$D$2:$E$15921,2,FALSE)</f>
        <v>Expreso - Servicios Troncales</v>
      </c>
    </row>
    <row r="841" spans="1:19" x14ac:dyDescent="0.3">
      <c r="A841">
        <v>34232</v>
      </c>
      <c r="B841" t="s">
        <v>28</v>
      </c>
      <c r="C841" t="s">
        <v>15</v>
      </c>
      <c r="D841" t="s">
        <v>16</v>
      </c>
      <c r="E841" t="s">
        <v>115</v>
      </c>
      <c r="F841" s="6" t="str">
        <f t="shared" si="13"/>
        <v>2ML</v>
      </c>
      <c r="G841" s="11">
        <v>46160</v>
      </c>
      <c r="H841" s="12">
        <v>0.46736111111111112</v>
      </c>
      <c r="I841" s="11">
        <v>46160</v>
      </c>
      <c r="J841" s="1">
        <v>46169</v>
      </c>
      <c r="K841" s="1">
        <v>46169</v>
      </c>
      <c r="L841" t="s">
        <v>148</v>
      </c>
      <c r="M841" t="s">
        <v>149</v>
      </c>
      <c r="N841" t="s">
        <v>17</v>
      </c>
      <c r="O841" t="s">
        <v>25</v>
      </c>
      <c r="P841">
        <v>29061</v>
      </c>
      <c r="Q841" t="s">
        <v>19</v>
      </c>
      <c r="R841">
        <v>42208</v>
      </c>
      <c r="S841" t="str">
        <f>VLOOKUP(L841&amp;TEXT(I841,"mmmm")&amp;YEAR(I841),'[1]Detalle C-Fecha'!$D$2:$E$15921,2,FALSE)</f>
        <v>Expreso - Servicios Troncales</v>
      </c>
    </row>
    <row r="842" spans="1:19" x14ac:dyDescent="0.3">
      <c r="A842">
        <v>34233</v>
      </c>
      <c r="B842" t="s">
        <v>28</v>
      </c>
      <c r="C842" t="s">
        <v>15</v>
      </c>
      <c r="D842" t="s">
        <v>16</v>
      </c>
      <c r="E842" t="s">
        <v>116</v>
      </c>
      <c r="F842" s="6" t="str">
        <f t="shared" si="13"/>
        <v>3ML</v>
      </c>
      <c r="G842" s="11">
        <v>46160</v>
      </c>
      <c r="H842" s="12">
        <v>0.46736111111111112</v>
      </c>
      <c r="I842" s="11">
        <v>46160</v>
      </c>
      <c r="J842" s="1">
        <v>46169</v>
      </c>
      <c r="K842" s="1">
        <v>46169</v>
      </c>
      <c r="L842" t="s">
        <v>148</v>
      </c>
      <c r="M842" t="s">
        <v>149</v>
      </c>
      <c r="N842" t="s">
        <v>17</v>
      </c>
      <c r="O842" t="s">
        <v>25</v>
      </c>
      <c r="P842">
        <v>29062</v>
      </c>
      <c r="Q842" t="s">
        <v>19</v>
      </c>
      <c r="R842">
        <v>42210</v>
      </c>
      <c r="S842" t="str">
        <f>VLOOKUP(L842&amp;TEXT(I842,"mmmm")&amp;YEAR(I842),'[1]Detalle C-Fecha'!$D$2:$E$15921,2,FALSE)</f>
        <v>Expreso - Servicios Troncales</v>
      </c>
    </row>
    <row r="843" spans="1:19" x14ac:dyDescent="0.3">
      <c r="A843">
        <v>34233</v>
      </c>
      <c r="B843" t="s">
        <v>28</v>
      </c>
      <c r="C843" t="s">
        <v>15</v>
      </c>
      <c r="D843" t="s">
        <v>16</v>
      </c>
      <c r="E843" t="s">
        <v>116</v>
      </c>
      <c r="F843" s="6" t="str">
        <f t="shared" si="13"/>
        <v>3ML</v>
      </c>
      <c r="G843" s="11">
        <v>46160</v>
      </c>
      <c r="H843" s="12">
        <v>0.46736111111111112</v>
      </c>
      <c r="I843" s="11">
        <v>46160</v>
      </c>
      <c r="J843" s="1">
        <v>46169</v>
      </c>
      <c r="K843" s="1">
        <v>46169</v>
      </c>
      <c r="L843" t="s">
        <v>148</v>
      </c>
      <c r="M843" t="s">
        <v>149</v>
      </c>
      <c r="N843" t="s">
        <v>17</v>
      </c>
      <c r="O843" t="s">
        <v>25</v>
      </c>
      <c r="P843">
        <v>29062</v>
      </c>
      <c r="Q843" t="s">
        <v>19</v>
      </c>
      <c r="R843">
        <v>42211</v>
      </c>
      <c r="S843" t="str">
        <f>VLOOKUP(L843&amp;TEXT(I843,"mmmm")&amp;YEAR(I843),'[1]Detalle C-Fecha'!$D$2:$E$15921,2,FALSE)</f>
        <v>Expreso - Servicios Troncales</v>
      </c>
    </row>
    <row r="844" spans="1:19" x14ac:dyDescent="0.3">
      <c r="A844">
        <v>34234</v>
      </c>
      <c r="B844" t="s">
        <v>28</v>
      </c>
      <c r="C844" t="s">
        <v>15</v>
      </c>
      <c r="D844" t="s">
        <v>16</v>
      </c>
      <c r="E844" t="s">
        <v>117</v>
      </c>
      <c r="F844" s="6" t="str">
        <f t="shared" si="13"/>
        <v>6ML</v>
      </c>
      <c r="G844" s="11">
        <v>46160</v>
      </c>
      <c r="H844" s="12">
        <v>0.46736111111111112</v>
      </c>
      <c r="I844" s="11">
        <v>46160</v>
      </c>
      <c r="J844" s="1">
        <v>46169</v>
      </c>
      <c r="K844" s="1">
        <v>46169</v>
      </c>
      <c r="L844" t="s">
        <v>148</v>
      </c>
      <c r="M844" t="s">
        <v>149</v>
      </c>
      <c r="N844" t="s">
        <v>17</v>
      </c>
      <c r="O844" t="s">
        <v>25</v>
      </c>
      <c r="P844">
        <v>29063</v>
      </c>
      <c r="Q844" t="s">
        <v>19</v>
      </c>
      <c r="R844">
        <v>42212</v>
      </c>
      <c r="S844" t="str">
        <f>VLOOKUP(L844&amp;TEXT(I844,"mmmm")&amp;YEAR(I844),'[1]Detalle C-Fecha'!$D$2:$E$15921,2,FALSE)</f>
        <v>Expreso - Servicios Troncales</v>
      </c>
    </row>
    <row r="845" spans="1:19" x14ac:dyDescent="0.3">
      <c r="A845">
        <v>34234</v>
      </c>
      <c r="B845" t="s">
        <v>28</v>
      </c>
      <c r="C845" t="s">
        <v>15</v>
      </c>
      <c r="D845" t="s">
        <v>16</v>
      </c>
      <c r="E845" t="s">
        <v>117</v>
      </c>
      <c r="F845" s="6" t="str">
        <f t="shared" si="13"/>
        <v>6ML</v>
      </c>
      <c r="G845" s="11">
        <v>46160</v>
      </c>
      <c r="H845" s="12">
        <v>0.46736111111111112</v>
      </c>
      <c r="I845" s="11">
        <v>46160</v>
      </c>
      <c r="J845" s="1">
        <v>46169</v>
      </c>
      <c r="K845" s="1">
        <v>46169</v>
      </c>
      <c r="L845" t="s">
        <v>148</v>
      </c>
      <c r="M845" t="s">
        <v>149</v>
      </c>
      <c r="N845" t="s">
        <v>17</v>
      </c>
      <c r="O845" t="s">
        <v>25</v>
      </c>
      <c r="P845">
        <v>29063</v>
      </c>
      <c r="Q845" t="s">
        <v>19</v>
      </c>
      <c r="R845">
        <v>42213</v>
      </c>
      <c r="S845" t="str">
        <f>VLOOKUP(L845&amp;TEXT(I845,"mmmm")&amp;YEAR(I845),'[1]Detalle C-Fecha'!$D$2:$E$15921,2,FALSE)</f>
        <v>Expreso - Servicios Troncales</v>
      </c>
    </row>
    <row r="846" spans="1:19" x14ac:dyDescent="0.3">
      <c r="A846">
        <v>34324</v>
      </c>
      <c r="B846" t="s">
        <v>28</v>
      </c>
      <c r="C846" t="s">
        <v>15</v>
      </c>
      <c r="D846" t="s">
        <v>16</v>
      </c>
      <c r="E846" t="s">
        <v>115</v>
      </c>
      <c r="F846" s="6" t="str">
        <f t="shared" si="13"/>
        <v>2ML</v>
      </c>
      <c r="G846" s="11">
        <v>46161</v>
      </c>
      <c r="H846" s="12">
        <v>0.3972222222222222</v>
      </c>
      <c r="I846" s="11">
        <v>46161</v>
      </c>
      <c r="J846" s="1">
        <v>46161</v>
      </c>
      <c r="K846" s="1">
        <v>46163</v>
      </c>
      <c r="L846" t="s">
        <v>48</v>
      </c>
      <c r="M846" t="s">
        <v>129</v>
      </c>
      <c r="N846" t="s">
        <v>208</v>
      </c>
      <c r="O846" t="s">
        <v>24</v>
      </c>
      <c r="P846">
        <v>29114</v>
      </c>
      <c r="Q846" t="s">
        <v>19</v>
      </c>
      <c r="R846">
        <v>42164</v>
      </c>
      <c r="S846" t="str">
        <f>VLOOKUP(L846&amp;TEXT(I846,"mmmm")&amp;YEAR(I846),'[1]Detalle C-Fecha'!$D$2:$E$15921,2,FALSE)</f>
        <v>ADA_CH - Danone Arg. S.A. - Chascomus</v>
      </c>
    </row>
    <row r="847" spans="1:19" x14ac:dyDescent="0.3">
      <c r="A847">
        <v>34324</v>
      </c>
      <c r="B847" t="s">
        <v>28</v>
      </c>
      <c r="C847" t="s">
        <v>15</v>
      </c>
      <c r="D847" t="s">
        <v>16</v>
      </c>
      <c r="E847" t="s">
        <v>115</v>
      </c>
      <c r="F847" s="6" t="str">
        <f t="shared" si="13"/>
        <v>2ML</v>
      </c>
      <c r="G847" s="11">
        <v>46161</v>
      </c>
      <c r="H847" s="12">
        <v>0.3972222222222222</v>
      </c>
      <c r="I847" s="11">
        <v>46161</v>
      </c>
      <c r="J847" s="1">
        <v>46161</v>
      </c>
      <c r="K847" s="1">
        <v>46163</v>
      </c>
      <c r="L847" t="s">
        <v>48</v>
      </c>
      <c r="M847" t="s">
        <v>129</v>
      </c>
      <c r="N847" t="s">
        <v>208</v>
      </c>
      <c r="O847" t="s">
        <v>24</v>
      </c>
      <c r="P847">
        <v>29114</v>
      </c>
      <c r="Q847" t="s">
        <v>19</v>
      </c>
      <c r="R847">
        <v>41975</v>
      </c>
      <c r="S847" t="str">
        <f>VLOOKUP(L847&amp;TEXT(I847,"mmmm")&amp;YEAR(I847),'[1]Detalle C-Fecha'!$D$2:$E$15921,2,FALSE)</f>
        <v>ADA_CH - Danone Arg. S.A. - Chascomus</v>
      </c>
    </row>
    <row r="848" spans="1:19" x14ac:dyDescent="0.3">
      <c r="A848">
        <v>34325</v>
      </c>
      <c r="B848" t="s">
        <v>28</v>
      </c>
      <c r="C848" t="s">
        <v>15</v>
      </c>
      <c r="D848" t="s">
        <v>16</v>
      </c>
      <c r="E848" t="s">
        <v>116</v>
      </c>
      <c r="F848" s="6" t="str">
        <f t="shared" si="13"/>
        <v>3ML</v>
      </c>
      <c r="G848" s="11">
        <v>46161</v>
      </c>
      <c r="H848" s="12">
        <v>0.3972222222222222</v>
      </c>
      <c r="I848" s="11">
        <v>46161</v>
      </c>
      <c r="J848" s="1">
        <v>46161</v>
      </c>
      <c r="K848" s="1">
        <v>46163</v>
      </c>
      <c r="L848" t="s">
        <v>48</v>
      </c>
      <c r="M848" t="s">
        <v>129</v>
      </c>
      <c r="N848" t="s">
        <v>208</v>
      </c>
      <c r="O848" t="s">
        <v>24</v>
      </c>
      <c r="P848">
        <v>29115</v>
      </c>
      <c r="Q848" t="s">
        <v>19</v>
      </c>
      <c r="R848">
        <v>42164</v>
      </c>
      <c r="S848" t="str">
        <f>VLOOKUP(L848&amp;TEXT(I848,"mmmm")&amp;YEAR(I848),'[1]Detalle C-Fecha'!$D$2:$E$15921,2,FALSE)</f>
        <v>ADA_CH - Danone Arg. S.A. - Chascomus</v>
      </c>
    </row>
    <row r="849" spans="1:19" x14ac:dyDescent="0.3">
      <c r="A849">
        <v>34325</v>
      </c>
      <c r="B849" t="s">
        <v>28</v>
      </c>
      <c r="C849" t="s">
        <v>15</v>
      </c>
      <c r="D849" t="s">
        <v>16</v>
      </c>
      <c r="E849" t="s">
        <v>116</v>
      </c>
      <c r="F849" s="6" t="str">
        <f t="shared" si="13"/>
        <v>3ML</v>
      </c>
      <c r="G849" s="11">
        <v>46161</v>
      </c>
      <c r="H849" s="12">
        <v>0.3972222222222222</v>
      </c>
      <c r="I849" s="11">
        <v>46161</v>
      </c>
      <c r="J849" s="1">
        <v>46161</v>
      </c>
      <c r="K849" s="1">
        <v>46163</v>
      </c>
      <c r="L849" t="s">
        <v>48</v>
      </c>
      <c r="M849" t="s">
        <v>129</v>
      </c>
      <c r="N849" t="s">
        <v>208</v>
      </c>
      <c r="O849" t="s">
        <v>24</v>
      </c>
      <c r="P849">
        <v>29115</v>
      </c>
      <c r="Q849" t="s">
        <v>19</v>
      </c>
      <c r="R849">
        <v>41976</v>
      </c>
      <c r="S849" t="str">
        <f>VLOOKUP(L849&amp;TEXT(I849,"mmmm")&amp;YEAR(I849),'[1]Detalle C-Fecha'!$D$2:$E$15921,2,FALSE)</f>
        <v>ADA_CH - Danone Arg. S.A. - Chascomus</v>
      </c>
    </row>
    <row r="850" spans="1:19" x14ac:dyDescent="0.3">
      <c r="A850">
        <v>34326</v>
      </c>
      <c r="B850" t="s">
        <v>28</v>
      </c>
      <c r="C850" t="s">
        <v>15</v>
      </c>
      <c r="D850" t="s">
        <v>16</v>
      </c>
      <c r="E850" t="s">
        <v>117</v>
      </c>
      <c r="F850" s="6" t="str">
        <f t="shared" si="13"/>
        <v>6ML</v>
      </c>
      <c r="G850" s="11">
        <v>46161</v>
      </c>
      <c r="H850" s="12">
        <v>0.3972222222222222</v>
      </c>
      <c r="I850" s="11">
        <v>46161</v>
      </c>
      <c r="J850" s="1">
        <v>46161</v>
      </c>
      <c r="K850" s="1">
        <v>46163</v>
      </c>
      <c r="L850" t="s">
        <v>48</v>
      </c>
      <c r="M850" t="s">
        <v>129</v>
      </c>
      <c r="N850" t="s">
        <v>208</v>
      </c>
      <c r="O850" t="s">
        <v>24</v>
      </c>
      <c r="P850">
        <v>29116</v>
      </c>
      <c r="Q850" t="s">
        <v>19</v>
      </c>
      <c r="R850">
        <v>42164</v>
      </c>
      <c r="S850" t="str">
        <f>VLOOKUP(L850&amp;TEXT(I850,"mmmm")&amp;YEAR(I850),'[1]Detalle C-Fecha'!$D$2:$E$15921,2,FALSE)</f>
        <v>ADA_CH - Danone Arg. S.A. - Chascomus</v>
      </c>
    </row>
    <row r="851" spans="1:19" x14ac:dyDescent="0.3">
      <c r="A851">
        <v>34326</v>
      </c>
      <c r="B851" t="s">
        <v>28</v>
      </c>
      <c r="C851" t="s">
        <v>15</v>
      </c>
      <c r="D851" t="s">
        <v>16</v>
      </c>
      <c r="E851" t="s">
        <v>117</v>
      </c>
      <c r="F851" s="6" t="str">
        <f t="shared" si="13"/>
        <v>6ML</v>
      </c>
      <c r="G851" s="11">
        <v>46161</v>
      </c>
      <c r="H851" s="12">
        <v>0.3972222222222222</v>
      </c>
      <c r="I851" s="11">
        <v>46161</v>
      </c>
      <c r="J851" s="1">
        <v>46161</v>
      </c>
      <c r="K851" s="1">
        <v>46163</v>
      </c>
      <c r="L851" t="s">
        <v>48</v>
      </c>
      <c r="M851" t="s">
        <v>129</v>
      </c>
      <c r="N851" t="s">
        <v>208</v>
      </c>
      <c r="O851" t="s">
        <v>24</v>
      </c>
      <c r="P851">
        <v>29116</v>
      </c>
      <c r="Q851" t="s">
        <v>19</v>
      </c>
      <c r="R851">
        <v>41977</v>
      </c>
      <c r="S851" t="str">
        <f>VLOOKUP(L851&amp;TEXT(I851,"mmmm")&amp;YEAR(I851),'[1]Detalle C-Fecha'!$D$2:$E$15921,2,FALSE)</f>
        <v>ADA_CH - Danone Arg. S.A. - Chascomus</v>
      </c>
    </row>
    <row r="852" spans="1:19" x14ac:dyDescent="0.3">
      <c r="A852">
        <v>34337</v>
      </c>
      <c r="B852" t="s">
        <v>28</v>
      </c>
      <c r="C852" t="s">
        <v>15</v>
      </c>
      <c r="D852" t="s">
        <v>16</v>
      </c>
      <c r="E852" t="s">
        <v>35</v>
      </c>
      <c r="F852" s="6" t="str">
        <f t="shared" si="13"/>
        <v>2ML</v>
      </c>
      <c r="G852" s="11">
        <v>46161</v>
      </c>
      <c r="H852" s="12">
        <v>0.51874999999999993</v>
      </c>
      <c r="I852" s="11">
        <v>46161</v>
      </c>
      <c r="J852" s="1">
        <v>46161</v>
      </c>
      <c r="K852" s="1">
        <v>46168</v>
      </c>
      <c r="L852" t="s">
        <v>67</v>
      </c>
      <c r="M852" t="s">
        <v>146</v>
      </c>
      <c r="N852" t="s">
        <v>208</v>
      </c>
      <c r="O852" t="s">
        <v>24</v>
      </c>
      <c r="P852">
        <v>29127</v>
      </c>
      <c r="Q852" t="s">
        <v>123</v>
      </c>
      <c r="S852" t="str">
        <f>VLOOKUP(L852&amp;TEXT(I852,"mmmm")&amp;YEAR(I852),'[1]Detalle C-Fecha'!$D$2:$E$15921,2,FALSE)</f>
        <v>ADA_CH - Danone Arg. S.A. - Chascomus</v>
      </c>
    </row>
    <row r="853" spans="1:19" x14ac:dyDescent="0.3">
      <c r="A853">
        <v>34337</v>
      </c>
      <c r="B853" t="s">
        <v>28</v>
      </c>
      <c r="C853" t="s">
        <v>15</v>
      </c>
      <c r="D853" t="s">
        <v>16</v>
      </c>
      <c r="E853" t="s">
        <v>35</v>
      </c>
      <c r="F853" s="6" t="str">
        <f t="shared" si="13"/>
        <v>2ML</v>
      </c>
      <c r="G853" s="11">
        <v>46161</v>
      </c>
      <c r="H853" s="12">
        <v>0.51874999999999993</v>
      </c>
      <c r="I853" s="11">
        <v>46161</v>
      </c>
      <c r="J853" s="1">
        <v>46161</v>
      </c>
      <c r="K853" s="1">
        <v>46168</v>
      </c>
      <c r="L853" t="s">
        <v>67</v>
      </c>
      <c r="M853" t="s">
        <v>146</v>
      </c>
      <c r="N853" t="s">
        <v>208</v>
      </c>
      <c r="O853" t="s">
        <v>24</v>
      </c>
      <c r="P853">
        <v>29127</v>
      </c>
      <c r="Q853" t="s">
        <v>123</v>
      </c>
      <c r="R853">
        <v>42537</v>
      </c>
      <c r="S853" t="str">
        <f>VLOOKUP(L853&amp;TEXT(I853,"mmmm")&amp;YEAR(I853),'[1]Detalle C-Fecha'!$D$2:$E$15921,2,FALSE)</f>
        <v>ADA_CH - Danone Arg. S.A. - Chascomus</v>
      </c>
    </row>
    <row r="854" spans="1:19" x14ac:dyDescent="0.3">
      <c r="A854">
        <v>34338</v>
      </c>
      <c r="B854" t="s">
        <v>28</v>
      </c>
      <c r="C854" t="s">
        <v>15</v>
      </c>
      <c r="D854" t="s">
        <v>16</v>
      </c>
      <c r="E854" t="s">
        <v>47</v>
      </c>
      <c r="F854" s="6" t="str">
        <f t="shared" si="13"/>
        <v>3ML</v>
      </c>
      <c r="G854" s="11">
        <v>46161</v>
      </c>
      <c r="H854" s="12">
        <v>0.51874999999999993</v>
      </c>
      <c r="I854" s="11">
        <v>46161</v>
      </c>
      <c r="J854" s="1">
        <v>46161</v>
      </c>
      <c r="K854" s="1">
        <v>46168</v>
      </c>
      <c r="L854" t="s">
        <v>67</v>
      </c>
      <c r="M854" t="s">
        <v>146</v>
      </c>
      <c r="N854" t="s">
        <v>208</v>
      </c>
      <c r="O854" t="s">
        <v>24</v>
      </c>
      <c r="P854">
        <v>29128</v>
      </c>
      <c r="Q854" t="s">
        <v>123</v>
      </c>
      <c r="S854" t="str">
        <f>VLOOKUP(L854&amp;TEXT(I854,"mmmm")&amp;YEAR(I854),'[1]Detalle C-Fecha'!$D$2:$E$15921,2,FALSE)</f>
        <v>ADA_CH - Danone Arg. S.A. - Chascomus</v>
      </c>
    </row>
    <row r="855" spans="1:19" x14ac:dyDescent="0.3">
      <c r="A855">
        <v>34338</v>
      </c>
      <c r="B855" t="s">
        <v>28</v>
      </c>
      <c r="C855" t="s">
        <v>15</v>
      </c>
      <c r="D855" t="s">
        <v>16</v>
      </c>
      <c r="E855" t="s">
        <v>47</v>
      </c>
      <c r="F855" s="6" t="str">
        <f t="shared" si="13"/>
        <v>3ML</v>
      </c>
      <c r="G855" s="11">
        <v>46161</v>
      </c>
      <c r="H855" s="12">
        <v>0.51874999999999993</v>
      </c>
      <c r="I855" s="11">
        <v>46161</v>
      </c>
      <c r="J855" s="1">
        <v>46161</v>
      </c>
      <c r="K855" s="1">
        <v>46168</v>
      </c>
      <c r="L855" t="s">
        <v>67</v>
      </c>
      <c r="M855" t="s">
        <v>146</v>
      </c>
      <c r="N855" t="s">
        <v>208</v>
      </c>
      <c r="O855" t="s">
        <v>24</v>
      </c>
      <c r="P855">
        <v>29128</v>
      </c>
      <c r="Q855" t="s">
        <v>123</v>
      </c>
      <c r="R855">
        <v>42538</v>
      </c>
      <c r="S855" t="str">
        <f>VLOOKUP(L855&amp;TEXT(I855,"mmmm")&amp;YEAR(I855),'[1]Detalle C-Fecha'!$D$2:$E$15921,2,FALSE)</f>
        <v>ADA_CH - Danone Arg. S.A. - Chascomus</v>
      </c>
    </row>
    <row r="856" spans="1:19" x14ac:dyDescent="0.3">
      <c r="A856">
        <v>34339</v>
      </c>
      <c r="B856" t="s">
        <v>28</v>
      </c>
      <c r="C856" t="s">
        <v>15</v>
      </c>
      <c r="D856" t="s">
        <v>16</v>
      </c>
      <c r="E856" t="s">
        <v>46</v>
      </c>
      <c r="F856" s="6" t="str">
        <f t="shared" si="13"/>
        <v>6ML</v>
      </c>
      <c r="G856" s="11">
        <v>46161</v>
      </c>
      <c r="H856" s="12">
        <v>0.51874999999999993</v>
      </c>
      <c r="I856" s="11">
        <v>46161</v>
      </c>
      <c r="J856" s="1">
        <v>46161</v>
      </c>
      <c r="K856" s="1">
        <v>46163</v>
      </c>
      <c r="L856" t="s">
        <v>67</v>
      </c>
      <c r="M856" t="s">
        <v>146</v>
      </c>
      <c r="N856" t="s">
        <v>208</v>
      </c>
      <c r="O856" t="s">
        <v>24</v>
      </c>
      <c r="P856">
        <v>29129</v>
      </c>
      <c r="Q856" t="s">
        <v>19</v>
      </c>
      <c r="R856">
        <v>42164</v>
      </c>
      <c r="S856" t="str">
        <f>VLOOKUP(L856&amp;TEXT(I856,"mmmm")&amp;YEAR(I856),'[1]Detalle C-Fecha'!$D$2:$E$15921,2,FALSE)</f>
        <v>ADA_CH - Danone Arg. S.A. - Chascomus</v>
      </c>
    </row>
    <row r="857" spans="1:19" x14ac:dyDescent="0.3">
      <c r="A857">
        <v>34339</v>
      </c>
      <c r="B857" t="s">
        <v>28</v>
      </c>
      <c r="C857" t="s">
        <v>15</v>
      </c>
      <c r="D857" t="s">
        <v>16</v>
      </c>
      <c r="E857" t="s">
        <v>46</v>
      </c>
      <c r="F857" s="6" t="str">
        <f t="shared" si="13"/>
        <v>6ML</v>
      </c>
      <c r="G857" s="11">
        <v>46161</v>
      </c>
      <c r="H857" s="12">
        <v>0.51874999999999993</v>
      </c>
      <c r="I857" s="11">
        <v>46161</v>
      </c>
      <c r="J857" s="1">
        <v>46161</v>
      </c>
      <c r="K857" s="1">
        <v>46163</v>
      </c>
      <c r="L857" t="s">
        <v>67</v>
      </c>
      <c r="M857" t="s">
        <v>146</v>
      </c>
      <c r="N857" t="s">
        <v>208</v>
      </c>
      <c r="O857" t="s">
        <v>24</v>
      </c>
      <c r="P857">
        <v>29129</v>
      </c>
      <c r="Q857" t="s">
        <v>19</v>
      </c>
      <c r="R857">
        <v>41981</v>
      </c>
      <c r="S857" t="str">
        <f>VLOOKUP(L857&amp;TEXT(I857,"mmmm")&amp;YEAR(I857),'[1]Detalle C-Fecha'!$D$2:$E$15921,2,FALSE)</f>
        <v>ADA_CH - Danone Arg. S.A. - Chascomus</v>
      </c>
    </row>
    <row r="858" spans="1:19" x14ac:dyDescent="0.3">
      <c r="A858">
        <v>34360</v>
      </c>
      <c r="B858" t="s">
        <v>28</v>
      </c>
      <c r="C858" t="s">
        <v>15</v>
      </c>
      <c r="D858" t="s">
        <v>16</v>
      </c>
      <c r="E858" t="s">
        <v>51</v>
      </c>
      <c r="F858" s="6" t="str">
        <f t="shared" si="13"/>
        <v>2MC</v>
      </c>
      <c r="G858" s="11">
        <v>46161</v>
      </c>
      <c r="H858" s="12">
        <v>0.7631944444444444</v>
      </c>
      <c r="I858" s="11">
        <v>46161</v>
      </c>
      <c r="J858" s="1">
        <v>46161</v>
      </c>
      <c r="K858" s="1">
        <v>46163</v>
      </c>
      <c r="L858" t="s">
        <v>234</v>
      </c>
      <c r="M858" t="s">
        <v>161</v>
      </c>
      <c r="N858" t="s">
        <v>208</v>
      </c>
      <c r="O858" t="s">
        <v>18</v>
      </c>
      <c r="P858">
        <v>29140</v>
      </c>
      <c r="Q858" t="s">
        <v>19</v>
      </c>
      <c r="R858">
        <v>42163</v>
      </c>
      <c r="S858" t="str">
        <f>VLOOKUP(L858&amp;TEXT(I858,"mmmm")&amp;YEAR(I858),'[1]Detalle C-Fecha'!$D$2:$E$15921,2,FALSE)</f>
        <v>CMQ_TTE - QUILMES TTE</v>
      </c>
    </row>
    <row r="859" spans="1:19" x14ac:dyDescent="0.3">
      <c r="A859">
        <v>34360</v>
      </c>
      <c r="B859" t="s">
        <v>28</v>
      </c>
      <c r="C859" t="s">
        <v>15</v>
      </c>
      <c r="D859" t="s">
        <v>16</v>
      </c>
      <c r="E859" t="s">
        <v>51</v>
      </c>
      <c r="F859" s="6" t="str">
        <f t="shared" si="13"/>
        <v>2MC</v>
      </c>
      <c r="G859" s="11">
        <v>46161</v>
      </c>
      <c r="H859" s="12">
        <v>0.7631944444444444</v>
      </c>
      <c r="I859" s="11">
        <v>46161</v>
      </c>
      <c r="J859" s="1">
        <v>46161</v>
      </c>
      <c r="K859" s="1">
        <v>46163</v>
      </c>
      <c r="L859" t="s">
        <v>234</v>
      </c>
      <c r="M859" t="s">
        <v>161</v>
      </c>
      <c r="N859" t="s">
        <v>208</v>
      </c>
      <c r="O859" t="s">
        <v>18</v>
      </c>
      <c r="P859">
        <v>29140</v>
      </c>
      <c r="Q859" t="s">
        <v>19</v>
      </c>
      <c r="R859">
        <v>41987</v>
      </c>
      <c r="S859" t="str">
        <f>VLOOKUP(L859&amp;TEXT(I859,"mmmm")&amp;YEAR(I859),'[1]Detalle C-Fecha'!$D$2:$E$15921,2,FALSE)</f>
        <v>CMQ_TTE - QUILMES TTE</v>
      </c>
    </row>
    <row r="860" spans="1:19" x14ac:dyDescent="0.3">
      <c r="A860">
        <v>34362</v>
      </c>
      <c r="B860" t="s">
        <v>28</v>
      </c>
      <c r="C860" t="s">
        <v>15</v>
      </c>
      <c r="D860" t="s">
        <v>16</v>
      </c>
      <c r="E860" t="s">
        <v>113</v>
      </c>
      <c r="F860" s="6" t="str">
        <f t="shared" si="13"/>
        <v>2MC</v>
      </c>
      <c r="G860" s="11">
        <v>46161</v>
      </c>
      <c r="H860" s="12">
        <v>0.81874999999999998</v>
      </c>
      <c r="I860" s="11">
        <v>46161</v>
      </c>
      <c r="J860" s="1">
        <v>46161</v>
      </c>
      <c r="K860" s="1">
        <v>46163</v>
      </c>
      <c r="L860" t="s">
        <v>235</v>
      </c>
      <c r="M860" t="s">
        <v>128</v>
      </c>
      <c r="N860" t="s">
        <v>208</v>
      </c>
      <c r="O860" t="s">
        <v>18</v>
      </c>
      <c r="P860">
        <v>29142</v>
      </c>
      <c r="Q860" t="s">
        <v>19</v>
      </c>
      <c r="R860">
        <v>42163</v>
      </c>
      <c r="S860" t="str">
        <f>VLOOKUP(L860&amp;TEXT(I860,"mmmm")&amp;YEAR(I860),'[1]Detalle C-Fecha'!$D$2:$E$15921,2,FALSE)</f>
        <v>CMQ_TTE - QUILMES TTE</v>
      </c>
    </row>
    <row r="861" spans="1:19" x14ac:dyDescent="0.3">
      <c r="A861">
        <v>34362</v>
      </c>
      <c r="B861" t="s">
        <v>28</v>
      </c>
      <c r="C861" t="s">
        <v>15</v>
      </c>
      <c r="D861" t="s">
        <v>16</v>
      </c>
      <c r="E861" t="s">
        <v>113</v>
      </c>
      <c r="F861" s="6" t="str">
        <f t="shared" si="13"/>
        <v>2MC</v>
      </c>
      <c r="G861" s="11">
        <v>46161</v>
      </c>
      <c r="H861" s="12">
        <v>0.81874999999999998</v>
      </c>
      <c r="I861" s="11">
        <v>46161</v>
      </c>
      <c r="J861" s="1">
        <v>46161</v>
      </c>
      <c r="K861" s="1">
        <v>46163</v>
      </c>
      <c r="L861" t="s">
        <v>235</v>
      </c>
      <c r="M861" t="s">
        <v>128</v>
      </c>
      <c r="N861" t="s">
        <v>208</v>
      </c>
      <c r="O861" t="s">
        <v>18</v>
      </c>
      <c r="P861">
        <v>29142</v>
      </c>
      <c r="Q861" t="s">
        <v>19</v>
      </c>
      <c r="R861">
        <v>41989</v>
      </c>
      <c r="S861" t="str">
        <f>VLOOKUP(L861&amp;TEXT(I861,"mmmm")&amp;YEAR(I861),'[1]Detalle C-Fecha'!$D$2:$E$15921,2,FALSE)</f>
        <v>CMQ_TTE - QUILMES TTE</v>
      </c>
    </row>
    <row r="862" spans="1:19" x14ac:dyDescent="0.3">
      <c r="A862">
        <v>34363</v>
      </c>
      <c r="B862" t="s">
        <v>28</v>
      </c>
      <c r="C862" t="s">
        <v>15</v>
      </c>
      <c r="D862" t="s">
        <v>16</v>
      </c>
      <c r="E862" t="s">
        <v>122</v>
      </c>
      <c r="F862" s="6" t="str">
        <f t="shared" si="13"/>
        <v>3MC</v>
      </c>
      <c r="G862" s="11">
        <v>46161</v>
      </c>
      <c r="H862" s="12">
        <v>0.81874999999999998</v>
      </c>
      <c r="I862" s="11">
        <v>46161</v>
      </c>
      <c r="J862" s="1">
        <v>46161</v>
      </c>
      <c r="K862" s="1">
        <v>46163</v>
      </c>
      <c r="L862" t="s">
        <v>235</v>
      </c>
      <c r="M862" t="s">
        <v>128</v>
      </c>
      <c r="N862" t="s">
        <v>208</v>
      </c>
      <c r="O862" t="s">
        <v>18</v>
      </c>
      <c r="P862">
        <v>29143</v>
      </c>
      <c r="Q862" t="s">
        <v>19</v>
      </c>
      <c r="R862">
        <v>42163</v>
      </c>
      <c r="S862" t="str">
        <f>VLOOKUP(L862&amp;TEXT(I862,"mmmm")&amp;YEAR(I862),'[1]Detalle C-Fecha'!$D$2:$E$15921,2,FALSE)</f>
        <v>CMQ_TTE - QUILMES TTE</v>
      </c>
    </row>
    <row r="863" spans="1:19" x14ac:dyDescent="0.3">
      <c r="A863">
        <v>34363</v>
      </c>
      <c r="B863" t="s">
        <v>28</v>
      </c>
      <c r="C863" t="s">
        <v>15</v>
      </c>
      <c r="D863" t="s">
        <v>16</v>
      </c>
      <c r="E863" t="s">
        <v>122</v>
      </c>
      <c r="F863" s="6" t="str">
        <f t="shared" si="13"/>
        <v>3MC</v>
      </c>
      <c r="G863" s="11">
        <v>46161</v>
      </c>
      <c r="H863" s="12">
        <v>0.81874999999999998</v>
      </c>
      <c r="I863" s="11">
        <v>46161</v>
      </c>
      <c r="J863" s="1">
        <v>46161</v>
      </c>
      <c r="K863" s="1">
        <v>46163</v>
      </c>
      <c r="L863" t="s">
        <v>235</v>
      </c>
      <c r="M863" t="s">
        <v>128</v>
      </c>
      <c r="N863" t="s">
        <v>208</v>
      </c>
      <c r="O863" t="s">
        <v>18</v>
      </c>
      <c r="P863">
        <v>29143</v>
      </c>
      <c r="Q863" t="s">
        <v>19</v>
      </c>
      <c r="R863">
        <v>41990</v>
      </c>
      <c r="S863" t="str">
        <f>VLOOKUP(L863&amp;TEXT(I863,"mmmm")&amp;YEAR(I863),'[1]Detalle C-Fecha'!$D$2:$E$15921,2,FALSE)</f>
        <v>CMQ_TTE - QUILMES TTE</v>
      </c>
    </row>
    <row r="864" spans="1:19" x14ac:dyDescent="0.3">
      <c r="A864">
        <v>34364</v>
      </c>
      <c r="B864" t="s">
        <v>28</v>
      </c>
      <c r="C864" t="s">
        <v>15</v>
      </c>
      <c r="D864" t="s">
        <v>16</v>
      </c>
      <c r="E864" t="s">
        <v>114</v>
      </c>
      <c r="F864" s="6" t="str">
        <f t="shared" si="13"/>
        <v>6MC</v>
      </c>
      <c r="G864" s="11">
        <v>46161</v>
      </c>
      <c r="H864" s="12">
        <v>0.81874999999999998</v>
      </c>
      <c r="I864" s="11">
        <v>46161</v>
      </c>
      <c r="J864" s="1">
        <v>46161</v>
      </c>
      <c r="K864" s="1">
        <v>46163</v>
      </c>
      <c r="L864" t="s">
        <v>235</v>
      </c>
      <c r="M864" t="s">
        <v>128</v>
      </c>
      <c r="N864" t="s">
        <v>208</v>
      </c>
      <c r="O864" t="s">
        <v>18</v>
      </c>
      <c r="P864">
        <v>29144</v>
      </c>
      <c r="Q864" t="s">
        <v>19</v>
      </c>
      <c r="R864">
        <v>42163</v>
      </c>
      <c r="S864" t="str">
        <f>VLOOKUP(L864&amp;TEXT(I864,"mmmm")&amp;YEAR(I864),'[1]Detalle C-Fecha'!$D$2:$E$15921,2,FALSE)</f>
        <v>CMQ_TTE - QUILMES TTE</v>
      </c>
    </row>
    <row r="865" spans="1:19" x14ac:dyDescent="0.3">
      <c r="A865">
        <v>34364</v>
      </c>
      <c r="B865" t="s">
        <v>28</v>
      </c>
      <c r="C865" t="s">
        <v>15</v>
      </c>
      <c r="D865" t="s">
        <v>16</v>
      </c>
      <c r="E865" t="s">
        <v>114</v>
      </c>
      <c r="F865" s="6" t="str">
        <f t="shared" si="13"/>
        <v>6MC</v>
      </c>
      <c r="G865" s="11">
        <v>46161</v>
      </c>
      <c r="H865" s="12">
        <v>0.81874999999999998</v>
      </c>
      <c r="I865" s="11">
        <v>46161</v>
      </c>
      <c r="J865" s="1">
        <v>46161</v>
      </c>
      <c r="K865" s="1">
        <v>46163</v>
      </c>
      <c r="L865" t="s">
        <v>235</v>
      </c>
      <c r="M865" t="s">
        <v>128</v>
      </c>
      <c r="N865" t="s">
        <v>208</v>
      </c>
      <c r="O865" t="s">
        <v>18</v>
      </c>
      <c r="P865">
        <v>29144</v>
      </c>
      <c r="Q865" t="s">
        <v>19</v>
      </c>
      <c r="R865">
        <v>41991</v>
      </c>
      <c r="S865" t="str">
        <f>VLOOKUP(L865&amp;TEXT(I865,"mmmm")&amp;YEAR(I865),'[1]Detalle C-Fecha'!$D$2:$E$15921,2,FALSE)</f>
        <v>CMQ_TTE - QUILMES TTE</v>
      </c>
    </row>
    <row r="866" spans="1:19" x14ac:dyDescent="0.3">
      <c r="A866">
        <v>34369</v>
      </c>
      <c r="B866" t="s">
        <v>28</v>
      </c>
      <c r="C866" t="s">
        <v>15</v>
      </c>
      <c r="D866" t="s">
        <v>16</v>
      </c>
      <c r="E866" t="s">
        <v>115</v>
      </c>
      <c r="F866" s="6" t="str">
        <f t="shared" si="13"/>
        <v>2ML</v>
      </c>
      <c r="G866" s="11">
        <v>46162</v>
      </c>
      <c r="H866" s="12">
        <v>0.30833333333333335</v>
      </c>
      <c r="I866" s="11">
        <v>46162</v>
      </c>
      <c r="J866" s="1">
        <v>46162</v>
      </c>
      <c r="K866" s="1">
        <v>46163</v>
      </c>
      <c r="L866" t="s">
        <v>96</v>
      </c>
      <c r="M866" t="s">
        <v>129</v>
      </c>
      <c r="N866" t="s">
        <v>208</v>
      </c>
      <c r="O866" t="s">
        <v>24</v>
      </c>
      <c r="P866">
        <v>29149</v>
      </c>
      <c r="Q866" t="s">
        <v>19</v>
      </c>
      <c r="R866">
        <v>42164</v>
      </c>
      <c r="S866" t="str">
        <f>VLOOKUP(L866&amp;TEXT(I866,"mmmm")&amp;YEAR(I866),'[1]Detalle C-Fecha'!$D$2:$E$15921,2,FALSE)</f>
        <v>ADA_CH - Danone Arg. S.A. - Chascomus</v>
      </c>
    </row>
    <row r="867" spans="1:19" x14ac:dyDescent="0.3">
      <c r="A867">
        <v>34369</v>
      </c>
      <c r="B867" t="s">
        <v>28</v>
      </c>
      <c r="C867" t="s">
        <v>15</v>
      </c>
      <c r="D867" t="s">
        <v>16</v>
      </c>
      <c r="E867" t="s">
        <v>115</v>
      </c>
      <c r="F867" s="6" t="str">
        <f t="shared" si="13"/>
        <v>2ML</v>
      </c>
      <c r="G867" s="11">
        <v>46162</v>
      </c>
      <c r="H867" s="12">
        <v>0.30833333333333335</v>
      </c>
      <c r="I867" s="11">
        <v>46162</v>
      </c>
      <c r="J867" s="1">
        <v>46162</v>
      </c>
      <c r="K867" s="1">
        <v>46163</v>
      </c>
      <c r="L867" t="s">
        <v>96</v>
      </c>
      <c r="M867" t="s">
        <v>129</v>
      </c>
      <c r="N867" t="s">
        <v>208</v>
      </c>
      <c r="O867" t="s">
        <v>24</v>
      </c>
      <c r="P867">
        <v>29149</v>
      </c>
      <c r="Q867" t="s">
        <v>19</v>
      </c>
      <c r="R867">
        <v>41994</v>
      </c>
      <c r="S867" t="str">
        <f>VLOOKUP(L867&amp;TEXT(I867,"mmmm")&amp;YEAR(I867),'[1]Detalle C-Fecha'!$D$2:$E$15921,2,FALSE)</f>
        <v>ADA_CH - Danone Arg. S.A. - Chascomus</v>
      </c>
    </row>
    <row r="868" spans="1:19" x14ac:dyDescent="0.3">
      <c r="A868">
        <v>34370</v>
      </c>
      <c r="B868" t="s">
        <v>28</v>
      </c>
      <c r="C868" t="s">
        <v>15</v>
      </c>
      <c r="D868" t="s">
        <v>16</v>
      </c>
      <c r="E868" t="s">
        <v>116</v>
      </c>
      <c r="F868" s="6" t="str">
        <f t="shared" si="13"/>
        <v>3ML</v>
      </c>
      <c r="G868" s="11">
        <v>46162</v>
      </c>
      <c r="H868" s="12">
        <v>0.30833333333333335</v>
      </c>
      <c r="I868" s="11">
        <v>46162</v>
      </c>
      <c r="J868" s="1">
        <v>46162</v>
      </c>
      <c r="K868" s="1">
        <v>46163</v>
      </c>
      <c r="L868" t="s">
        <v>96</v>
      </c>
      <c r="M868" t="s">
        <v>129</v>
      </c>
      <c r="N868" t="s">
        <v>208</v>
      </c>
      <c r="O868" t="s">
        <v>24</v>
      </c>
      <c r="P868">
        <v>29150</v>
      </c>
      <c r="Q868" t="s">
        <v>19</v>
      </c>
      <c r="R868">
        <v>42164</v>
      </c>
      <c r="S868" t="str">
        <f>VLOOKUP(L868&amp;TEXT(I868,"mmmm")&amp;YEAR(I868),'[1]Detalle C-Fecha'!$D$2:$E$15921,2,FALSE)</f>
        <v>ADA_CH - Danone Arg. S.A. - Chascomus</v>
      </c>
    </row>
    <row r="869" spans="1:19" x14ac:dyDescent="0.3">
      <c r="A869">
        <v>34370</v>
      </c>
      <c r="B869" t="s">
        <v>28</v>
      </c>
      <c r="C869" t="s">
        <v>15</v>
      </c>
      <c r="D869" t="s">
        <v>16</v>
      </c>
      <c r="E869" t="s">
        <v>116</v>
      </c>
      <c r="F869" s="6" t="str">
        <f t="shared" si="13"/>
        <v>3ML</v>
      </c>
      <c r="G869" s="11">
        <v>46162</v>
      </c>
      <c r="H869" s="12">
        <v>0.30833333333333335</v>
      </c>
      <c r="I869" s="11">
        <v>46162</v>
      </c>
      <c r="J869" s="1">
        <v>46162</v>
      </c>
      <c r="K869" s="1">
        <v>46163</v>
      </c>
      <c r="L869" t="s">
        <v>96</v>
      </c>
      <c r="M869" t="s">
        <v>129</v>
      </c>
      <c r="N869" t="s">
        <v>208</v>
      </c>
      <c r="O869" t="s">
        <v>24</v>
      </c>
      <c r="P869">
        <v>29150</v>
      </c>
      <c r="Q869" t="s">
        <v>19</v>
      </c>
      <c r="R869">
        <v>41995</v>
      </c>
      <c r="S869" t="str">
        <f>VLOOKUP(L869&amp;TEXT(I869,"mmmm")&amp;YEAR(I869),'[1]Detalle C-Fecha'!$D$2:$E$15921,2,FALSE)</f>
        <v>ADA_CH - Danone Arg. S.A. - Chascomus</v>
      </c>
    </row>
    <row r="870" spans="1:19" x14ac:dyDescent="0.3">
      <c r="A870">
        <v>34371</v>
      </c>
      <c r="B870" t="s">
        <v>28</v>
      </c>
      <c r="C870" t="s">
        <v>15</v>
      </c>
      <c r="D870" t="s">
        <v>16</v>
      </c>
      <c r="E870" t="s">
        <v>117</v>
      </c>
      <c r="F870" s="6" t="str">
        <f t="shared" si="13"/>
        <v>6ML</v>
      </c>
      <c r="G870" s="11">
        <v>46162</v>
      </c>
      <c r="H870" s="12">
        <v>0.30833333333333335</v>
      </c>
      <c r="I870" s="11">
        <v>46162</v>
      </c>
      <c r="J870" s="1">
        <v>46162</v>
      </c>
      <c r="K870" s="1">
        <v>46163</v>
      </c>
      <c r="L870" t="s">
        <v>96</v>
      </c>
      <c r="M870" t="s">
        <v>129</v>
      </c>
      <c r="N870" t="s">
        <v>208</v>
      </c>
      <c r="O870" t="s">
        <v>24</v>
      </c>
      <c r="P870">
        <v>29151</v>
      </c>
      <c r="Q870" t="s">
        <v>19</v>
      </c>
      <c r="R870">
        <v>42164</v>
      </c>
      <c r="S870" t="str">
        <f>VLOOKUP(L870&amp;TEXT(I870,"mmmm")&amp;YEAR(I870),'[1]Detalle C-Fecha'!$D$2:$E$15921,2,FALSE)</f>
        <v>ADA_CH - Danone Arg. S.A. - Chascomus</v>
      </c>
    </row>
    <row r="871" spans="1:19" x14ac:dyDescent="0.3">
      <c r="A871">
        <v>34371</v>
      </c>
      <c r="B871" t="s">
        <v>28</v>
      </c>
      <c r="C871" t="s">
        <v>15</v>
      </c>
      <c r="D871" t="s">
        <v>16</v>
      </c>
      <c r="E871" t="s">
        <v>117</v>
      </c>
      <c r="F871" s="6" t="str">
        <f t="shared" si="13"/>
        <v>6ML</v>
      </c>
      <c r="G871" s="11">
        <v>46162</v>
      </c>
      <c r="H871" s="12">
        <v>0.30833333333333335</v>
      </c>
      <c r="I871" s="11">
        <v>46162</v>
      </c>
      <c r="J871" s="1">
        <v>46162</v>
      </c>
      <c r="K871" s="1">
        <v>46163</v>
      </c>
      <c r="L871" t="s">
        <v>96</v>
      </c>
      <c r="M871" t="s">
        <v>129</v>
      </c>
      <c r="N871" t="s">
        <v>208</v>
      </c>
      <c r="O871" t="s">
        <v>24</v>
      </c>
      <c r="P871">
        <v>29151</v>
      </c>
      <c r="Q871" t="s">
        <v>19</v>
      </c>
      <c r="R871">
        <v>41996</v>
      </c>
      <c r="S871" t="str">
        <f>VLOOKUP(L871&amp;TEXT(I871,"mmmm")&amp;YEAR(I871),'[1]Detalle C-Fecha'!$D$2:$E$15921,2,FALSE)</f>
        <v>ADA_CH - Danone Arg. S.A. - Chascomus</v>
      </c>
    </row>
    <row r="872" spans="1:19" x14ac:dyDescent="0.3">
      <c r="A872">
        <v>34373</v>
      </c>
      <c r="B872" t="s">
        <v>28</v>
      </c>
      <c r="C872" t="s">
        <v>15</v>
      </c>
      <c r="D872" t="s">
        <v>16</v>
      </c>
      <c r="E872" t="s">
        <v>108</v>
      </c>
      <c r="F872" s="6" t="str">
        <f t="shared" si="13"/>
        <v>2MU</v>
      </c>
      <c r="G872" s="11">
        <v>46162</v>
      </c>
      <c r="H872" s="12">
        <v>0.37916666666666665</v>
      </c>
      <c r="I872" s="11">
        <v>46162</v>
      </c>
      <c r="J872" s="1">
        <v>46162</v>
      </c>
      <c r="K872" s="1">
        <v>46163</v>
      </c>
      <c r="L872" t="s">
        <v>236</v>
      </c>
      <c r="M872" t="s">
        <v>237</v>
      </c>
      <c r="N872" t="s">
        <v>208</v>
      </c>
      <c r="O872" t="s">
        <v>18</v>
      </c>
      <c r="P872">
        <v>29153</v>
      </c>
      <c r="Q872" t="s">
        <v>19</v>
      </c>
      <c r="R872">
        <v>42163</v>
      </c>
      <c r="S872" t="str">
        <f>VLOOKUP(L872&amp;TEXT(I872,"mmmm")&amp;YEAR(I872),'[1]Detalle C-Fecha'!$D$2:$E$15921,2,FALSE)</f>
        <v>CMQ_TTE - QUILMES TTE</v>
      </c>
    </row>
    <row r="873" spans="1:19" x14ac:dyDescent="0.3">
      <c r="A873">
        <v>34373</v>
      </c>
      <c r="B873" t="s">
        <v>28</v>
      </c>
      <c r="C873" t="s">
        <v>15</v>
      </c>
      <c r="D873" t="s">
        <v>16</v>
      </c>
      <c r="E873" t="s">
        <v>108</v>
      </c>
      <c r="F873" s="6" t="str">
        <f t="shared" si="13"/>
        <v>2MU</v>
      </c>
      <c r="G873" s="11">
        <v>46162</v>
      </c>
      <c r="H873" s="12">
        <v>0.37916666666666665</v>
      </c>
      <c r="I873" s="11">
        <v>46162</v>
      </c>
      <c r="J873" s="1">
        <v>46162</v>
      </c>
      <c r="K873" s="1">
        <v>46163</v>
      </c>
      <c r="L873" t="s">
        <v>236</v>
      </c>
      <c r="M873" t="s">
        <v>237</v>
      </c>
      <c r="N873" t="s">
        <v>208</v>
      </c>
      <c r="O873" t="s">
        <v>18</v>
      </c>
      <c r="P873">
        <v>29153</v>
      </c>
      <c r="Q873" t="s">
        <v>19</v>
      </c>
      <c r="R873">
        <v>41997</v>
      </c>
      <c r="S873" t="str">
        <f>VLOOKUP(L873&amp;TEXT(I873,"mmmm")&amp;YEAR(I873),'[1]Detalle C-Fecha'!$D$2:$E$15921,2,FALSE)</f>
        <v>CMQ_TTE - QUILMES TTE</v>
      </c>
    </row>
    <row r="874" spans="1:19" x14ac:dyDescent="0.3">
      <c r="A874">
        <v>34374</v>
      </c>
      <c r="B874" t="s">
        <v>28</v>
      </c>
      <c r="C874" t="s">
        <v>15</v>
      </c>
      <c r="D874" t="s">
        <v>16</v>
      </c>
      <c r="E874" t="s">
        <v>109</v>
      </c>
      <c r="F874" s="6" t="str">
        <f t="shared" si="13"/>
        <v>3MU</v>
      </c>
      <c r="G874" s="11">
        <v>46162</v>
      </c>
      <c r="H874" s="12">
        <v>0.37916666666666665</v>
      </c>
      <c r="I874" s="11">
        <v>46162</v>
      </c>
      <c r="J874" s="1">
        <v>46162</v>
      </c>
      <c r="K874" s="1">
        <v>46163</v>
      </c>
      <c r="L874" t="s">
        <v>236</v>
      </c>
      <c r="M874" t="s">
        <v>237</v>
      </c>
      <c r="N874" t="s">
        <v>208</v>
      </c>
      <c r="O874" t="s">
        <v>18</v>
      </c>
      <c r="P874">
        <v>29154</v>
      </c>
      <c r="Q874" t="s">
        <v>19</v>
      </c>
      <c r="R874">
        <v>42163</v>
      </c>
      <c r="S874" t="str">
        <f>VLOOKUP(L874&amp;TEXT(I874,"mmmm")&amp;YEAR(I874),'[1]Detalle C-Fecha'!$D$2:$E$15921,2,FALSE)</f>
        <v>CMQ_TTE - QUILMES TTE</v>
      </c>
    </row>
    <row r="875" spans="1:19" x14ac:dyDescent="0.3">
      <c r="A875">
        <v>34374</v>
      </c>
      <c r="B875" t="s">
        <v>28</v>
      </c>
      <c r="C875" t="s">
        <v>15</v>
      </c>
      <c r="D875" t="s">
        <v>16</v>
      </c>
      <c r="E875" t="s">
        <v>109</v>
      </c>
      <c r="F875" s="6" t="str">
        <f t="shared" si="13"/>
        <v>3MU</v>
      </c>
      <c r="G875" s="11">
        <v>46162</v>
      </c>
      <c r="H875" s="12">
        <v>0.37916666666666665</v>
      </c>
      <c r="I875" s="11">
        <v>46162</v>
      </c>
      <c r="J875" s="1">
        <v>46162</v>
      </c>
      <c r="K875" s="1">
        <v>46163</v>
      </c>
      <c r="L875" t="s">
        <v>236</v>
      </c>
      <c r="M875" t="s">
        <v>237</v>
      </c>
      <c r="N875" t="s">
        <v>208</v>
      </c>
      <c r="O875" t="s">
        <v>18</v>
      </c>
      <c r="P875">
        <v>29154</v>
      </c>
      <c r="Q875" t="s">
        <v>19</v>
      </c>
      <c r="R875">
        <v>41998</v>
      </c>
      <c r="S875" t="str">
        <f>VLOOKUP(L875&amp;TEXT(I875,"mmmm")&amp;YEAR(I875),'[1]Detalle C-Fecha'!$D$2:$E$15921,2,FALSE)</f>
        <v>CMQ_TTE - QUILMES TTE</v>
      </c>
    </row>
    <row r="876" spans="1:19" x14ac:dyDescent="0.3">
      <c r="A876">
        <v>34375</v>
      </c>
      <c r="B876" t="s">
        <v>28</v>
      </c>
      <c r="C876" t="s">
        <v>15</v>
      </c>
      <c r="D876" t="s">
        <v>16</v>
      </c>
      <c r="E876" t="s">
        <v>107</v>
      </c>
      <c r="F876" s="6" t="str">
        <f t="shared" si="13"/>
        <v>4MU</v>
      </c>
      <c r="G876" s="11">
        <v>46162</v>
      </c>
      <c r="H876" s="12">
        <v>0.37916666666666665</v>
      </c>
      <c r="I876" s="11">
        <v>46162</v>
      </c>
      <c r="J876" s="1">
        <v>46162</v>
      </c>
      <c r="K876" s="1">
        <v>46163</v>
      </c>
      <c r="L876" t="s">
        <v>236</v>
      </c>
      <c r="M876" t="s">
        <v>237</v>
      </c>
      <c r="N876" t="s">
        <v>208</v>
      </c>
      <c r="O876" t="s">
        <v>18</v>
      </c>
      <c r="P876">
        <v>29155</v>
      </c>
      <c r="Q876" t="s">
        <v>19</v>
      </c>
      <c r="R876">
        <v>42163</v>
      </c>
      <c r="S876" t="str">
        <f>VLOOKUP(L876&amp;TEXT(I876,"mmmm")&amp;YEAR(I876),'[1]Detalle C-Fecha'!$D$2:$E$15921,2,FALSE)</f>
        <v>CMQ_TTE - QUILMES TTE</v>
      </c>
    </row>
    <row r="877" spans="1:19" x14ac:dyDescent="0.3">
      <c r="A877">
        <v>34375</v>
      </c>
      <c r="B877" t="s">
        <v>28</v>
      </c>
      <c r="C877" t="s">
        <v>15</v>
      </c>
      <c r="D877" t="s">
        <v>16</v>
      </c>
      <c r="E877" t="s">
        <v>107</v>
      </c>
      <c r="F877" s="6" t="str">
        <f t="shared" si="13"/>
        <v>4MU</v>
      </c>
      <c r="G877" s="11">
        <v>46162</v>
      </c>
      <c r="H877" s="12">
        <v>0.37916666666666665</v>
      </c>
      <c r="I877" s="11">
        <v>46162</v>
      </c>
      <c r="J877" s="1">
        <v>46162</v>
      </c>
      <c r="K877" s="1">
        <v>46163</v>
      </c>
      <c r="L877" t="s">
        <v>236</v>
      </c>
      <c r="M877" t="s">
        <v>237</v>
      </c>
      <c r="N877" t="s">
        <v>208</v>
      </c>
      <c r="O877" t="s">
        <v>18</v>
      </c>
      <c r="P877">
        <v>29155</v>
      </c>
      <c r="Q877" t="s">
        <v>19</v>
      </c>
      <c r="R877">
        <v>41999</v>
      </c>
      <c r="S877" t="str">
        <f>VLOOKUP(L877&amp;TEXT(I877,"mmmm")&amp;YEAR(I877),'[1]Detalle C-Fecha'!$D$2:$E$15921,2,FALSE)</f>
        <v>CMQ_TTE - QUILMES TTE</v>
      </c>
    </row>
    <row r="878" spans="1:19" x14ac:dyDescent="0.3">
      <c r="A878">
        <v>34376</v>
      </c>
      <c r="B878" t="s">
        <v>28</v>
      </c>
      <c r="C878" t="s">
        <v>15</v>
      </c>
      <c r="D878" t="s">
        <v>16</v>
      </c>
      <c r="E878" t="s">
        <v>110</v>
      </c>
      <c r="F878" s="6" t="str">
        <f t="shared" si="13"/>
        <v>5MU</v>
      </c>
      <c r="G878" s="11">
        <v>46162</v>
      </c>
      <c r="H878" s="12">
        <v>0.37916666666666665</v>
      </c>
      <c r="I878" s="11">
        <v>46162</v>
      </c>
      <c r="J878" s="1">
        <v>46162</v>
      </c>
      <c r="K878" s="1">
        <v>46163</v>
      </c>
      <c r="L878" t="s">
        <v>236</v>
      </c>
      <c r="M878" t="s">
        <v>237</v>
      </c>
      <c r="N878" t="s">
        <v>208</v>
      </c>
      <c r="O878" t="s">
        <v>18</v>
      </c>
      <c r="P878">
        <v>29156</v>
      </c>
      <c r="Q878" t="s">
        <v>19</v>
      </c>
      <c r="R878">
        <v>42163</v>
      </c>
      <c r="S878" t="str">
        <f>VLOOKUP(L878&amp;TEXT(I878,"mmmm")&amp;YEAR(I878),'[1]Detalle C-Fecha'!$D$2:$E$15921,2,FALSE)</f>
        <v>CMQ_TTE - QUILMES TTE</v>
      </c>
    </row>
    <row r="879" spans="1:19" x14ac:dyDescent="0.3">
      <c r="A879">
        <v>34376</v>
      </c>
      <c r="B879" t="s">
        <v>28</v>
      </c>
      <c r="C879" t="s">
        <v>15</v>
      </c>
      <c r="D879" t="s">
        <v>16</v>
      </c>
      <c r="E879" t="s">
        <v>110</v>
      </c>
      <c r="F879" s="6" t="str">
        <f t="shared" si="13"/>
        <v>5MU</v>
      </c>
      <c r="G879" s="11">
        <v>46162</v>
      </c>
      <c r="H879" s="12">
        <v>0.37916666666666665</v>
      </c>
      <c r="I879" s="11">
        <v>46162</v>
      </c>
      <c r="J879" s="1">
        <v>46162</v>
      </c>
      <c r="K879" s="1">
        <v>46163</v>
      </c>
      <c r="L879" t="s">
        <v>236</v>
      </c>
      <c r="M879" t="s">
        <v>237</v>
      </c>
      <c r="N879" t="s">
        <v>208</v>
      </c>
      <c r="O879" t="s">
        <v>18</v>
      </c>
      <c r="P879">
        <v>29156</v>
      </c>
      <c r="Q879" t="s">
        <v>19</v>
      </c>
      <c r="R879">
        <v>42000</v>
      </c>
      <c r="S879" t="str">
        <f>VLOOKUP(L879&amp;TEXT(I879,"mmmm")&amp;YEAR(I879),'[1]Detalle C-Fecha'!$D$2:$E$15921,2,FALSE)</f>
        <v>CMQ_TTE - QUILMES TTE</v>
      </c>
    </row>
    <row r="880" spans="1:19" x14ac:dyDescent="0.3">
      <c r="A880">
        <v>34530</v>
      </c>
      <c r="B880" t="s">
        <v>28</v>
      </c>
      <c r="C880" t="s">
        <v>15</v>
      </c>
      <c r="D880" t="s">
        <v>16</v>
      </c>
      <c r="E880" t="s">
        <v>121</v>
      </c>
      <c r="F880" s="6" t="str">
        <f t="shared" si="13"/>
        <v>2MC</v>
      </c>
      <c r="G880" s="11">
        <v>46162</v>
      </c>
      <c r="H880" s="12">
        <v>0.83472222222222225</v>
      </c>
      <c r="I880" s="11">
        <v>46162</v>
      </c>
      <c r="J880" s="1">
        <v>46162</v>
      </c>
      <c r="K880" s="1">
        <v>46163</v>
      </c>
      <c r="L880" t="s">
        <v>238</v>
      </c>
      <c r="M880" t="s">
        <v>155</v>
      </c>
      <c r="N880" t="s">
        <v>208</v>
      </c>
      <c r="O880" t="s">
        <v>18</v>
      </c>
      <c r="P880">
        <v>29249</v>
      </c>
      <c r="Q880" t="s">
        <v>19</v>
      </c>
      <c r="R880">
        <v>42163</v>
      </c>
      <c r="S880" t="str">
        <f>VLOOKUP(L880&amp;TEXT(I880,"mmmm")&amp;YEAR(I880),'[1]Detalle C-Fecha'!$D$2:$E$15921,2,FALSE)</f>
        <v>CMQ_TTE - QUILMES TTE</v>
      </c>
    </row>
    <row r="881" spans="1:19" x14ac:dyDescent="0.3">
      <c r="A881">
        <v>34530</v>
      </c>
      <c r="B881" t="s">
        <v>28</v>
      </c>
      <c r="C881" t="s">
        <v>15</v>
      </c>
      <c r="D881" t="s">
        <v>16</v>
      </c>
      <c r="E881" t="s">
        <v>121</v>
      </c>
      <c r="F881" s="6" t="str">
        <f t="shared" si="13"/>
        <v>2MC</v>
      </c>
      <c r="G881" s="11">
        <v>46162</v>
      </c>
      <c r="H881" s="12">
        <v>0.83472222222222225</v>
      </c>
      <c r="I881" s="11">
        <v>46162</v>
      </c>
      <c r="J881" s="1">
        <v>46162</v>
      </c>
      <c r="K881" s="1">
        <v>46163</v>
      </c>
      <c r="L881" t="s">
        <v>238</v>
      </c>
      <c r="M881" t="s">
        <v>155</v>
      </c>
      <c r="N881" t="s">
        <v>208</v>
      </c>
      <c r="O881" t="s">
        <v>18</v>
      </c>
      <c r="P881">
        <v>29249</v>
      </c>
      <c r="Q881" t="s">
        <v>19</v>
      </c>
      <c r="R881">
        <v>42026</v>
      </c>
      <c r="S881" t="str">
        <f>VLOOKUP(L881&amp;TEXT(I881,"mmmm")&amp;YEAR(I881),'[1]Detalle C-Fecha'!$D$2:$E$15921,2,FALSE)</f>
        <v>CMQ_TTE - QUILMES TTE</v>
      </c>
    </row>
    <row r="882" spans="1:19" x14ac:dyDescent="0.3">
      <c r="A882">
        <v>34531</v>
      </c>
      <c r="B882" t="s">
        <v>28</v>
      </c>
      <c r="C882" t="s">
        <v>15</v>
      </c>
      <c r="D882" t="s">
        <v>16</v>
      </c>
      <c r="E882" t="s">
        <v>53</v>
      </c>
      <c r="F882" s="6" t="str">
        <f t="shared" si="13"/>
        <v>3MC</v>
      </c>
      <c r="G882" s="11">
        <v>46162</v>
      </c>
      <c r="H882" s="12">
        <v>0.83472222222222225</v>
      </c>
      <c r="I882" s="11">
        <v>46162</v>
      </c>
      <c r="J882" s="1">
        <v>46162</v>
      </c>
      <c r="K882" s="1">
        <v>46163</v>
      </c>
      <c r="L882" t="s">
        <v>238</v>
      </c>
      <c r="M882" t="s">
        <v>155</v>
      </c>
      <c r="N882" t="s">
        <v>208</v>
      </c>
      <c r="O882" t="s">
        <v>18</v>
      </c>
      <c r="P882">
        <v>29250</v>
      </c>
      <c r="Q882" t="s">
        <v>19</v>
      </c>
      <c r="R882">
        <v>42163</v>
      </c>
      <c r="S882" t="str">
        <f>VLOOKUP(L882&amp;TEXT(I882,"mmmm")&amp;YEAR(I882),'[1]Detalle C-Fecha'!$D$2:$E$15921,2,FALSE)</f>
        <v>CMQ_TTE - QUILMES TTE</v>
      </c>
    </row>
    <row r="883" spans="1:19" x14ac:dyDescent="0.3">
      <c r="A883">
        <v>34531</v>
      </c>
      <c r="B883" t="s">
        <v>28</v>
      </c>
      <c r="C883" t="s">
        <v>15</v>
      </c>
      <c r="D883" t="s">
        <v>16</v>
      </c>
      <c r="E883" t="s">
        <v>53</v>
      </c>
      <c r="F883" s="6" t="str">
        <f t="shared" si="13"/>
        <v>3MC</v>
      </c>
      <c r="G883" s="11">
        <v>46162</v>
      </c>
      <c r="H883" s="12">
        <v>0.83472222222222225</v>
      </c>
      <c r="I883" s="11">
        <v>46162</v>
      </c>
      <c r="J883" s="1">
        <v>46162</v>
      </c>
      <c r="K883" s="1">
        <v>46163</v>
      </c>
      <c r="L883" t="s">
        <v>238</v>
      </c>
      <c r="M883" t="s">
        <v>155</v>
      </c>
      <c r="N883" t="s">
        <v>208</v>
      </c>
      <c r="O883" t="s">
        <v>18</v>
      </c>
      <c r="P883">
        <v>29250</v>
      </c>
      <c r="Q883" t="s">
        <v>19</v>
      </c>
      <c r="R883">
        <v>42027</v>
      </c>
      <c r="S883" t="str">
        <f>VLOOKUP(L883&amp;TEXT(I883,"mmmm")&amp;YEAR(I883),'[1]Detalle C-Fecha'!$D$2:$E$15921,2,FALSE)</f>
        <v>CMQ_TTE - QUILMES TTE</v>
      </c>
    </row>
    <row r="884" spans="1:19" x14ac:dyDescent="0.3">
      <c r="A884">
        <v>34532</v>
      </c>
      <c r="B884" t="s">
        <v>28</v>
      </c>
      <c r="C884" t="s">
        <v>15</v>
      </c>
      <c r="D884" t="s">
        <v>16</v>
      </c>
      <c r="E884" t="s">
        <v>111</v>
      </c>
      <c r="F884" s="6" t="str">
        <f t="shared" si="13"/>
        <v>6MC</v>
      </c>
      <c r="G884" s="11">
        <v>46162</v>
      </c>
      <c r="H884" s="12">
        <v>0.83472222222222225</v>
      </c>
      <c r="I884" s="11">
        <v>46162</v>
      </c>
      <c r="J884" s="1">
        <v>46162</v>
      </c>
      <c r="K884" s="1">
        <v>46163</v>
      </c>
      <c r="L884" t="s">
        <v>238</v>
      </c>
      <c r="M884" t="s">
        <v>155</v>
      </c>
      <c r="N884" t="s">
        <v>208</v>
      </c>
      <c r="O884" t="s">
        <v>18</v>
      </c>
      <c r="P884">
        <v>29251</v>
      </c>
      <c r="Q884" t="s">
        <v>19</v>
      </c>
      <c r="R884">
        <v>42163</v>
      </c>
      <c r="S884" t="str">
        <f>VLOOKUP(L884&amp;TEXT(I884,"mmmm")&amp;YEAR(I884),'[1]Detalle C-Fecha'!$D$2:$E$15921,2,FALSE)</f>
        <v>CMQ_TTE - QUILMES TTE</v>
      </c>
    </row>
    <row r="885" spans="1:19" x14ac:dyDescent="0.3">
      <c r="A885">
        <v>34532</v>
      </c>
      <c r="B885" t="s">
        <v>28</v>
      </c>
      <c r="C885" t="s">
        <v>15</v>
      </c>
      <c r="D885" t="s">
        <v>16</v>
      </c>
      <c r="E885" t="s">
        <v>111</v>
      </c>
      <c r="F885" s="6" t="str">
        <f t="shared" si="13"/>
        <v>6MC</v>
      </c>
      <c r="G885" s="11">
        <v>46162</v>
      </c>
      <c r="H885" s="12">
        <v>0.83472222222222225</v>
      </c>
      <c r="I885" s="11">
        <v>46162</v>
      </c>
      <c r="J885" s="1">
        <v>46162</v>
      </c>
      <c r="K885" s="1">
        <v>46163</v>
      </c>
      <c r="L885" t="s">
        <v>238</v>
      </c>
      <c r="M885" t="s">
        <v>155</v>
      </c>
      <c r="N885" t="s">
        <v>208</v>
      </c>
      <c r="O885" t="s">
        <v>18</v>
      </c>
      <c r="P885">
        <v>29251</v>
      </c>
      <c r="Q885" t="s">
        <v>19</v>
      </c>
      <c r="R885">
        <v>42028</v>
      </c>
      <c r="S885" t="str">
        <f>VLOOKUP(L885&amp;TEXT(I885,"mmmm")&amp;YEAR(I885),'[1]Detalle C-Fecha'!$D$2:$E$15921,2,FALSE)</f>
        <v>CMQ_TTE - QUILMES TTE</v>
      </c>
    </row>
    <row r="886" spans="1:19" x14ac:dyDescent="0.3">
      <c r="A886">
        <v>34594</v>
      </c>
      <c r="B886" t="s">
        <v>28</v>
      </c>
      <c r="C886" t="s">
        <v>15</v>
      </c>
      <c r="D886" t="s">
        <v>16</v>
      </c>
      <c r="E886" t="s">
        <v>121</v>
      </c>
      <c r="F886" s="6" t="str">
        <f t="shared" si="13"/>
        <v>2MC</v>
      </c>
      <c r="G886" s="11">
        <v>46163</v>
      </c>
      <c r="H886" s="12">
        <v>0.84027777777777779</v>
      </c>
      <c r="I886" s="11">
        <v>46163</v>
      </c>
      <c r="J886" s="1">
        <v>46163</v>
      </c>
      <c r="K886" s="1">
        <v>46168</v>
      </c>
      <c r="L886" t="s">
        <v>239</v>
      </c>
      <c r="M886" t="s">
        <v>155</v>
      </c>
      <c r="N886" t="s">
        <v>208</v>
      </c>
      <c r="O886" t="s">
        <v>18</v>
      </c>
      <c r="P886">
        <v>29271</v>
      </c>
      <c r="Q886" t="s">
        <v>19</v>
      </c>
      <c r="R886">
        <v>42656</v>
      </c>
      <c r="S886" t="str">
        <f>VLOOKUP(L886&amp;TEXT(I886,"mmmm")&amp;YEAR(I886),'[1]Detalle C-Fecha'!$D$2:$E$15921,2,FALSE)</f>
        <v>CMQ_TTE - QUILMES TTE</v>
      </c>
    </row>
    <row r="887" spans="1:19" x14ac:dyDescent="0.3">
      <c r="A887">
        <v>34594</v>
      </c>
      <c r="B887" t="s">
        <v>28</v>
      </c>
      <c r="C887" t="s">
        <v>15</v>
      </c>
      <c r="D887" t="s">
        <v>16</v>
      </c>
      <c r="E887" t="s">
        <v>121</v>
      </c>
      <c r="F887" s="6" t="str">
        <f t="shared" si="13"/>
        <v>2MC</v>
      </c>
      <c r="G887" s="11">
        <v>46163</v>
      </c>
      <c r="H887" s="12">
        <v>0.84027777777777779</v>
      </c>
      <c r="I887" s="11">
        <v>46163</v>
      </c>
      <c r="J887" s="1">
        <v>46163</v>
      </c>
      <c r="K887" s="1">
        <v>46168</v>
      </c>
      <c r="L887" t="s">
        <v>239</v>
      </c>
      <c r="M887" t="s">
        <v>155</v>
      </c>
      <c r="N887" t="s">
        <v>208</v>
      </c>
      <c r="O887" t="s">
        <v>18</v>
      </c>
      <c r="P887">
        <v>29271</v>
      </c>
      <c r="Q887" t="s">
        <v>19</v>
      </c>
      <c r="R887">
        <v>42916</v>
      </c>
      <c r="S887" t="str">
        <f>VLOOKUP(L887&amp;TEXT(I887,"mmmm")&amp;YEAR(I887),'[1]Detalle C-Fecha'!$D$2:$E$15921,2,FALSE)</f>
        <v>CMQ_TTE - QUILMES TTE</v>
      </c>
    </row>
    <row r="888" spans="1:19" x14ac:dyDescent="0.3">
      <c r="A888">
        <v>34595</v>
      </c>
      <c r="B888" t="s">
        <v>28</v>
      </c>
      <c r="C888" t="s">
        <v>15</v>
      </c>
      <c r="D888" t="s">
        <v>16</v>
      </c>
      <c r="E888" t="s">
        <v>53</v>
      </c>
      <c r="F888" s="6" t="str">
        <f t="shared" si="13"/>
        <v>3MC</v>
      </c>
      <c r="G888" s="11">
        <v>46163</v>
      </c>
      <c r="H888" s="12">
        <v>0.84027777777777779</v>
      </c>
      <c r="I888" s="11">
        <v>46163</v>
      </c>
      <c r="J888" s="1">
        <v>46163</v>
      </c>
      <c r="K888" s="1">
        <v>46168</v>
      </c>
      <c r="L888" t="s">
        <v>239</v>
      </c>
      <c r="M888" t="s">
        <v>155</v>
      </c>
      <c r="N888" t="s">
        <v>208</v>
      </c>
      <c r="O888" t="s">
        <v>18</v>
      </c>
      <c r="P888">
        <v>29272</v>
      </c>
      <c r="Q888" t="s">
        <v>19</v>
      </c>
      <c r="R888">
        <v>42657</v>
      </c>
      <c r="S888" t="str">
        <f>VLOOKUP(L888&amp;TEXT(I888,"mmmm")&amp;YEAR(I888),'[1]Detalle C-Fecha'!$D$2:$E$15921,2,FALSE)</f>
        <v>CMQ_TTE - QUILMES TTE</v>
      </c>
    </row>
    <row r="889" spans="1:19" x14ac:dyDescent="0.3">
      <c r="A889">
        <v>34595</v>
      </c>
      <c r="B889" t="s">
        <v>28</v>
      </c>
      <c r="C889" t="s">
        <v>15</v>
      </c>
      <c r="D889" t="s">
        <v>16</v>
      </c>
      <c r="E889" t="s">
        <v>53</v>
      </c>
      <c r="F889" s="6" t="str">
        <f t="shared" si="13"/>
        <v>3MC</v>
      </c>
      <c r="G889" s="11">
        <v>46163</v>
      </c>
      <c r="H889" s="12">
        <v>0.84027777777777779</v>
      </c>
      <c r="I889" s="11">
        <v>46163</v>
      </c>
      <c r="J889" s="1">
        <v>46163</v>
      </c>
      <c r="K889" s="1">
        <v>46168</v>
      </c>
      <c r="L889" t="s">
        <v>239</v>
      </c>
      <c r="M889" t="s">
        <v>155</v>
      </c>
      <c r="N889" t="s">
        <v>208</v>
      </c>
      <c r="O889" t="s">
        <v>18</v>
      </c>
      <c r="P889">
        <v>29272</v>
      </c>
      <c r="Q889" t="s">
        <v>19</v>
      </c>
      <c r="R889">
        <v>42917</v>
      </c>
      <c r="S889" t="str">
        <f>VLOOKUP(L889&amp;TEXT(I889,"mmmm")&amp;YEAR(I889),'[1]Detalle C-Fecha'!$D$2:$E$15921,2,FALSE)</f>
        <v>CMQ_TTE - QUILMES TTE</v>
      </c>
    </row>
    <row r="890" spans="1:19" x14ac:dyDescent="0.3">
      <c r="A890">
        <v>34596</v>
      </c>
      <c r="B890" t="s">
        <v>28</v>
      </c>
      <c r="C890" t="s">
        <v>15</v>
      </c>
      <c r="D890" t="s">
        <v>16</v>
      </c>
      <c r="E890" t="s">
        <v>111</v>
      </c>
      <c r="F890" s="6" t="str">
        <f t="shared" si="13"/>
        <v>6MC</v>
      </c>
      <c r="G890" s="11">
        <v>46163</v>
      </c>
      <c r="H890" s="12">
        <v>0.84027777777777779</v>
      </c>
      <c r="I890" s="11">
        <v>46163</v>
      </c>
      <c r="J890" s="1">
        <v>46163</v>
      </c>
      <c r="K890" s="1">
        <v>46168</v>
      </c>
      <c r="L890" t="s">
        <v>239</v>
      </c>
      <c r="M890" t="s">
        <v>155</v>
      </c>
      <c r="N890" t="s">
        <v>208</v>
      </c>
      <c r="O890" t="s">
        <v>18</v>
      </c>
      <c r="P890">
        <v>29273</v>
      </c>
      <c r="Q890" t="s">
        <v>19</v>
      </c>
      <c r="R890">
        <v>42658</v>
      </c>
      <c r="S890" t="str">
        <f>VLOOKUP(L890&amp;TEXT(I890,"mmmm")&amp;YEAR(I890),'[1]Detalle C-Fecha'!$D$2:$E$15921,2,FALSE)</f>
        <v>CMQ_TTE - QUILMES TTE</v>
      </c>
    </row>
    <row r="891" spans="1:19" x14ac:dyDescent="0.3">
      <c r="A891">
        <v>34596</v>
      </c>
      <c r="B891" t="s">
        <v>28</v>
      </c>
      <c r="C891" t="s">
        <v>15</v>
      </c>
      <c r="D891" t="s">
        <v>16</v>
      </c>
      <c r="E891" t="s">
        <v>111</v>
      </c>
      <c r="F891" s="6" t="str">
        <f t="shared" si="13"/>
        <v>6MC</v>
      </c>
      <c r="G891" s="11">
        <v>46163</v>
      </c>
      <c r="H891" s="12">
        <v>0.84027777777777779</v>
      </c>
      <c r="I891" s="11">
        <v>46163</v>
      </c>
      <c r="J891" s="1">
        <v>46163</v>
      </c>
      <c r="K891" s="1">
        <v>46168</v>
      </c>
      <c r="L891" t="s">
        <v>239</v>
      </c>
      <c r="M891" t="s">
        <v>155</v>
      </c>
      <c r="N891" t="s">
        <v>208</v>
      </c>
      <c r="O891" t="s">
        <v>18</v>
      </c>
      <c r="P891">
        <v>29273</v>
      </c>
      <c r="Q891" t="s">
        <v>19</v>
      </c>
      <c r="R891">
        <v>42918</v>
      </c>
      <c r="S891" t="str">
        <f>VLOOKUP(L891&amp;TEXT(I891,"mmmm")&amp;YEAR(I891),'[1]Detalle C-Fecha'!$D$2:$E$15921,2,FALSE)</f>
        <v>CMQ_TTE - QUILMES TTE</v>
      </c>
    </row>
    <row r="892" spans="1:19" x14ac:dyDescent="0.3">
      <c r="A892">
        <v>34603</v>
      </c>
      <c r="B892" t="s">
        <v>28</v>
      </c>
      <c r="C892" t="s">
        <v>15</v>
      </c>
      <c r="D892" t="s">
        <v>16</v>
      </c>
      <c r="E892" t="s">
        <v>35</v>
      </c>
      <c r="F892" s="6" t="str">
        <f t="shared" si="13"/>
        <v>2ML</v>
      </c>
      <c r="G892" s="11">
        <v>46164</v>
      </c>
      <c r="H892" s="12">
        <v>0.43611111111111112</v>
      </c>
      <c r="I892" s="11">
        <v>46162</v>
      </c>
      <c r="J892" s="1">
        <v>46162</v>
      </c>
      <c r="K892" s="1">
        <v>46162</v>
      </c>
      <c r="L892" t="s">
        <v>79</v>
      </c>
      <c r="M892" t="s">
        <v>146</v>
      </c>
      <c r="N892" t="s">
        <v>17</v>
      </c>
      <c r="O892" t="s">
        <v>24</v>
      </c>
      <c r="P892">
        <v>29279</v>
      </c>
      <c r="Q892" t="s">
        <v>19</v>
      </c>
      <c r="R892">
        <v>42340</v>
      </c>
      <c r="S892" t="str">
        <f>VLOOKUP(L892&amp;TEXT(I892,"mmmm")&amp;YEAR(I892),'[1]Detalle C-Fecha'!$D$2:$E$15921,2,FALSE)</f>
        <v>CENCOMLD - Cencosud SA - Mendoza</v>
      </c>
    </row>
    <row r="893" spans="1:19" x14ac:dyDescent="0.3">
      <c r="A893">
        <v>34603</v>
      </c>
      <c r="B893" t="s">
        <v>28</v>
      </c>
      <c r="C893" t="s">
        <v>15</v>
      </c>
      <c r="D893" t="s">
        <v>16</v>
      </c>
      <c r="E893" t="s">
        <v>35</v>
      </c>
      <c r="F893" s="6" t="str">
        <f t="shared" si="13"/>
        <v>2ML</v>
      </c>
      <c r="G893" s="11">
        <v>46164</v>
      </c>
      <c r="H893" s="12">
        <v>0.43611111111111112</v>
      </c>
      <c r="I893" s="11">
        <v>46162</v>
      </c>
      <c r="J893" s="1">
        <v>46162</v>
      </c>
      <c r="K893" s="1">
        <v>46162</v>
      </c>
      <c r="L893" t="s">
        <v>79</v>
      </c>
      <c r="M893" t="s">
        <v>146</v>
      </c>
      <c r="N893" t="s">
        <v>17</v>
      </c>
      <c r="O893" t="s">
        <v>24</v>
      </c>
      <c r="P893">
        <v>29279</v>
      </c>
      <c r="Q893" t="s">
        <v>19</v>
      </c>
      <c r="R893">
        <v>42342</v>
      </c>
      <c r="S893" t="str">
        <f>VLOOKUP(L893&amp;TEXT(I893,"mmmm")&amp;YEAR(I893),'[1]Detalle C-Fecha'!$D$2:$E$15921,2,FALSE)</f>
        <v>CENCOMLD - Cencosud SA - Mendoza</v>
      </c>
    </row>
    <row r="894" spans="1:19" x14ac:dyDescent="0.3">
      <c r="A894">
        <v>34646</v>
      </c>
      <c r="B894" t="s">
        <v>28</v>
      </c>
      <c r="C894" t="s">
        <v>15</v>
      </c>
      <c r="D894" t="s">
        <v>16</v>
      </c>
      <c r="E894" t="s">
        <v>35</v>
      </c>
      <c r="F894" s="6" t="str">
        <f t="shared" si="13"/>
        <v>2ML</v>
      </c>
      <c r="G894" s="11">
        <v>46164</v>
      </c>
      <c r="H894" s="12">
        <v>0.6020833333333333</v>
      </c>
      <c r="I894" s="11">
        <v>46155</v>
      </c>
      <c r="J894" s="1">
        <v>46155</v>
      </c>
      <c r="K894" s="1">
        <v>46155</v>
      </c>
      <c r="L894" t="s">
        <v>240</v>
      </c>
      <c r="M894" t="s">
        <v>142</v>
      </c>
      <c r="N894" t="s">
        <v>31</v>
      </c>
      <c r="O894" t="s">
        <v>25</v>
      </c>
      <c r="P894">
        <v>29312</v>
      </c>
      <c r="Q894" t="s">
        <v>19</v>
      </c>
      <c r="R894">
        <v>42332</v>
      </c>
      <c r="S894" t="str">
        <f>VLOOKUP(L894&amp;TEXT(I894,"mmmm")&amp;YEAR(I894),'[1]Detalle C-Fecha'!$D$2:$E$15921,2,FALSE)</f>
        <v>Expreso - Servicios Troncales</v>
      </c>
    </row>
    <row r="895" spans="1:19" x14ac:dyDescent="0.3">
      <c r="A895">
        <v>34646</v>
      </c>
      <c r="B895" t="s">
        <v>28</v>
      </c>
      <c r="C895" t="s">
        <v>15</v>
      </c>
      <c r="D895" t="s">
        <v>16</v>
      </c>
      <c r="E895" t="s">
        <v>35</v>
      </c>
      <c r="F895" s="6" t="str">
        <f t="shared" ref="F895:F958" si="14">MID(E895,1,3)</f>
        <v>2ML</v>
      </c>
      <c r="G895" s="11">
        <v>46164</v>
      </c>
      <c r="H895" s="12">
        <v>0.6020833333333333</v>
      </c>
      <c r="I895" s="11">
        <v>46155</v>
      </c>
      <c r="J895" s="1">
        <v>46155</v>
      </c>
      <c r="K895" s="1">
        <v>46155</v>
      </c>
      <c r="L895" t="s">
        <v>240</v>
      </c>
      <c r="M895" t="s">
        <v>142</v>
      </c>
      <c r="N895" t="s">
        <v>31</v>
      </c>
      <c r="O895" t="s">
        <v>25</v>
      </c>
      <c r="P895">
        <v>29312</v>
      </c>
      <c r="Q895" t="s">
        <v>19</v>
      </c>
      <c r="R895">
        <v>42333</v>
      </c>
      <c r="S895" t="str">
        <f>VLOOKUP(L895&amp;TEXT(I895,"mmmm")&amp;YEAR(I895),'[1]Detalle C-Fecha'!$D$2:$E$15921,2,FALSE)</f>
        <v>Expreso - Servicios Troncales</v>
      </c>
    </row>
    <row r="896" spans="1:19" x14ac:dyDescent="0.3">
      <c r="A896">
        <v>34647</v>
      </c>
      <c r="B896" t="s">
        <v>28</v>
      </c>
      <c r="C896" t="s">
        <v>15</v>
      </c>
      <c r="D896" t="s">
        <v>16</v>
      </c>
      <c r="E896" t="s">
        <v>47</v>
      </c>
      <c r="F896" s="6" t="str">
        <f t="shared" si="14"/>
        <v>3ML</v>
      </c>
      <c r="G896" s="11">
        <v>46164</v>
      </c>
      <c r="H896" s="12">
        <v>0.6020833333333333</v>
      </c>
      <c r="I896" s="11">
        <v>46164</v>
      </c>
      <c r="J896" s="1">
        <v>46164</v>
      </c>
      <c r="K896" s="1">
        <v>46164</v>
      </c>
      <c r="L896" t="s">
        <v>240</v>
      </c>
      <c r="M896" t="s">
        <v>142</v>
      </c>
      <c r="N896" t="s">
        <v>31</v>
      </c>
      <c r="O896" t="s">
        <v>25</v>
      </c>
      <c r="P896">
        <v>29313</v>
      </c>
      <c r="Q896" t="s">
        <v>19</v>
      </c>
      <c r="R896">
        <v>42334</v>
      </c>
      <c r="S896" t="str">
        <f>VLOOKUP(L896&amp;TEXT(I896,"mmmm")&amp;YEAR(I896),'[1]Detalle C-Fecha'!$D$2:$E$15921,2,FALSE)</f>
        <v>Expreso - Servicios Troncales</v>
      </c>
    </row>
    <row r="897" spans="1:19" x14ac:dyDescent="0.3">
      <c r="A897">
        <v>34647</v>
      </c>
      <c r="B897" t="s">
        <v>28</v>
      </c>
      <c r="C897" t="s">
        <v>15</v>
      </c>
      <c r="D897" t="s">
        <v>16</v>
      </c>
      <c r="E897" t="s">
        <v>47</v>
      </c>
      <c r="F897" s="6" t="str">
        <f t="shared" si="14"/>
        <v>3ML</v>
      </c>
      <c r="G897" s="11">
        <v>46164</v>
      </c>
      <c r="H897" s="12">
        <v>0.6020833333333333</v>
      </c>
      <c r="I897" s="11">
        <v>46164</v>
      </c>
      <c r="J897" s="1">
        <v>46164</v>
      </c>
      <c r="K897" s="1">
        <v>46164</v>
      </c>
      <c r="L897" t="s">
        <v>240</v>
      </c>
      <c r="M897" t="s">
        <v>142</v>
      </c>
      <c r="N897" t="s">
        <v>31</v>
      </c>
      <c r="O897" t="s">
        <v>25</v>
      </c>
      <c r="P897">
        <v>29313</v>
      </c>
      <c r="Q897" t="s">
        <v>19</v>
      </c>
      <c r="R897">
        <v>42336</v>
      </c>
      <c r="S897" t="str">
        <f>VLOOKUP(L897&amp;TEXT(I897,"mmmm")&amp;YEAR(I897),'[1]Detalle C-Fecha'!$D$2:$E$15921,2,FALSE)</f>
        <v>Expreso - Servicios Troncales</v>
      </c>
    </row>
    <row r="898" spans="1:19" x14ac:dyDescent="0.3">
      <c r="A898">
        <v>34648</v>
      </c>
      <c r="B898" t="s">
        <v>28</v>
      </c>
      <c r="C898" t="s">
        <v>15</v>
      </c>
      <c r="D898" t="s">
        <v>16</v>
      </c>
      <c r="E898" t="s">
        <v>137</v>
      </c>
      <c r="F898" s="6" t="str">
        <f t="shared" si="14"/>
        <v>7ML</v>
      </c>
      <c r="G898" s="11">
        <v>46164</v>
      </c>
      <c r="H898" s="12">
        <v>0.6020833333333333</v>
      </c>
      <c r="I898" s="11">
        <v>46155</v>
      </c>
      <c r="J898" s="1">
        <v>46155</v>
      </c>
      <c r="K898" s="1">
        <v>46155</v>
      </c>
      <c r="L898" t="s">
        <v>240</v>
      </c>
      <c r="M898" t="s">
        <v>142</v>
      </c>
      <c r="N898" t="s">
        <v>31</v>
      </c>
      <c r="O898" t="s">
        <v>25</v>
      </c>
      <c r="P898">
        <v>29314</v>
      </c>
      <c r="Q898" t="s">
        <v>19</v>
      </c>
      <c r="R898">
        <v>42341</v>
      </c>
      <c r="S898" t="str">
        <f>VLOOKUP(L898&amp;TEXT(I898,"mmmm")&amp;YEAR(I898),'[1]Detalle C-Fecha'!$D$2:$E$15921,2,FALSE)</f>
        <v>Expreso - Servicios Troncales</v>
      </c>
    </row>
    <row r="899" spans="1:19" x14ac:dyDescent="0.3">
      <c r="A899">
        <v>34648</v>
      </c>
      <c r="B899" t="s">
        <v>28</v>
      </c>
      <c r="C899" t="s">
        <v>15</v>
      </c>
      <c r="D899" t="s">
        <v>16</v>
      </c>
      <c r="E899" t="s">
        <v>137</v>
      </c>
      <c r="F899" s="6" t="str">
        <f t="shared" si="14"/>
        <v>7ML</v>
      </c>
      <c r="G899" s="11">
        <v>46164</v>
      </c>
      <c r="H899" s="12">
        <v>0.6020833333333333</v>
      </c>
      <c r="I899" s="11">
        <v>46155</v>
      </c>
      <c r="J899" s="1">
        <v>46155</v>
      </c>
      <c r="K899" s="1">
        <v>46155</v>
      </c>
      <c r="L899" t="s">
        <v>240</v>
      </c>
      <c r="M899" t="s">
        <v>142</v>
      </c>
      <c r="N899" t="s">
        <v>31</v>
      </c>
      <c r="O899" t="s">
        <v>25</v>
      </c>
      <c r="P899">
        <v>29314</v>
      </c>
      <c r="Q899" t="s">
        <v>19</v>
      </c>
      <c r="R899">
        <v>42345</v>
      </c>
      <c r="S899" t="str">
        <f>VLOOKUP(L899&amp;TEXT(I899,"mmmm")&amp;YEAR(I899),'[1]Detalle C-Fecha'!$D$2:$E$15921,2,FALSE)</f>
        <v>Expreso - Servicios Troncales</v>
      </c>
    </row>
    <row r="900" spans="1:19" x14ac:dyDescent="0.3">
      <c r="A900">
        <v>34649</v>
      </c>
      <c r="B900" t="s">
        <v>28</v>
      </c>
      <c r="C900" t="s">
        <v>15</v>
      </c>
      <c r="D900" t="s">
        <v>16</v>
      </c>
      <c r="E900" t="s">
        <v>46</v>
      </c>
      <c r="F900" s="6" t="str">
        <f t="shared" si="14"/>
        <v>6ML</v>
      </c>
      <c r="G900" s="11">
        <v>46164</v>
      </c>
      <c r="H900" s="12">
        <v>0.6020833333333333</v>
      </c>
      <c r="I900" s="11">
        <v>46164</v>
      </c>
      <c r="J900" s="1">
        <v>46164</v>
      </c>
      <c r="K900" s="1">
        <v>46164</v>
      </c>
      <c r="L900" t="s">
        <v>240</v>
      </c>
      <c r="M900" t="s">
        <v>142</v>
      </c>
      <c r="N900" t="s">
        <v>31</v>
      </c>
      <c r="O900" t="s">
        <v>25</v>
      </c>
      <c r="P900">
        <v>29315</v>
      </c>
      <c r="Q900" t="s">
        <v>19</v>
      </c>
      <c r="R900">
        <v>42352</v>
      </c>
      <c r="S900" t="str">
        <f>VLOOKUP(L900&amp;TEXT(I900,"mmmm")&amp;YEAR(I900),'[1]Detalle C-Fecha'!$D$2:$E$15921,2,FALSE)</f>
        <v>Expreso - Servicios Troncales</v>
      </c>
    </row>
    <row r="901" spans="1:19" x14ac:dyDescent="0.3">
      <c r="A901">
        <v>34649</v>
      </c>
      <c r="B901" t="s">
        <v>28</v>
      </c>
      <c r="C901" t="s">
        <v>15</v>
      </c>
      <c r="D901" t="s">
        <v>16</v>
      </c>
      <c r="E901" t="s">
        <v>46</v>
      </c>
      <c r="F901" s="6" t="str">
        <f t="shared" si="14"/>
        <v>6ML</v>
      </c>
      <c r="G901" s="11">
        <v>46164</v>
      </c>
      <c r="H901" s="12">
        <v>0.6020833333333333</v>
      </c>
      <c r="I901" s="11">
        <v>46164</v>
      </c>
      <c r="J901" s="1">
        <v>46164</v>
      </c>
      <c r="K901" s="1">
        <v>46164</v>
      </c>
      <c r="L901" t="s">
        <v>240</v>
      </c>
      <c r="M901" t="s">
        <v>142</v>
      </c>
      <c r="N901" t="s">
        <v>31</v>
      </c>
      <c r="O901" t="s">
        <v>25</v>
      </c>
      <c r="P901">
        <v>29315</v>
      </c>
      <c r="Q901" t="s">
        <v>19</v>
      </c>
      <c r="R901">
        <v>42355</v>
      </c>
      <c r="S901" t="str">
        <f>VLOOKUP(L901&amp;TEXT(I901,"mmmm")&amp;YEAR(I901),'[1]Detalle C-Fecha'!$D$2:$E$15921,2,FALSE)</f>
        <v>Expreso - Servicios Troncales</v>
      </c>
    </row>
    <row r="902" spans="1:19" x14ac:dyDescent="0.3">
      <c r="A902">
        <v>34760</v>
      </c>
      <c r="B902" t="s">
        <v>28</v>
      </c>
      <c r="C902" t="s">
        <v>15</v>
      </c>
      <c r="D902" t="s">
        <v>16</v>
      </c>
      <c r="E902" t="s">
        <v>51</v>
      </c>
      <c r="F902" s="6" t="str">
        <f t="shared" si="14"/>
        <v>2MC</v>
      </c>
      <c r="G902" s="11">
        <v>46168</v>
      </c>
      <c r="H902" s="12">
        <v>0.42777777777777781</v>
      </c>
      <c r="I902" s="11">
        <v>46164</v>
      </c>
      <c r="J902" s="1">
        <v>46164</v>
      </c>
      <c r="K902" s="1">
        <v>46164</v>
      </c>
      <c r="L902" t="s">
        <v>241</v>
      </c>
      <c r="M902" t="s">
        <v>78</v>
      </c>
      <c r="N902" t="s">
        <v>17</v>
      </c>
      <c r="O902" t="s">
        <v>24</v>
      </c>
      <c r="P902">
        <v>29382</v>
      </c>
      <c r="Q902" t="s">
        <v>19</v>
      </c>
      <c r="R902">
        <v>42398</v>
      </c>
      <c r="S902" t="str">
        <f>VLOOKUP(L902&amp;TEXT(I902,"mmmm")&amp;YEAR(I902),'[1]Detalle C-Fecha'!$D$2:$E$15921,2,FALSE)</f>
        <v>CENCO_MZ - Cencosud SA - Mendoza</v>
      </c>
    </row>
    <row r="903" spans="1:19" x14ac:dyDescent="0.3">
      <c r="A903">
        <v>34760</v>
      </c>
      <c r="B903" t="s">
        <v>28</v>
      </c>
      <c r="C903" t="s">
        <v>15</v>
      </c>
      <c r="D903" t="s">
        <v>16</v>
      </c>
      <c r="E903" t="s">
        <v>51</v>
      </c>
      <c r="F903" s="6" t="str">
        <f t="shared" si="14"/>
        <v>2MC</v>
      </c>
      <c r="G903" s="11">
        <v>46168</v>
      </c>
      <c r="H903" s="12">
        <v>0.42777777777777781</v>
      </c>
      <c r="I903" s="11">
        <v>46164</v>
      </c>
      <c r="J903" s="1">
        <v>46164</v>
      </c>
      <c r="K903" s="1">
        <v>46164</v>
      </c>
      <c r="L903" t="s">
        <v>241</v>
      </c>
      <c r="M903" t="s">
        <v>78</v>
      </c>
      <c r="N903" t="s">
        <v>17</v>
      </c>
      <c r="O903" t="s">
        <v>24</v>
      </c>
      <c r="P903">
        <v>29382</v>
      </c>
      <c r="Q903" t="s">
        <v>19</v>
      </c>
      <c r="R903">
        <v>42399</v>
      </c>
      <c r="S903" t="str">
        <f>VLOOKUP(L903&amp;TEXT(I903,"mmmm")&amp;YEAR(I903),'[1]Detalle C-Fecha'!$D$2:$E$15921,2,FALSE)</f>
        <v>CENCO_MZ - Cencosud SA - Mendoza</v>
      </c>
    </row>
    <row r="904" spans="1:19" x14ac:dyDescent="0.3">
      <c r="A904">
        <v>34761</v>
      </c>
      <c r="B904" t="s">
        <v>28</v>
      </c>
      <c r="C904" t="s">
        <v>15</v>
      </c>
      <c r="D904" t="s">
        <v>16</v>
      </c>
      <c r="E904" t="s">
        <v>53</v>
      </c>
      <c r="F904" s="6" t="str">
        <f t="shared" si="14"/>
        <v>3MC</v>
      </c>
      <c r="G904" s="11">
        <v>46168</v>
      </c>
      <c r="H904" s="12">
        <v>0.42777777777777781</v>
      </c>
      <c r="I904" s="11">
        <v>46164</v>
      </c>
      <c r="J904" s="1">
        <v>46164</v>
      </c>
      <c r="K904" s="1">
        <v>46164</v>
      </c>
      <c r="L904" t="s">
        <v>241</v>
      </c>
      <c r="M904" t="s">
        <v>78</v>
      </c>
      <c r="N904" t="s">
        <v>17</v>
      </c>
      <c r="O904" t="s">
        <v>24</v>
      </c>
      <c r="P904">
        <v>29383</v>
      </c>
      <c r="Q904" t="s">
        <v>19</v>
      </c>
      <c r="R904">
        <v>42400</v>
      </c>
      <c r="S904" t="str">
        <f>VLOOKUP(L904&amp;TEXT(I904,"mmmm")&amp;YEAR(I904),'[1]Detalle C-Fecha'!$D$2:$E$15921,2,FALSE)</f>
        <v>CENCO_MZ - Cencosud SA - Mendoza</v>
      </c>
    </row>
    <row r="905" spans="1:19" x14ac:dyDescent="0.3">
      <c r="A905">
        <v>34761</v>
      </c>
      <c r="B905" t="s">
        <v>28</v>
      </c>
      <c r="C905" t="s">
        <v>15</v>
      </c>
      <c r="D905" t="s">
        <v>16</v>
      </c>
      <c r="E905" t="s">
        <v>53</v>
      </c>
      <c r="F905" s="6" t="str">
        <f t="shared" si="14"/>
        <v>3MC</v>
      </c>
      <c r="G905" s="11">
        <v>46168</v>
      </c>
      <c r="H905" s="12">
        <v>0.42777777777777781</v>
      </c>
      <c r="I905" s="11">
        <v>46164</v>
      </c>
      <c r="J905" s="1">
        <v>46164</v>
      </c>
      <c r="K905" s="1">
        <v>46164</v>
      </c>
      <c r="L905" t="s">
        <v>241</v>
      </c>
      <c r="M905" t="s">
        <v>78</v>
      </c>
      <c r="N905" t="s">
        <v>17</v>
      </c>
      <c r="O905" t="s">
        <v>24</v>
      </c>
      <c r="P905">
        <v>29383</v>
      </c>
      <c r="Q905" t="s">
        <v>19</v>
      </c>
      <c r="R905">
        <v>42401</v>
      </c>
      <c r="S905" t="str">
        <f>VLOOKUP(L905&amp;TEXT(I905,"mmmm")&amp;YEAR(I905),'[1]Detalle C-Fecha'!$D$2:$E$15921,2,FALSE)</f>
        <v>CENCO_MZ - Cencosud SA - Mendoza</v>
      </c>
    </row>
    <row r="906" spans="1:19" x14ac:dyDescent="0.3">
      <c r="A906">
        <v>34762</v>
      </c>
      <c r="B906" t="s">
        <v>28</v>
      </c>
      <c r="C906" t="s">
        <v>124</v>
      </c>
      <c r="D906" t="s">
        <v>23</v>
      </c>
      <c r="E906" t="s">
        <v>52</v>
      </c>
      <c r="F906" s="6" t="str">
        <f t="shared" si="14"/>
        <v>6MC</v>
      </c>
      <c r="G906" s="11">
        <v>46168</v>
      </c>
      <c r="H906" s="12">
        <v>0.42777777777777781</v>
      </c>
      <c r="I906" s="11">
        <v>46164</v>
      </c>
      <c r="L906" t="s">
        <v>241</v>
      </c>
      <c r="M906" t="s">
        <v>78</v>
      </c>
      <c r="N906" t="s">
        <v>17</v>
      </c>
      <c r="O906" t="s">
        <v>24</v>
      </c>
      <c r="P906">
        <v>29384</v>
      </c>
      <c r="Q906" t="s">
        <v>123</v>
      </c>
      <c r="S906" t="str">
        <f>VLOOKUP(L906&amp;TEXT(I906,"mmmm")&amp;YEAR(I906),'[1]Detalle C-Fecha'!$D$2:$E$15921,2,FALSE)</f>
        <v>CENCO_MZ - Cencosud SA - Mendoza</v>
      </c>
    </row>
    <row r="907" spans="1:19" x14ac:dyDescent="0.3">
      <c r="A907">
        <v>34763</v>
      </c>
      <c r="B907" t="s">
        <v>28</v>
      </c>
      <c r="C907" t="s">
        <v>15</v>
      </c>
      <c r="D907" t="s">
        <v>16</v>
      </c>
      <c r="E907" t="s">
        <v>51</v>
      </c>
      <c r="F907" s="6" t="str">
        <f t="shared" si="14"/>
        <v>2MC</v>
      </c>
      <c r="G907" s="11">
        <v>46168</v>
      </c>
      <c r="H907" s="12">
        <v>0.42777777777777781</v>
      </c>
      <c r="I907" s="11">
        <v>46164</v>
      </c>
      <c r="J907" s="1">
        <v>46164</v>
      </c>
      <c r="K907" s="1">
        <v>46164</v>
      </c>
      <c r="L907" t="s">
        <v>242</v>
      </c>
      <c r="M907" t="s">
        <v>78</v>
      </c>
      <c r="N907" t="s">
        <v>17</v>
      </c>
      <c r="O907" t="s">
        <v>24</v>
      </c>
      <c r="P907">
        <v>29385</v>
      </c>
      <c r="Q907" t="s">
        <v>19</v>
      </c>
      <c r="R907">
        <v>42402</v>
      </c>
      <c r="S907" t="str">
        <f>VLOOKUP(L907&amp;TEXT(I907,"mmmm")&amp;YEAR(I907),'[1]Detalle C-Fecha'!$D$2:$E$15921,2,FALSE)</f>
        <v>CENCO_MZ - Cencosud SA - Mendoza</v>
      </c>
    </row>
    <row r="908" spans="1:19" x14ac:dyDescent="0.3">
      <c r="A908">
        <v>34763</v>
      </c>
      <c r="B908" t="s">
        <v>28</v>
      </c>
      <c r="C908" t="s">
        <v>15</v>
      </c>
      <c r="D908" t="s">
        <v>16</v>
      </c>
      <c r="E908" t="s">
        <v>51</v>
      </c>
      <c r="F908" s="6" t="str">
        <f t="shared" si="14"/>
        <v>2MC</v>
      </c>
      <c r="G908" s="11">
        <v>46168</v>
      </c>
      <c r="H908" s="12">
        <v>0.42777777777777781</v>
      </c>
      <c r="I908" s="11">
        <v>46164</v>
      </c>
      <c r="J908" s="1">
        <v>46164</v>
      </c>
      <c r="K908" s="1">
        <v>46164</v>
      </c>
      <c r="L908" t="s">
        <v>242</v>
      </c>
      <c r="M908" t="s">
        <v>78</v>
      </c>
      <c r="N908" t="s">
        <v>17</v>
      </c>
      <c r="O908" t="s">
        <v>24</v>
      </c>
      <c r="P908">
        <v>29385</v>
      </c>
      <c r="Q908" t="s">
        <v>19</v>
      </c>
      <c r="R908">
        <v>42403</v>
      </c>
      <c r="S908" t="str">
        <f>VLOOKUP(L908&amp;TEXT(I908,"mmmm")&amp;YEAR(I908),'[1]Detalle C-Fecha'!$D$2:$E$15921,2,FALSE)</f>
        <v>CENCO_MZ - Cencosud SA - Mendoza</v>
      </c>
    </row>
    <row r="909" spans="1:19" x14ac:dyDescent="0.3">
      <c r="A909">
        <v>34764</v>
      </c>
      <c r="B909" t="s">
        <v>28</v>
      </c>
      <c r="C909" t="s">
        <v>124</v>
      </c>
      <c r="D909" t="s">
        <v>23</v>
      </c>
      <c r="E909" t="s">
        <v>53</v>
      </c>
      <c r="F909" s="6" t="str">
        <f t="shared" si="14"/>
        <v>3MC</v>
      </c>
      <c r="G909" s="11">
        <v>46168</v>
      </c>
      <c r="H909" s="12">
        <v>0.42777777777777781</v>
      </c>
      <c r="I909" s="11">
        <v>46164</v>
      </c>
      <c r="L909" t="s">
        <v>242</v>
      </c>
      <c r="M909" t="s">
        <v>78</v>
      </c>
      <c r="N909" t="s">
        <v>17</v>
      </c>
      <c r="O909" t="s">
        <v>24</v>
      </c>
      <c r="P909">
        <v>29386</v>
      </c>
      <c r="Q909" t="s">
        <v>123</v>
      </c>
      <c r="S909" t="str">
        <f>VLOOKUP(L909&amp;TEXT(I909,"mmmm")&amp;YEAR(I909),'[1]Detalle C-Fecha'!$D$2:$E$15921,2,FALSE)</f>
        <v>CENCO_MZ - Cencosud SA - Mendoza</v>
      </c>
    </row>
    <row r="910" spans="1:19" x14ac:dyDescent="0.3">
      <c r="A910">
        <v>34765</v>
      </c>
      <c r="B910" t="s">
        <v>28</v>
      </c>
      <c r="C910" t="s">
        <v>15</v>
      </c>
      <c r="D910" t="s">
        <v>16</v>
      </c>
      <c r="E910" t="s">
        <v>52</v>
      </c>
      <c r="F910" s="6" t="str">
        <f t="shared" si="14"/>
        <v>6MC</v>
      </c>
      <c r="G910" s="11">
        <v>46168</v>
      </c>
      <c r="H910" s="12">
        <v>0.42777777777777781</v>
      </c>
      <c r="I910" s="11">
        <v>46164</v>
      </c>
      <c r="J910" s="1">
        <v>46164</v>
      </c>
      <c r="K910" s="1">
        <v>46164</v>
      </c>
      <c r="L910" t="s">
        <v>242</v>
      </c>
      <c r="M910" t="s">
        <v>78</v>
      </c>
      <c r="N910" t="s">
        <v>17</v>
      </c>
      <c r="O910" t="s">
        <v>24</v>
      </c>
      <c r="P910">
        <v>29387</v>
      </c>
      <c r="Q910" t="s">
        <v>19</v>
      </c>
      <c r="R910">
        <v>42770</v>
      </c>
      <c r="S910" t="str">
        <f>VLOOKUP(L910&amp;TEXT(I910,"mmmm")&amp;YEAR(I910),'[1]Detalle C-Fecha'!$D$2:$E$15921,2,FALSE)</f>
        <v>CENCO_MZ - Cencosud SA - Mendoza</v>
      </c>
    </row>
    <row r="911" spans="1:19" x14ac:dyDescent="0.3">
      <c r="A911">
        <v>34765</v>
      </c>
      <c r="B911" t="s">
        <v>28</v>
      </c>
      <c r="C911" t="s">
        <v>15</v>
      </c>
      <c r="D911" t="s">
        <v>16</v>
      </c>
      <c r="E911" t="s">
        <v>52</v>
      </c>
      <c r="F911" s="6" t="str">
        <f t="shared" si="14"/>
        <v>6MC</v>
      </c>
      <c r="G911" s="11">
        <v>46168</v>
      </c>
      <c r="H911" s="12">
        <v>0.42777777777777781</v>
      </c>
      <c r="I911" s="11">
        <v>46164</v>
      </c>
      <c r="J911" s="1">
        <v>46164</v>
      </c>
      <c r="K911" s="1">
        <v>46164</v>
      </c>
      <c r="L911" t="s">
        <v>242</v>
      </c>
      <c r="M911" t="s">
        <v>78</v>
      </c>
      <c r="N911" t="s">
        <v>17</v>
      </c>
      <c r="O911" t="s">
        <v>24</v>
      </c>
      <c r="P911">
        <v>29387</v>
      </c>
      <c r="Q911" t="s">
        <v>19</v>
      </c>
      <c r="R911">
        <v>42776</v>
      </c>
      <c r="S911" t="str">
        <f>VLOOKUP(L911&amp;TEXT(I911,"mmmm")&amp;YEAR(I911),'[1]Detalle C-Fecha'!$D$2:$E$15921,2,FALSE)</f>
        <v>CENCO_MZ - Cencosud SA - Mendoza</v>
      </c>
    </row>
    <row r="912" spans="1:19" x14ac:dyDescent="0.3">
      <c r="A912">
        <v>34775</v>
      </c>
      <c r="B912" t="s">
        <v>28</v>
      </c>
      <c r="C912" t="s">
        <v>15</v>
      </c>
      <c r="D912" t="s">
        <v>16</v>
      </c>
      <c r="E912" t="s">
        <v>108</v>
      </c>
      <c r="F912" s="6" t="str">
        <f t="shared" si="14"/>
        <v>2MU</v>
      </c>
      <c r="G912" s="11">
        <v>46168</v>
      </c>
      <c r="H912" s="12">
        <v>0.45833333333333331</v>
      </c>
      <c r="I912" s="11">
        <v>46165</v>
      </c>
      <c r="J912" s="1">
        <v>46165</v>
      </c>
      <c r="K912" s="1">
        <v>46165</v>
      </c>
      <c r="L912" t="s">
        <v>243</v>
      </c>
      <c r="M912" t="s">
        <v>161</v>
      </c>
      <c r="N912" t="s">
        <v>17</v>
      </c>
      <c r="O912" t="s">
        <v>25</v>
      </c>
      <c r="P912">
        <v>29394</v>
      </c>
      <c r="Q912" t="s">
        <v>19</v>
      </c>
      <c r="R912">
        <v>42418</v>
      </c>
      <c r="S912" t="str">
        <f>VLOOKUP(L912&amp;TEXT(I912,"mmmm")&amp;YEAR(I912),'[1]Detalle C-Fecha'!$D$2:$E$15921,2,FALSE)</f>
        <v>SUC_MEN - Sucursal Mendoza</v>
      </c>
    </row>
    <row r="913" spans="1:19" x14ac:dyDescent="0.3">
      <c r="A913">
        <v>34775</v>
      </c>
      <c r="B913" t="s">
        <v>28</v>
      </c>
      <c r="C913" t="s">
        <v>15</v>
      </c>
      <c r="D913" t="s">
        <v>16</v>
      </c>
      <c r="E913" t="s">
        <v>108</v>
      </c>
      <c r="F913" s="6" t="str">
        <f t="shared" si="14"/>
        <v>2MU</v>
      </c>
      <c r="G913" s="11">
        <v>46168</v>
      </c>
      <c r="H913" s="12">
        <v>0.45833333333333331</v>
      </c>
      <c r="I913" s="11">
        <v>46165</v>
      </c>
      <c r="J913" s="1">
        <v>46165</v>
      </c>
      <c r="K913" s="1">
        <v>46165</v>
      </c>
      <c r="L913" t="s">
        <v>243</v>
      </c>
      <c r="M913" t="s">
        <v>161</v>
      </c>
      <c r="N913" t="s">
        <v>17</v>
      </c>
      <c r="O913" t="s">
        <v>25</v>
      </c>
      <c r="P913">
        <v>29394</v>
      </c>
      <c r="Q913" t="s">
        <v>19</v>
      </c>
      <c r="R913">
        <v>42419</v>
      </c>
      <c r="S913" t="str">
        <f>VLOOKUP(L913&amp;TEXT(I913,"mmmm")&amp;YEAR(I913),'[1]Detalle C-Fecha'!$D$2:$E$15921,2,FALSE)</f>
        <v>SUC_MEN - Sucursal Mendoza</v>
      </c>
    </row>
    <row r="914" spans="1:19" x14ac:dyDescent="0.3">
      <c r="A914">
        <v>34776</v>
      </c>
      <c r="B914" t="s">
        <v>28</v>
      </c>
      <c r="C914" t="s">
        <v>15</v>
      </c>
      <c r="D914" t="s">
        <v>16</v>
      </c>
      <c r="E914" t="s">
        <v>109</v>
      </c>
      <c r="F914" s="6" t="str">
        <f t="shared" si="14"/>
        <v>3MU</v>
      </c>
      <c r="G914" s="11">
        <v>46168</v>
      </c>
      <c r="H914" s="12">
        <v>0.45833333333333331</v>
      </c>
      <c r="I914" s="11">
        <v>46165</v>
      </c>
      <c r="J914" s="1">
        <v>46165</v>
      </c>
      <c r="K914" s="1">
        <v>46165</v>
      </c>
      <c r="L914" t="s">
        <v>243</v>
      </c>
      <c r="M914" t="s">
        <v>161</v>
      </c>
      <c r="N914" t="s">
        <v>17</v>
      </c>
      <c r="O914" t="s">
        <v>25</v>
      </c>
      <c r="P914">
        <v>29396</v>
      </c>
      <c r="Q914" t="s">
        <v>19</v>
      </c>
      <c r="R914">
        <v>42420</v>
      </c>
      <c r="S914" t="str">
        <f>VLOOKUP(L914&amp;TEXT(I914,"mmmm")&amp;YEAR(I914),'[1]Detalle C-Fecha'!$D$2:$E$15921,2,FALSE)</f>
        <v>SUC_MEN - Sucursal Mendoza</v>
      </c>
    </row>
    <row r="915" spans="1:19" x14ac:dyDescent="0.3">
      <c r="A915">
        <v>34776</v>
      </c>
      <c r="B915" t="s">
        <v>28</v>
      </c>
      <c r="C915" t="s">
        <v>15</v>
      </c>
      <c r="D915" t="s">
        <v>16</v>
      </c>
      <c r="E915" t="s">
        <v>109</v>
      </c>
      <c r="F915" s="6" t="str">
        <f t="shared" si="14"/>
        <v>3MU</v>
      </c>
      <c r="G915" s="11">
        <v>46168</v>
      </c>
      <c r="H915" s="12">
        <v>0.45833333333333331</v>
      </c>
      <c r="I915" s="11">
        <v>46165</v>
      </c>
      <c r="J915" s="1">
        <v>46165</v>
      </c>
      <c r="K915" s="1">
        <v>46165</v>
      </c>
      <c r="L915" t="s">
        <v>243</v>
      </c>
      <c r="M915" t="s">
        <v>161</v>
      </c>
      <c r="N915" t="s">
        <v>17</v>
      </c>
      <c r="O915" t="s">
        <v>25</v>
      </c>
      <c r="P915">
        <v>29396</v>
      </c>
      <c r="Q915" t="s">
        <v>19</v>
      </c>
      <c r="R915">
        <v>42421</v>
      </c>
      <c r="S915" t="str">
        <f>VLOOKUP(L915&amp;TEXT(I915,"mmmm")&amp;YEAR(I915),'[1]Detalle C-Fecha'!$D$2:$E$15921,2,FALSE)</f>
        <v>SUC_MEN - Sucursal Mendoza</v>
      </c>
    </row>
    <row r="916" spans="1:19" x14ac:dyDescent="0.3">
      <c r="A916">
        <v>34777</v>
      </c>
      <c r="B916" t="s">
        <v>28</v>
      </c>
      <c r="C916" t="s">
        <v>15</v>
      </c>
      <c r="D916" t="s">
        <v>16</v>
      </c>
      <c r="E916" t="s">
        <v>107</v>
      </c>
      <c r="F916" s="6" t="str">
        <f t="shared" si="14"/>
        <v>4MU</v>
      </c>
      <c r="G916" s="11">
        <v>46168</v>
      </c>
      <c r="H916" s="12">
        <v>0.45833333333333331</v>
      </c>
      <c r="I916" s="11">
        <v>46165</v>
      </c>
      <c r="J916" s="1">
        <v>46165</v>
      </c>
      <c r="K916" s="1">
        <v>46165</v>
      </c>
      <c r="L916" t="s">
        <v>243</v>
      </c>
      <c r="M916" t="s">
        <v>161</v>
      </c>
      <c r="N916" t="s">
        <v>17</v>
      </c>
      <c r="O916" t="s">
        <v>25</v>
      </c>
      <c r="P916">
        <v>29398</v>
      </c>
      <c r="Q916" t="s">
        <v>19</v>
      </c>
      <c r="R916">
        <v>42422</v>
      </c>
      <c r="S916" t="str">
        <f>VLOOKUP(L916&amp;TEXT(I916,"mmmm")&amp;YEAR(I916),'[1]Detalle C-Fecha'!$D$2:$E$15921,2,FALSE)</f>
        <v>SUC_MEN - Sucursal Mendoza</v>
      </c>
    </row>
    <row r="917" spans="1:19" x14ac:dyDescent="0.3">
      <c r="A917">
        <v>34777</v>
      </c>
      <c r="B917" t="s">
        <v>28</v>
      </c>
      <c r="C917" t="s">
        <v>15</v>
      </c>
      <c r="D917" t="s">
        <v>16</v>
      </c>
      <c r="E917" t="s">
        <v>107</v>
      </c>
      <c r="F917" s="6" t="str">
        <f t="shared" si="14"/>
        <v>4MU</v>
      </c>
      <c r="G917" s="11">
        <v>46168</v>
      </c>
      <c r="H917" s="12">
        <v>0.45833333333333331</v>
      </c>
      <c r="I917" s="11">
        <v>46165</v>
      </c>
      <c r="J917" s="1">
        <v>46165</v>
      </c>
      <c r="K917" s="1">
        <v>46165</v>
      </c>
      <c r="L917" t="s">
        <v>243</v>
      </c>
      <c r="M917" t="s">
        <v>161</v>
      </c>
      <c r="N917" t="s">
        <v>17</v>
      </c>
      <c r="O917" t="s">
        <v>25</v>
      </c>
      <c r="P917">
        <v>29398</v>
      </c>
      <c r="Q917" t="s">
        <v>19</v>
      </c>
      <c r="R917">
        <v>42423</v>
      </c>
      <c r="S917" t="str">
        <f>VLOOKUP(L917&amp;TEXT(I917,"mmmm")&amp;YEAR(I917),'[1]Detalle C-Fecha'!$D$2:$E$15921,2,FALSE)</f>
        <v>SUC_MEN - Sucursal Mendoza</v>
      </c>
    </row>
    <row r="918" spans="1:19" x14ac:dyDescent="0.3">
      <c r="A918">
        <v>34782</v>
      </c>
      <c r="B918" t="s">
        <v>28</v>
      </c>
      <c r="C918" t="s">
        <v>15</v>
      </c>
      <c r="D918" t="s">
        <v>16</v>
      </c>
      <c r="E918" t="s">
        <v>121</v>
      </c>
      <c r="F918" s="6" t="str">
        <f t="shared" si="14"/>
        <v>2MC</v>
      </c>
      <c r="G918" s="11">
        <v>46168</v>
      </c>
      <c r="H918" s="12">
        <v>0.46319444444444446</v>
      </c>
      <c r="I918" s="11">
        <v>46168</v>
      </c>
      <c r="J918" s="1">
        <v>46199</v>
      </c>
      <c r="K918" s="1">
        <v>46181</v>
      </c>
      <c r="L918" t="s">
        <v>244</v>
      </c>
      <c r="M918">
        <v>1624</v>
      </c>
      <c r="N918" t="s">
        <v>208</v>
      </c>
      <c r="O918" t="s">
        <v>25</v>
      </c>
      <c r="P918">
        <v>29401</v>
      </c>
      <c r="Q918" t="s">
        <v>123</v>
      </c>
      <c r="S918" t="str">
        <f>VLOOKUP(L918&amp;TEXT(I918,"mmmm")&amp;YEAR(I918),'[1]Detalle C-Fecha'!$D$2:$E$15921,2,FALSE)</f>
        <v>Expreso - Servicios Troncales</v>
      </c>
    </row>
    <row r="919" spans="1:19" x14ac:dyDescent="0.3">
      <c r="A919">
        <v>34782</v>
      </c>
      <c r="B919" t="s">
        <v>28</v>
      </c>
      <c r="C919" t="s">
        <v>15</v>
      </c>
      <c r="D919" t="s">
        <v>16</v>
      </c>
      <c r="E919" t="s">
        <v>121</v>
      </c>
      <c r="F919" s="6" t="str">
        <f t="shared" si="14"/>
        <v>2MC</v>
      </c>
      <c r="G919" s="11">
        <v>46168</v>
      </c>
      <c r="H919" s="12">
        <v>0.46319444444444446</v>
      </c>
      <c r="I919" s="11">
        <v>46168</v>
      </c>
      <c r="J919" s="1">
        <v>46199</v>
      </c>
      <c r="K919" s="1">
        <v>46181</v>
      </c>
      <c r="L919" t="s">
        <v>244</v>
      </c>
      <c r="M919">
        <v>1624</v>
      </c>
      <c r="N919" t="s">
        <v>208</v>
      </c>
      <c r="O919" t="s">
        <v>25</v>
      </c>
      <c r="P919">
        <v>29401</v>
      </c>
      <c r="Q919" t="s">
        <v>123</v>
      </c>
      <c r="R919">
        <v>43049</v>
      </c>
      <c r="S919" t="str">
        <f>VLOOKUP(L919&amp;TEXT(I919,"mmmm")&amp;YEAR(I919),'[1]Detalle C-Fecha'!$D$2:$E$15921,2,FALSE)</f>
        <v>Expreso - Servicios Troncales</v>
      </c>
    </row>
    <row r="920" spans="1:19" x14ac:dyDescent="0.3">
      <c r="A920">
        <v>34783</v>
      </c>
      <c r="B920" t="s">
        <v>28</v>
      </c>
      <c r="C920" t="s">
        <v>15</v>
      </c>
      <c r="D920" t="s">
        <v>16</v>
      </c>
      <c r="E920" t="s">
        <v>53</v>
      </c>
      <c r="F920" s="6" t="str">
        <f t="shared" si="14"/>
        <v>3MC</v>
      </c>
      <c r="G920" s="11">
        <v>46168</v>
      </c>
      <c r="H920" s="12">
        <v>0.46319444444444446</v>
      </c>
      <c r="I920" s="11">
        <v>46168</v>
      </c>
      <c r="J920" s="1">
        <v>46168</v>
      </c>
      <c r="K920" s="1">
        <v>46170</v>
      </c>
      <c r="L920" t="s">
        <v>244</v>
      </c>
      <c r="M920">
        <v>1624</v>
      </c>
      <c r="N920" t="s">
        <v>208</v>
      </c>
      <c r="O920" t="s">
        <v>25</v>
      </c>
      <c r="P920">
        <v>29402</v>
      </c>
      <c r="Q920" t="s">
        <v>123</v>
      </c>
      <c r="S920" t="str">
        <f>VLOOKUP(L920&amp;TEXT(I920,"mmmm")&amp;YEAR(I920),'[1]Detalle C-Fecha'!$D$2:$E$15921,2,FALSE)</f>
        <v>Expreso - Servicios Troncales</v>
      </c>
    </row>
    <row r="921" spans="1:19" x14ac:dyDescent="0.3">
      <c r="A921">
        <v>34783</v>
      </c>
      <c r="B921" t="s">
        <v>28</v>
      </c>
      <c r="C921" t="s">
        <v>15</v>
      </c>
      <c r="D921" t="s">
        <v>16</v>
      </c>
      <c r="E921" t="s">
        <v>53</v>
      </c>
      <c r="F921" s="6" t="str">
        <f t="shared" si="14"/>
        <v>3MC</v>
      </c>
      <c r="G921" s="11">
        <v>46168</v>
      </c>
      <c r="H921" s="12">
        <v>0.46319444444444446</v>
      </c>
      <c r="I921" s="11">
        <v>46168</v>
      </c>
      <c r="J921" s="1">
        <v>46168</v>
      </c>
      <c r="K921" s="1">
        <v>46170</v>
      </c>
      <c r="L921" t="s">
        <v>244</v>
      </c>
      <c r="M921">
        <v>1624</v>
      </c>
      <c r="N921" t="s">
        <v>208</v>
      </c>
      <c r="O921" t="s">
        <v>25</v>
      </c>
      <c r="P921">
        <v>29402</v>
      </c>
      <c r="Q921" t="s">
        <v>123</v>
      </c>
      <c r="R921">
        <v>42782</v>
      </c>
      <c r="S921" t="str">
        <f>VLOOKUP(L921&amp;TEXT(I921,"mmmm")&amp;YEAR(I921),'[1]Detalle C-Fecha'!$D$2:$E$15921,2,FALSE)</f>
        <v>Expreso - Servicios Troncales</v>
      </c>
    </row>
    <row r="922" spans="1:19" x14ac:dyDescent="0.3">
      <c r="A922">
        <v>34784</v>
      </c>
      <c r="B922" t="s">
        <v>28</v>
      </c>
      <c r="C922" t="s">
        <v>15</v>
      </c>
      <c r="D922" t="s">
        <v>16</v>
      </c>
      <c r="E922" t="s">
        <v>111</v>
      </c>
      <c r="F922" s="6" t="str">
        <f t="shared" si="14"/>
        <v>6MC</v>
      </c>
      <c r="G922" s="11">
        <v>46168</v>
      </c>
      <c r="H922" s="12">
        <v>0.46388888888888885</v>
      </c>
      <c r="I922" s="11">
        <v>46168</v>
      </c>
      <c r="J922" s="1">
        <v>46175</v>
      </c>
      <c r="K922" s="1">
        <v>46175</v>
      </c>
      <c r="L922" t="s">
        <v>244</v>
      </c>
      <c r="M922">
        <v>1624</v>
      </c>
      <c r="N922" t="s">
        <v>208</v>
      </c>
      <c r="O922" t="s">
        <v>25</v>
      </c>
      <c r="P922">
        <v>29403</v>
      </c>
      <c r="Q922" t="s">
        <v>123</v>
      </c>
      <c r="S922" t="str">
        <f>VLOOKUP(L922&amp;TEXT(I922,"mmmm")&amp;YEAR(I922),'[1]Detalle C-Fecha'!$D$2:$E$15921,2,FALSE)</f>
        <v>Expreso - Servicios Troncales</v>
      </c>
    </row>
    <row r="923" spans="1:19" x14ac:dyDescent="0.3">
      <c r="A923">
        <v>34784</v>
      </c>
      <c r="B923" t="s">
        <v>28</v>
      </c>
      <c r="C923" t="s">
        <v>15</v>
      </c>
      <c r="D923" t="s">
        <v>16</v>
      </c>
      <c r="E923" t="s">
        <v>111</v>
      </c>
      <c r="F923" s="6" t="str">
        <f t="shared" si="14"/>
        <v>6MC</v>
      </c>
      <c r="G923" s="11">
        <v>46168</v>
      </c>
      <c r="H923" s="12">
        <v>0.46388888888888885</v>
      </c>
      <c r="I923" s="11">
        <v>46168</v>
      </c>
      <c r="J923" s="1">
        <v>46175</v>
      </c>
      <c r="K923" s="1">
        <v>46175</v>
      </c>
      <c r="L923" t="s">
        <v>244</v>
      </c>
      <c r="M923">
        <v>1624</v>
      </c>
      <c r="N923" t="s">
        <v>208</v>
      </c>
      <c r="O923" t="s">
        <v>25</v>
      </c>
      <c r="P923">
        <v>29403</v>
      </c>
      <c r="Q923" t="s">
        <v>123</v>
      </c>
      <c r="R923">
        <v>43061</v>
      </c>
      <c r="S923" t="str">
        <f>VLOOKUP(L923&amp;TEXT(I923,"mmmm")&amp;YEAR(I923),'[1]Detalle C-Fecha'!$D$2:$E$15921,2,FALSE)</f>
        <v>Expreso - Servicios Troncales</v>
      </c>
    </row>
    <row r="924" spans="1:19" x14ac:dyDescent="0.3">
      <c r="A924">
        <v>34787</v>
      </c>
      <c r="B924" t="s">
        <v>28</v>
      </c>
      <c r="C924" t="s">
        <v>15</v>
      </c>
      <c r="D924" t="s">
        <v>16</v>
      </c>
      <c r="E924" t="s">
        <v>35</v>
      </c>
      <c r="F924" s="6" t="str">
        <f t="shared" si="14"/>
        <v>2ML</v>
      </c>
      <c r="G924" s="11">
        <v>46168</v>
      </c>
      <c r="H924" s="12">
        <v>0.50277777777777777</v>
      </c>
      <c r="I924" s="11">
        <v>46168</v>
      </c>
      <c r="J924" s="1">
        <v>46168</v>
      </c>
      <c r="K924" s="1">
        <v>46168</v>
      </c>
      <c r="L924" t="s">
        <v>57</v>
      </c>
      <c r="M924" t="s">
        <v>126</v>
      </c>
      <c r="N924" t="s">
        <v>31</v>
      </c>
      <c r="O924" t="s">
        <v>25</v>
      </c>
      <c r="P924">
        <v>29406</v>
      </c>
      <c r="Q924" t="s">
        <v>19</v>
      </c>
      <c r="R924">
        <v>42384</v>
      </c>
      <c r="S924" t="str">
        <f>VLOOKUP(L924&amp;TEXT(I924,"mmmm")&amp;YEAR(I924),'[1]Detalle C-Fecha'!$D$2:$E$15921,2,FALSE)</f>
        <v>Expreso - Servicios Troncales</v>
      </c>
    </row>
    <row r="925" spans="1:19" x14ac:dyDescent="0.3">
      <c r="A925">
        <v>34787</v>
      </c>
      <c r="B925" t="s">
        <v>28</v>
      </c>
      <c r="C925" t="s">
        <v>15</v>
      </c>
      <c r="D925" t="s">
        <v>16</v>
      </c>
      <c r="E925" t="s">
        <v>35</v>
      </c>
      <c r="F925" s="6" t="str">
        <f t="shared" si="14"/>
        <v>2ML</v>
      </c>
      <c r="G925" s="11">
        <v>46168</v>
      </c>
      <c r="H925" s="12">
        <v>0.50277777777777777</v>
      </c>
      <c r="I925" s="11">
        <v>46168</v>
      </c>
      <c r="J925" s="1">
        <v>46168</v>
      </c>
      <c r="K925" s="1">
        <v>46168</v>
      </c>
      <c r="L925" t="s">
        <v>57</v>
      </c>
      <c r="M925" t="s">
        <v>126</v>
      </c>
      <c r="N925" t="s">
        <v>31</v>
      </c>
      <c r="O925" t="s">
        <v>25</v>
      </c>
      <c r="P925">
        <v>29406</v>
      </c>
      <c r="Q925" t="s">
        <v>19</v>
      </c>
      <c r="R925">
        <v>42385</v>
      </c>
      <c r="S925" t="str">
        <f>VLOOKUP(L925&amp;TEXT(I925,"mmmm")&amp;YEAR(I925),'[1]Detalle C-Fecha'!$D$2:$E$15921,2,FALSE)</f>
        <v>Expreso - Servicios Troncales</v>
      </c>
    </row>
    <row r="926" spans="1:19" x14ac:dyDescent="0.3">
      <c r="A926">
        <v>34788</v>
      </c>
      <c r="B926" t="s">
        <v>28</v>
      </c>
      <c r="C926" t="s">
        <v>15</v>
      </c>
      <c r="D926" t="s">
        <v>16</v>
      </c>
      <c r="E926" t="s">
        <v>47</v>
      </c>
      <c r="F926" s="6" t="str">
        <f t="shared" si="14"/>
        <v>3ML</v>
      </c>
      <c r="G926" s="11">
        <v>46168</v>
      </c>
      <c r="H926" s="12">
        <v>0.50277777777777777</v>
      </c>
      <c r="I926" s="11">
        <v>46168</v>
      </c>
      <c r="J926" s="1">
        <v>46168</v>
      </c>
      <c r="K926" s="1">
        <v>46168</v>
      </c>
      <c r="L926" t="s">
        <v>57</v>
      </c>
      <c r="M926" t="s">
        <v>126</v>
      </c>
      <c r="N926" t="s">
        <v>31</v>
      </c>
      <c r="O926" t="s">
        <v>25</v>
      </c>
      <c r="P926">
        <v>29407</v>
      </c>
      <c r="Q926" t="s">
        <v>19</v>
      </c>
      <c r="R926">
        <v>42386</v>
      </c>
      <c r="S926" t="str">
        <f>VLOOKUP(L926&amp;TEXT(I926,"mmmm")&amp;YEAR(I926),'[1]Detalle C-Fecha'!$D$2:$E$15921,2,FALSE)</f>
        <v>Expreso - Servicios Troncales</v>
      </c>
    </row>
    <row r="927" spans="1:19" x14ac:dyDescent="0.3">
      <c r="A927">
        <v>34788</v>
      </c>
      <c r="B927" t="s">
        <v>28</v>
      </c>
      <c r="C927" t="s">
        <v>15</v>
      </c>
      <c r="D927" t="s">
        <v>16</v>
      </c>
      <c r="E927" t="s">
        <v>47</v>
      </c>
      <c r="F927" s="6" t="str">
        <f t="shared" si="14"/>
        <v>3ML</v>
      </c>
      <c r="G927" s="11">
        <v>46168</v>
      </c>
      <c r="H927" s="12">
        <v>0.50277777777777777</v>
      </c>
      <c r="I927" s="11">
        <v>46168</v>
      </c>
      <c r="J927" s="1">
        <v>46168</v>
      </c>
      <c r="K927" s="1">
        <v>46168</v>
      </c>
      <c r="L927" t="s">
        <v>57</v>
      </c>
      <c r="M927" t="s">
        <v>126</v>
      </c>
      <c r="N927" t="s">
        <v>31</v>
      </c>
      <c r="O927" t="s">
        <v>25</v>
      </c>
      <c r="P927">
        <v>29407</v>
      </c>
      <c r="Q927" t="s">
        <v>19</v>
      </c>
      <c r="R927">
        <v>42388</v>
      </c>
      <c r="S927" t="str">
        <f>VLOOKUP(L927&amp;TEXT(I927,"mmmm")&amp;YEAR(I927),'[1]Detalle C-Fecha'!$D$2:$E$15921,2,FALSE)</f>
        <v>Expreso - Servicios Troncales</v>
      </c>
    </row>
    <row r="928" spans="1:19" x14ac:dyDescent="0.3">
      <c r="A928">
        <v>34789</v>
      </c>
      <c r="B928" t="s">
        <v>28</v>
      </c>
      <c r="C928" t="s">
        <v>15</v>
      </c>
      <c r="D928" t="s">
        <v>16</v>
      </c>
      <c r="E928" t="s">
        <v>46</v>
      </c>
      <c r="F928" s="6" t="str">
        <f t="shared" si="14"/>
        <v>6ML</v>
      </c>
      <c r="G928" s="11">
        <v>46168</v>
      </c>
      <c r="H928" s="12">
        <v>0.50277777777777777</v>
      </c>
      <c r="I928" s="11">
        <v>46168</v>
      </c>
      <c r="J928" s="1">
        <v>46168</v>
      </c>
      <c r="K928" s="1">
        <v>46168</v>
      </c>
      <c r="L928" t="s">
        <v>57</v>
      </c>
      <c r="M928" t="s">
        <v>126</v>
      </c>
      <c r="N928" t="s">
        <v>31</v>
      </c>
      <c r="O928" t="s">
        <v>25</v>
      </c>
      <c r="P928">
        <v>29408</v>
      </c>
      <c r="Q928" t="s">
        <v>19</v>
      </c>
      <c r="R928">
        <v>42387</v>
      </c>
      <c r="S928" t="str">
        <f>VLOOKUP(L928&amp;TEXT(I928,"mmmm")&amp;YEAR(I928),'[1]Detalle C-Fecha'!$D$2:$E$15921,2,FALSE)</f>
        <v>Expreso - Servicios Troncales</v>
      </c>
    </row>
    <row r="929" spans="1:19" x14ac:dyDescent="0.3">
      <c r="A929">
        <v>34789</v>
      </c>
      <c r="B929" t="s">
        <v>28</v>
      </c>
      <c r="C929" t="s">
        <v>15</v>
      </c>
      <c r="D929" t="s">
        <v>16</v>
      </c>
      <c r="E929" t="s">
        <v>46</v>
      </c>
      <c r="F929" s="6" t="str">
        <f t="shared" si="14"/>
        <v>6ML</v>
      </c>
      <c r="G929" s="11">
        <v>46168</v>
      </c>
      <c r="H929" s="12">
        <v>0.50277777777777777</v>
      </c>
      <c r="I929" s="11">
        <v>46168</v>
      </c>
      <c r="J929" s="1">
        <v>46168</v>
      </c>
      <c r="K929" s="1">
        <v>46168</v>
      </c>
      <c r="L929" t="s">
        <v>57</v>
      </c>
      <c r="M929" t="s">
        <v>126</v>
      </c>
      <c r="N929" t="s">
        <v>31</v>
      </c>
      <c r="O929" t="s">
        <v>25</v>
      </c>
      <c r="P929">
        <v>29408</v>
      </c>
      <c r="Q929" t="s">
        <v>19</v>
      </c>
      <c r="R929">
        <v>42389</v>
      </c>
      <c r="S929" t="str">
        <f>VLOOKUP(L929&amp;TEXT(I929,"mmmm")&amp;YEAR(I929),'[1]Detalle C-Fecha'!$D$2:$E$15921,2,FALSE)</f>
        <v>Expreso - Servicios Troncales</v>
      </c>
    </row>
    <row r="930" spans="1:19" x14ac:dyDescent="0.3">
      <c r="A930">
        <v>34790</v>
      </c>
      <c r="B930" t="s">
        <v>28</v>
      </c>
      <c r="C930" t="s">
        <v>15</v>
      </c>
      <c r="D930" t="s">
        <v>16</v>
      </c>
      <c r="E930" t="s">
        <v>137</v>
      </c>
      <c r="F930" s="6" t="str">
        <f t="shared" si="14"/>
        <v>7ML</v>
      </c>
      <c r="G930" s="11">
        <v>46168</v>
      </c>
      <c r="H930" s="12">
        <v>0.50277777777777777</v>
      </c>
      <c r="I930" s="11">
        <v>46168</v>
      </c>
      <c r="J930" s="1">
        <v>46168</v>
      </c>
      <c r="K930" s="1">
        <v>46168</v>
      </c>
      <c r="L930" t="s">
        <v>57</v>
      </c>
      <c r="M930" t="s">
        <v>126</v>
      </c>
      <c r="N930" t="s">
        <v>31</v>
      </c>
      <c r="O930" t="s">
        <v>25</v>
      </c>
      <c r="P930">
        <v>29409</v>
      </c>
      <c r="Q930" t="s">
        <v>19</v>
      </c>
      <c r="R930">
        <v>42390</v>
      </c>
      <c r="S930" t="str">
        <f>VLOOKUP(L930&amp;TEXT(I930,"mmmm")&amp;YEAR(I930),'[1]Detalle C-Fecha'!$D$2:$E$15921,2,FALSE)</f>
        <v>Expreso - Servicios Troncales</v>
      </c>
    </row>
    <row r="931" spans="1:19" x14ac:dyDescent="0.3">
      <c r="A931">
        <v>34790</v>
      </c>
      <c r="B931" t="s">
        <v>28</v>
      </c>
      <c r="C931" t="s">
        <v>15</v>
      </c>
      <c r="D931" t="s">
        <v>16</v>
      </c>
      <c r="E931" t="s">
        <v>137</v>
      </c>
      <c r="F931" s="6" t="str">
        <f t="shared" si="14"/>
        <v>7ML</v>
      </c>
      <c r="G931" s="11">
        <v>46168</v>
      </c>
      <c r="H931" s="12">
        <v>0.50277777777777777</v>
      </c>
      <c r="I931" s="11">
        <v>46168</v>
      </c>
      <c r="J931" s="1">
        <v>46168</v>
      </c>
      <c r="K931" s="1">
        <v>46168</v>
      </c>
      <c r="L931" t="s">
        <v>57</v>
      </c>
      <c r="M931" t="s">
        <v>126</v>
      </c>
      <c r="N931" t="s">
        <v>31</v>
      </c>
      <c r="O931" t="s">
        <v>25</v>
      </c>
      <c r="P931">
        <v>29409</v>
      </c>
      <c r="Q931" t="s">
        <v>19</v>
      </c>
      <c r="R931">
        <v>42391</v>
      </c>
      <c r="S931" t="str">
        <f>VLOOKUP(L931&amp;TEXT(I931,"mmmm")&amp;YEAR(I931),'[1]Detalle C-Fecha'!$D$2:$E$15921,2,FALSE)</f>
        <v>Expreso - Servicios Troncales</v>
      </c>
    </row>
    <row r="932" spans="1:19" x14ac:dyDescent="0.3">
      <c r="A932">
        <v>34794</v>
      </c>
      <c r="B932" t="s">
        <v>28</v>
      </c>
      <c r="C932" t="s">
        <v>15</v>
      </c>
      <c r="D932" t="s">
        <v>16</v>
      </c>
      <c r="E932" t="s">
        <v>51</v>
      </c>
      <c r="F932" s="6" t="str">
        <f t="shared" si="14"/>
        <v>2MC</v>
      </c>
      <c r="G932" s="11">
        <v>46168</v>
      </c>
      <c r="H932" s="12">
        <v>0.6118055555555556</v>
      </c>
      <c r="I932" s="11">
        <v>46144</v>
      </c>
      <c r="J932" s="1">
        <v>46144</v>
      </c>
      <c r="K932" s="1">
        <v>46144</v>
      </c>
      <c r="L932" t="s">
        <v>245</v>
      </c>
      <c r="M932" t="s">
        <v>163</v>
      </c>
      <c r="N932" t="s">
        <v>31</v>
      </c>
      <c r="O932" t="s">
        <v>24</v>
      </c>
      <c r="P932">
        <v>29414</v>
      </c>
      <c r="Q932" t="s">
        <v>19</v>
      </c>
      <c r="R932">
        <v>42393</v>
      </c>
      <c r="S932" t="str">
        <f>VLOOKUP(L932&amp;TEXT(I932,"mmmm")&amp;YEAR(I932),'[1]Detalle C-Fecha'!$D$2:$E$15921,2,FALSE)</f>
        <v>CENCOMLD - Cencosud SA - Mendoza</v>
      </c>
    </row>
    <row r="933" spans="1:19" x14ac:dyDescent="0.3">
      <c r="A933">
        <v>34794</v>
      </c>
      <c r="B933" t="s">
        <v>28</v>
      </c>
      <c r="C933" t="s">
        <v>15</v>
      </c>
      <c r="D933" t="s">
        <v>16</v>
      </c>
      <c r="E933" t="s">
        <v>51</v>
      </c>
      <c r="F933" s="6" t="str">
        <f t="shared" si="14"/>
        <v>2MC</v>
      </c>
      <c r="G933" s="11">
        <v>46168</v>
      </c>
      <c r="H933" s="12">
        <v>0.6118055555555556</v>
      </c>
      <c r="I933" s="11">
        <v>46144</v>
      </c>
      <c r="J933" s="1">
        <v>46144</v>
      </c>
      <c r="K933" s="1">
        <v>46144</v>
      </c>
      <c r="L933" t="s">
        <v>245</v>
      </c>
      <c r="M933" t="s">
        <v>163</v>
      </c>
      <c r="N933" t="s">
        <v>31</v>
      </c>
      <c r="O933" t="s">
        <v>24</v>
      </c>
      <c r="P933">
        <v>29414</v>
      </c>
      <c r="Q933" t="s">
        <v>19</v>
      </c>
      <c r="R933">
        <v>42395</v>
      </c>
      <c r="S933" t="str">
        <f>VLOOKUP(L933&amp;TEXT(I933,"mmmm")&amp;YEAR(I933),'[1]Detalle C-Fecha'!$D$2:$E$15921,2,FALSE)</f>
        <v>CENCOMLD - Cencosud SA - Mendoza</v>
      </c>
    </row>
    <row r="934" spans="1:19" x14ac:dyDescent="0.3">
      <c r="A934">
        <v>34795</v>
      </c>
      <c r="B934" t="s">
        <v>28</v>
      </c>
      <c r="C934" t="s">
        <v>15</v>
      </c>
      <c r="D934" t="s">
        <v>16</v>
      </c>
      <c r="E934" t="s">
        <v>53</v>
      </c>
      <c r="F934" s="6" t="str">
        <f t="shared" si="14"/>
        <v>3MC</v>
      </c>
      <c r="G934" s="11">
        <v>46168</v>
      </c>
      <c r="H934" s="12">
        <v>0.6118055555555556</v>
      </c>
      <c r="I934" s="11">
        <v>46168</v>
      </c>
      <c r="J934" s="1">
        <v>46168</v>
      </c>
      <c r="K934" s="1">
        <v>46168</v>
      </c>
      <c r="L934" t="s">
        <v>245</v>
      </c>
      <c r="M934" t="s">
        <v>163</v>
      </c>
      <c r="N934" t="s">
        <v>31</v>
      </c>
      <c r="O934" t="s">
        <v>24</v>
      </c>
      <c r="P934">
        <v>29413</v>
      </c>
      <c r="Q934" t="s">
        <v>19</v>
      </c>
      <c r="R934">
        <v>42392</v>
      </c>
      <c r="S934" t="str">
        <f>VLOOKUP(L934&amp;TEXT(I934,"mmmm")&amp;YEAR(I934),'[1]Detalle C-Fecha'!$D$2:$E$15921,2,FALSE)</f>
        <v>CENCOMLD - Cencosud SA - Mendoza</v>
      </c>
    </row>
    <row r="935" spans="1:19" x14ac:dyDescent="0.3">
      <c r="A935">
        <v>34795</v>
      </c>
      <c r="B935" t="s">
        <v>28</v>
      </c>
      <c r="C935" t="s">
        <v>15</v>
      </c>
      <c r="D935" t="s">
        <v>16</v>
      </c>
      <c r="E935" t="s">
        <v>53</v>
      </c>
      <c r="F935" s="6" t="str">
        <f t="shared" si="14"/>
        <v>3MC</v>
      </c>
      <c r="G935" s="11">
        <v>46168</v>
      </c>
      <c r="H935" s="12">
        <v>0.6118055555555556</v>
      </c>
      <c r="I935" s="11">
        <v>46168</v>
      </c>
      <c r="J935" s="1">
        <v>46168</v>
      </c>
      <c r="K935" s="1">
        <v>46168</v>
      </c>
      <c r="L935" t="s">
        <v>245</v>
      </c>
      <c r="M935" t="s">
        <v>163</v>
      </c>
      <c r="N935" t="s">
        <v>31</v>
      </c>
      <c r="O935" t="s">
        <v>24</v>
      </c>
      <c r="P935">
        <v>29413</v>
      </c>
      <c r="Q935" t="s">
        <v>19</v>
      </c>
      <c r="R935">
        <v>42394</v>
      </c>
      <c r="S935" t="str">
        <f>VLOOKUP(L935&amp;TEXT(I935,"mmmm")&amp;YEAR(I935),'[1]Detalle C-Fecha'!$D$2:$E$15921,2,FALSE)</f>
        <v>CENCOMLD - Cencosud SA - Mendoza</v>
      </c>
    </row>
    <row r="936" spans="1:19" x14ac:dyDescent="0.3">
      <c r="A936">
        <v>34804</v>
      </c>
      <c r="B936" t="s">
        <v>28</v>
      </c>
      <c r="C936" t="s">
        <v>15</v>
      </c>
      <c r="D936" t="s">
        <v>16</v>
      </c>
      <c r="E936" t="s">
        <v>113</v>
      </c>
      <c r="F936" s="6" t="str">
        <f t="shared" si="14"/>
        <v>2MC</v>
      </c>
      <c r="G936" s="11">
        <v>46168</v>
      </c>
      <c r="H936" s="12">
        <v>0.7055555555555556</v>
      </c>
      <c r="I936" s="11">
        <v>46168</v>
      </c>
      <c r="J936" s="1">
        <v>46168</v>
      </c>
      <c r="K936" s="1">
        <v>46170</v>
      </c>
      <c r="L936" t="s">
        <v>246</v>
      </c>
      <c r="M936" t="s">
        <v>128</v>
      </c>
      <c r="N936" t="s">
        <v>208</v>
      </c>
      <c r="O936" t="s">
        <v>18</v>
      </c>
      <c r="P936">
        <v>29422</v>
      </c>
      <c r="Q936" t="s">
        <v>123</v>
      </c>
      <c r="S936" t="str">
        <f>VLOOKUP(L936&amp;TEXT(I936,"mmmm")&amp;YEAR(I936),'[1]Detalle C-Fecha'!$D$2:$E$15921,2,FALSE)</f>
        <v>CMQ_TTE - QUILMES TTE</v>
      </c>
    </row>
    <row r="937" spans="1:19" x14ac:dyDescent="0.3">
      <c r="A937">
        <v>34804</v>
      </c>
      <c r="B937" t="s">
        <v>28</v>
      </c>
      <c r="C937" t="s">
        <v>15</v>
      </c>
      <c r="D937" t="s">
        <v>16</v>
      </c>
      <c r="E937" t="s">
        <v>113</v>
      </c>
      <c r="F937" s="6" t="str">
        <f t="shared" si="14"/>
        <v>2MC</v>
      </c>
      <c r="G937" s="11">
        <v>46168</v>
      </c>
      <c r="H937" s="12">
        <v>0.7055555555555556</v>
      </c>
      <c r="I937" s="11">
        <v>46168</v>
      </c>
      <c r="J937" s="1">
        <v>46168</v>
      </c>
      <c r="K937" s="1">
        <v>46170</v>
      </c>
      <c r="L937" t="s">
        <v>246</v>
      </c>
      <c r="M937" t="s">
        <v>128</v>
      </c>
      <c r="N937" t="s">
        <v>208</v>
      </c>
      <c r="O937" t="s">
        <v>18</v>
      </c>
      <c r="P937">
        <v>29422</v>
      </c>
      <c r="Q937" t="s">
        <v>123</v>
      </c>
      <c r="R937">
        <v>42783</v>
      </c>
      <c r="S937" t="str">
        <f>VLOOKUP(L937&amp;TEXT(I937,"mmmm")&amp;YEAR(I937),'[1]Detalle C-Fecha'!$D$2:$E$15921,2,FALSE)</f>
        <v>CMQ_TTE - QUILMES TTE</v>
      </c>
    </row>
    <row r="938" spans="1:19" x14ac:dyDescent="0.3">
      <c r="A938">
        <v>34805</v>
      </c>
      <c r="B938" t="s">
        <v>28</v>
      </c>
      <c r="C938" t="s">
        <v>15</v>
      </c>
      <c r="D938" t="s">
        <v>16</v>
      </c>
      <c r="E938" t="s">
        <v>122</v>
      </c>
      <c r="F938" s="6" t="str">
        <f t="shared" si="14"/>
        <v>3MC</v>
      </c>
      <c r="G938" s="11">
        <v>46168</v>
      </c>
      <c r="H938" s="12">
        <v>0.7055555555555556</v>
      </c>
      <c r="I938" s="11">
        <v>46168</v>
      </c>
      <c r="J938" s="1">
        <v>46168</v>
      </c>
      <c r="K938" s="1">
        <v>46170</v>
      </c>
      <c r="L938" t="s">
        <v>246</v>
      </c>
      <c r="M938" t="s">
        <v>128</v>
      </c>
      <c r="N938" t="s">
        <v>208</v>
      </c>
      <c r="O938" t="s">
        <v>18</v>
      </c>
      <c r="P938">
        <v>29421</v>
      </c>
      <c r="Q938" t="s">
        <v>123</v>
      </c>
      <c r="S938" t="str">
        <f>VLOOKUP(L938&amp;TEXT(I938,"mmmm")&amp;YEAR(I938),'[1]Detalle C-Fecha'!$D$2:$E$15921,2,FALSE)</f>
        <v>CMQ_TTE - QUILMES TTE</v>
      </c>
    </row>
    <row r="939" spans="1:19" x14ac:dyDescent="0.3">
      <c r="A939">
        <v>34805</v>
      </c>
      <c r="B939" t="s">
        <v>28</v>
      </c>
      <c r="C939" t="s">
        <v>15</v>
      </c>
      <c r="D939" t="s">
        <v>16</v>
      </c>
      <c r="E939" t="s">
        <v>122</v>
      </c>
      <c r="F939" s="6" t="str">
        <f t="shared" si="14"/>
        <v>3MC</v>
      </c>
      <c r="G939" s="11">
        <v>46168</v>
      </c>
      <c r="H939" s="12">
        <v>0.7055555555555556</v>
      </c>
      <c r="I939" s="11">
        <v>46168</v>
      </c>
      <c r="J939" s="1">
        <v>46168</v>
      </c>
      <c r="K939" s="1">
        <v>46170</v>
      </c>
      <c r="L939" t="s">
        <v>246</v>
      </c>
      <c r="M939" t="s">
        <v>128</v>
      </c>
      <c r="N939" t="s">
        <v>208</v>
      </c>
      <c r="O939" t="s">
        <v>18</v>
      </c>
      <c r="P939">
        <v>29421</v>
      </c>
      <c r="Q939" t="s">
        <v>123</v>
      </c>
      <c r="R939">
        <v>42785</v>
      </c>
      <c r="S939" t="str">
        <f>VLOOKUP(L939&amp;TEXT(I939,"mmmm")&amp;YEAR(I939),'[1]Detalle C-Fecha'!$D$2:$E$15921,2,FALSE)</f>
        <v>CMQ_TTE - QUILMES TTE</v>
      </c>
    </row>
    <row r="940" spans="1:19" x14ac:dyDescent="0.3">
      <c r="A940">
        <v>34806</v>
      </c>
      <c r="B940" t="s">
        <v>28</v>
      </c>
      <c r="C940" t="s">
        <v>15</v>
      </c>
      <c r="D940" t="s">
        <v>16</v>
      </c>
      <c r="E940" t="s">
        <v>114</v>
      </c>
      <c r="F940" s="6" t="str">
        <f t="shared" si="14"/>
        <v>6MC</v>
      </c>
      <c r="G940" s="11">
        <v>46168</v>
      </c>
      <c r="H940" s="12">
        <v>0.7055555555555556</v>
      </c>
      <c r="I940" s="11">
        <v>46168</v>
      </c>
      <c r="J940" s="1">
        <v>46168</v>
      </c>
      <c r="K940" s="1">
        <v>46170</v>
      </c>
      <c r="L940" t="s">
        <v>246</v>
      </c>
      <c r="M940" t="s">
        <v>128</v>
      </c>
      <c r="N940" t="s">
        <v>208</v>
      </c>
      <c r="O940" t="s">
        <v>18</v>
      </c>
      <c r="P940">
        <v>29420</v>
      </c>
      <c r="Q940" t="s">
        <v>123</v>
      </c>
      <c r="S940" t="str">
        <f>VLOOKUP(L940&amp;TEXT(I940,"mmmm")&amp;YEAR(I940),'[1]Detalle C-Fecha'!$D$2:$E$15921,2,FALSE)</f>
        <v>CMQ_TTE - QUILMES TTE</v>
      </c>
    </row>
    <row r="941" spans="1:19" x14ac:dyDescent="0.3">
      <c r="A941">
        <v>34806</v>
      </c>
      <c r="B941" t="s">
        <v>28</v>
      </c>
      <c r="C941" t="s">
        <v>15</v>
      </c>
      <c r="D941" t="s">
        <v>16</v>
      </c>
      <c r="E941" t="s">
        <v>114</v>
      </c>
      <c r="F941" s="6" t="str">
        <f t="shared" si="14"/>
        <v>6MC</v>
      </c>
      <c r="G941" s="11">
        <v>46168</v>
      </c>
      <c r="H941" s="12">
        <v>0.7055555555555556</v>
      </c>
      <c r="I941" s="11">
        <v>46168</v>
      </c>
      <c r="J941" s="1">
        <v>46168</v>
      </c>
      <c r="K941" s="1">
        <v>46170</v>
      </c>
      <c r="L941" t="s">
        <v>246</v>
      </c>
      <c r="M941" t="s">
        <v>128</v>
      </c>
      <c r="N941" t="s">
        <v>208</v>
      </c>
      <c r="O941" t="s">
        <v>18</v>
      </c>
      <c r="P941">
        <v>29420</v>
      </c>
      <c r="Q941" t="s">
        <v>123</v>
      </c>
      <c r="R941">
        <v>42799</v>
      </c>
      <c r="S941" t="str">
        <f>VLOOKUP(L941&amp;TEXT(I941,"mmmm")&amp;YEAR(I941),'[1]Detalle C-Fecha'!$D$2:$E$15921,2,FALSE)</f>
        <v>CMQ_TTE - QUILMES TTE</v>
      </c>
    </row>
    <row r="942" spans="1:19" x14ac:dyDescent="0.3">
      <c r="A942">
        <v>34817</v>
      </c>
      <c r="B942" t="s">
        <v>28</v>
      </c>
      <c r="C942" t="s">
        <v>15</v>
      </c>
      <c r="D942" t="s">
        <v>16</v>
      </c>
      <c r="E942" t="s">
        <v>51</v>
      </c>
      <c r="F942" s="6" t="str">
        <f t="shared" si="14"/>
        <v>2MC</v>
      </c>
      <c r="G942" s="11">
        <v>46169</v>
      </c>
      <c r="H942" s="12">
        <v>0.39513888888888887</v>
      </c>
      <c r="I942" s="11">
        <v>46168</v>
      </c>
      <c r="J942" s="1">
        <v>46168</v>
      </c>
      <c r="K942" s="1">
        <v>46168</v>
      </c>
      <c r="L942" t="s">
        <v>247</v>
      </c>
      <c r="M942">
        <v>1624</v>
      </c>
      <c r="N942" t="s">
        <v>17</v>
      </c>
      <c r="O942" t="s">
        <v>24</v>
      </c>
      <c r="P942">
        <v>29429</v>
      </c>
      <c r="Q942" t="s">
        <v>19</v>
      </c>
      <c r="R942">
        <v>42446</v>
      </c>
      <c r="S942" t="str">
        <f>VLOOKUP(L942&amp;TEXT(I942,"mmmm")&amp;YEAR(I942),'[1]Detalle C-Fecha'!$D$2:$E$15921,2,FALSE)</f>
        <v>CENCO_MZ - Cencosud SA - Mendoza</v>
      </c>
    </row>
    <row r="943" spans="1:19" x14ac:dyDescent="0.3">
      <c r="A943">
        <v>34817</v>
      </c>
      <c r="B943" t="s">
        <v>28</v>
      </c>
      <c r="C943" t="s">
        <v>15</v>
      </c>
      <c r="D943" t="s">
        <v>16</v>
      </c>
      <c r="E943" t="s">
        <v>51</v>
      </c>
      <c r="F943" s="6" t="str">
        <f t="shared" si="14"/>
        <v>2MC</v>
      </c>
      <c r="G943" s="11">
        <v>46169</v>
      </c>
      <c r="H943" s="12">
        <v>0.39513888888888887</v>
      </c>
      <c r="I943" s="11">
        <v>46168</v>
      </c>
      <c r="J943" s="1">
        <v>46168</v>
      </c>
      <c r="K943" s="1">
        <v>46168</v>
      </c>
      <c r="L943" t="s">
        <v>247</v>
      </c>
      <c r="M943">
        <v>1624</v>
      </c>
      <c r="N943" t="s">
        <v>17</v>
      </c>
      <c r="O943" t="s">
        <v>24</v>
      </c>
      <c r="P943">
        <v>29429</v>
      </c>
      <c r="Q943" t="s">
        <v>19</v>
      </c>
      <c r="R943">
        <v>42447</v>
      </c>
      <c r="S943" t="str">
        <f>VLOOKUP(L943&amp;TEXT(I943,"mmmm")&amp;YEAR(I943),'[1]Detalle C-Fecha'!$D$2:$E$15921,2,FALSE)</f>
        <v>CENCO_MZ - Cencosud SA - Mendoza</v>
      </c>
    </row>
    <row r="944" spans="1:19" x14ac:dyDescent="0.3">
      <c r="A944">
        <v>34818</v>
      </c>
      <c r="B944" t="s">
        <v>28</v>
      </c>
      <c r="C944" t="s">
        <v>15</v>
      </c>
      <c r="D944" t="s">
        <v>16</v>
      </c>
      <c r="E944" t="s">
        <v>53</v>
      </c>
      <c r="F944" s="6" t="str">
        <f t="shared" si="14"/>
        <v>3MC</v>
      </c>
      <c r="G944" s="11">
        <v>46169</v>
      </c>
      <c r="H944" s="12">
        <v>0.39513888888888887</v>
      </c>
      <c r="I944" s="11">
        <v>46168</v>
      </c>
      <c r="J944" s="1">
        <v>46168</v>
      </c>
      <c r="K944" s="1">
        <v>46168</v>
      </c>
      <c r="L944" t="s">
        <v>247</v>
      </c>
      <c r="M944">
        <v>1624</v>
      </c>
      <c r="N944" t="s">
        <v>17</v>
      </c>
      <c r="O944" t="s">
        <v>24</v>
      </c>
      <c r="P944">
        <v>29430</v>
      </c>
      <c r="Q944" t="s">
        <v>19</v>
      </c>
      <c r="R944">
        <v>42768</v>
      </c>
      <c r="S944" t="str">
        <f>VLOOKUP(L944&amp;TEXT(I944,"mmmm")&amp;YEAR(I944),'[1]Detalle C-Fecha'!$D$2:$E$15921,2,FALSE)</f>
        <v>CENCO_MZ - Cencosud SA - Mendoza</v>
      </c>
    </row>
    <row r="945" spans="1:19" x14ac:dyDescent="0.3">
      <c r="A945">
        <v>34818</v>
      </c>
      <c r="B945" t="s">
        <v>28</v>
      </c>
      <c r="C945" t="s">
        <v>15</v>
      </c>
      <c r="D945" t="s">
        <v>16</v>
      </c>
      <c r="E945" t="s">
        <v>53</v>
      </c>
      <c r="F945" s="6" t="str">
        <f t="shared" si="14"/>
        <v>3MC</v>
      </c>
      <c r="G945" s="11">
        <v>46169</v>
      </c>
      <c r="H945" s="12">
        <v>0.39513888888888887</v>
      </c>
      <c r="I945" s="11">
        <v>46168</v>
      </c>
      <c r="J945" s="1">
        <v>46168</v>
      </c>
      <c r="K945" s="1">
        <v>46168</v>
      </c>
      <c r="L945" t="s">
        <v>247</v>
      </c>
      <c r="M945">
        <v>1624</v>
      </c>
      <c r="N945" t="s">
        <v>17</v>
      </c>
      <c r="O945" t="s">
        <v>24</v>
      </c>
      <c r="P945">
        <v>29430</v>
      </c>
      <c r="Q945" t="s">
        <v>19</v>
      </c>
      <c r="R945">
        <v>42774</v>
      </c>
      <c r="S945" t="str">
        <f>VLOOKUP(L945&amp;TEXT(I945,"mmmm")&amp;YEAR(I945),'[1]Detalle C-Fecha'!$D$2:$E$15921,2,FALSE)</f>
        <v>CENCO_MZ - Cencosud SA - Mendoza</v>
      </c>
    </row>
    <row r="946" spans="1:19" x14ac:dyDescent="0.3">
      <c r="A946">
        <v>34819</v>
      </c>
      <c r="B946" t="s">
        <v>28</v>
      </c>
      <c r="C946" t="s">
        <v>15</v>
      </c>
      <c r="D946" t="s">
        <v>16</v>
      </c>
      <c r="E946" t="s">
        <v>52</v>
      </c>
      <c r="F946" s="6" t="str">
        <f t="shared" si="14"/>
        <v>6MC</v>
      </c>
      <c r="G946" s="11">
        <v>46169</v>
      </c>
      <c r="H946" s="12">
        <v>0.39513888888888887</v>
      </c>
      <c r="I946" s="11">
        <v>46168</v>
      </c>
      <c r="J946" s="1">
        <v>46168</v>
      </c>
      <c r="K946" s="1">
        <v>46168</v>
      </c>
      <c r="L946" t="s">
        <v>247</v>
      </c>
      <c r="M946">
        <v>1624</v>
      </c>
      <c r="N946" t="s">
        <v>17</v>
      </c>
      <c r="O946" t="s">
        <v>24</v>
      </c>
      <c r="P946">
        <v>29431</v>
      </c>
      <c r="Q946" t="s">
        <v>19</v>
      </c>
      <c r="R946">
        <v>42448</v>
      </c>
      <c r="S946" t="str">
        <f>VLOOKUP(L946&amp;TEXT(I946,"mmmm")&amp;YEAR(I946),'[1]Detalle C-Fecha'!$D$2:$E$15921,2,FALSE)</f>
        <v>CENCO_MZ - Cencosud SA - Mendoza</v>
      </c>
    </row>
    <row r="947" spans="1:19" x14ac:dyDescent="0.3">
      <c r="A947">
        <v>34819</v>
      </c>
      <c r="B947" t="s">
        <v>28</v>
      </c>
      <c r="C947" t="s">
        <v>15</v>
      </c>
      <c r="D947" t="s">
        <v>16</v>
      </c>
      <c r="E947" t="s">
        <v>52</v>
      </c>
      <c r="F947" s="6" t="str">
        <f t="shared" si="14"/>
        <v>6MC</v>
      </c>
      <c r="G947" s="11">
        <v>46169</v>
      </c>
      <c r="H947" s="12">
        <v>0.39513888888888887</v>
      </c>
      <c r="I947" s="11">
        <v>46168</v>
      </c>
      <c r="J947" s="1">
        <v>46168</v>
      </c>
      <c r="K947" s="1">
        <v>46168</v>
      </c>
      <c r="L947" t="s">
        <v>247</v>
      </c>
      <c r="M947">
        <v>1624</v>
      </c>
      <c r="N947" t="s">
        <v>17</v>
      </c>
      <c r="O947" t="s">
        <v>24</v>
      </c>
      <c r="P947">
        <v>29431</v>
      </c>
      <c r="Q947" t="s">
        <v>19</v>
      </c>
      <c r="R947">
        <v>42449</v>
      </c>
      <c r="S947" t="str">
        <f>VLOOKUP(L947&amp;TEXT(I947,"mmmm")&amp;YEAR(I947),'[1]Detalle C-Fecha'!$D$2:$E$15921,2,FALSE)</f>
        <v>CENCO_MZ - Cencosud SA - Mendoza</v>
      </c>
    </row>
    <row r="948" spans="1:19" x14ac:dyDescent="0.3">
      <c r="A948">
        <v>34821</v>
      </c>
      <c r="B948" t="s">
        <v>28</v>
      </c>
      <c r="C948" t="s">
        <v>15</v>
      </c>
      <c r="D948" t="s">
        <v>16</v>
      </c>
      <c r="E948" t="s">
        <v>51</v>
      </c>
      <c r="F948" s="6" t="str">
        <f t="shared" si="14"/>
        <v>2MC</v>
      </c>
      <c r="G948" s="11">
        <v>46169</v>
      </c>
      <c r="H948" s="12">
        <v>0.39513888888888887</v>
      </c>
      <c r="I948" s="11">
        <v>46168</v>
      </c>
      <c r="J948" s="1">
        <v>46168</v>
      </c>
      <c r="K948" s="1">
        <v>46168</v>
      </c>
      <c r="L948" t="s">
        <v>248</v>
      </c>
      <c r="M948" t="s">
        <v>163</v>
      </c>
      <c r="N948" t="s">
        <v>17</v>
      </c>
      <c r="O948" t="s">
        <v>24</v>
      </c>
      <c r="P948">
        <v>29433</v>
      </c>
      <c r="Q948" t="s">
        <v>19</v>
      </c>
      <c r="R948">
        <v>42450</v>
      </c>
      <c r="S948" t="str">
        <f>VLOOKUP(L948&amp;TEXT(I948,"mmmm")&amp;YEAR(I948),'[1]Detalle C-Fecha'!$D$2:$E$15921,2,FALSE)</f>
        <v>CENCO_MZ - Cencosud SA - Mendoza</v>
      </c>
    </row>
    <row r="949" spans="1:19" x14ac:dyDescent="0.3">
      <c r="A949">
        <v>34821</v>
      </c>
      <c r="B949" t="s">
        <v>28</v>
      </c>
      <c r="C949" t="s">
        <v>15</v>
      </c>
      <c r="D949" t="s">
        <v>16</v>
      </c>
      <c r="E949" t="s">
        <v>51</v>
      </c>
      <c r="F949" s="6" t="str">
        <f t="shared" si="14"/>
        <v>2MC</v>
      </c>
      <c r="G949" s="11">
        <v>46169</v>
      </c>
      <c r="H949" s="12">
        <v>0.39513888888888887</v>
      </c>
      <c r="I949" s="11">
        <v>46168</v>
      </c>
      <c r="J949" s="1">
        <v>46168</v>
      </c>
      <c r="K949" s="1">
        <v>46168</v>
      </c>
      <c r="L949" t="s">
        <v>248</v>
      </c>
      <c r="M949" t="s">
        <v>163</v>
      </c>
      <c r="N949" t="s">
        <v>17</v>
      </c>
      <c r="O949" t="s">
        <v>24</v>
      </c>
      <c r="P949">
        <v>29433</v>
      </c>
      <c r="Q949" t="s">
        <v>19</v>
      </c>
      <c r="R949">
        <v>42451</v>
      </c>
      <c r="S949" t="str">
        <f>VLOOKUP(L949&amp;TEXT(I949,"mmmm")&amp;YEAR(I949),'[1]Detalle C-Fecha'!$D$2:$E$15921,2,FALSE)</f>
        <v>CENCO_MZ - Cencosud SA - Mendoza</v>
      </c>
    </row>
    <row r="950" spans="1:19" x14ac:dyDescent="0.3">
      <c r="A950">
        <v>34822</v>
      </c>
      <c r="B950" t="s">
        <v>28</v>
      </c>
      <c r="C950" t="s">
        <v>15</v>
      </c>
      <c r="D950" t="s">
        <v>16</v>
      </c>
      <c r="E950" t="s">
        <v>53</v>
      </c>
      <c r="F950" s="6" t="str">
        <f t="shared" si="14"/>
        <v>3MC</v>
      </c>
      <c r="G950" s="11">
        <v>46169</v>
      </c>
      <c r="H950" s="12">
        <v>0.39513888888888887</v>
      </c>
      <c r="I950" s="11">
        <v>46168</v>
      </c>
      <c r="J950" s="1">
        <v>46168</v>
      </c>
      <c r="K950" s="1">
        <v>46168</v>
      </c>
      <c r="L950" t="s">
        <v>248</v>
      </c>
      <c r="M950" t="s">
        <v>163</v>
      </c>
      <c r="N950" t="s">
        <v>17</v>
      </c>
      <c r="O950" t="s">
        <v>24</v>
      </c>
      <c r="P950">
        <v>29434</v>
      </c>
      <c r="Q950" t="s">
        <v>19</v>
      </c>
      <c r="R950">
        <v>42452</v>
      </c>
      <c r="S950" t="str">
        <f>VLOOKUP(L950&amp;TEXT(I950,"mmmm")&amp;YEAR(I950),'[1]Detalle C-Fecha'!$D$2:$E$15921,2,FALSE)</f>
        <v>CENCO_MZ - Cencosud SA - Mendoza</v>
      </c>
    </row>
    <row r="951" spans="1:19" x14ac:dyDescent="0.3">
      <c r="A951">
        <v>34822</v>
      </c>
      <c r="B951" t="s">
        <v>28</v>
      </c>
      <c r="C951" t="s">
        <v>15</v>
      </c>
      <c r="D951" t="s">
        <v>16</v>
      </c>
      <c r="E951" t="s">
        <v>53</v>
      </c>
      <c r="F951" s="6" t="str">
        <f t="shared" si="14"/>
        <v>3MC</v>
      </c>
      <c r="G951" s="11">
        <v>46169</v>
      </c>
      <c r="H951" s="12">
        <v>0.39513888888888887</v>
      </c>
      <c r="I951" s="11">
        <v>46168</v>
      </c>
      <c r="J951" s="1">
        <v>46168</v>
      </c>
      <c r="K951" s="1">
        <v>46168</v>
      </c>
      <c r="L951" t="s">
        <v>248</v>
      </c>
      <c r="M951" t="s">
        <v>163</v>
      </c>
      <c r="N951" t="s">
        <v>17</v>
      </c>
      <c r="O951" t="s">
        <v>24</v>
      </c>
      <c r="P951">
        <v>29434</v>
      </c>
      <c r="Q951" t="s">
        <v>19</v>
      </c>
      <c r="R951">
        <v>42453</v>
      </c>
      <c r="S951" t="str">
        <f>VLOOKUP(L951&amp;TEXT(I951,"mmmm")&amp;YEAR(I951),'[1]Detalle C-Fecha'!$D$2:$E$15921,2,FALSE)</f>
        <v>CENCO_MZ - Cencosud SA - Mendoza</v>
      </c>
    </row>
    <row r="952" spans="1:19" x14ac:dyDescent="0.3">
      <c r="A952">
        <v>34823</v>
      </c>
      <c r="B952" t="s">
        <v>28</v>
      </c>
      <c r="C952" t="s">
        <v>15</v>
      </c>
      <c r="D952" t="s">
        <v>16</v>
      </c>
      <c r="E952" t="s">
        <v>52</v>
      </c>
      <c r="F952" s="6" t="str">
        <f t="shared" si="14"/>
        <v>6MC</v>
      </c>
      <c r="G952" s="11">
        <v>46169</v>
      </c>
      <c r="H952" s="12">
        <v>0.39513888888888887</v>
      </c>
      <c r="I952" s="11">
        <v>46168</v>
      </c>
      <c r="J952" s="1">
        <v>46168</v>
      </c>
      <c r="K952" s="1">
        <v>46168</v>
      </c>
      <c r="L952" t="s">
        <v>248</v>
      </c>
      <c r="M952" t="s">
        <v>163</v>
      </c>
      <c r="N952" t="s">
        <v>17</v>
      </c>
      <c r="O952" t="s">
        <v>24</v>
      </c>
      <c r="P952">
        <v>29435</v>
      </c>
      <c r="Q952" t="s">
        <v>19</v>
      </c>
      <c r="R952">
        <v>42454</v>
      </c>
      <c r="S952" t="str">
        <f>VLOOKUP(L952&amp;TEXT(I952,"mmmm")&amp;YEAR(I952),'[1]Detalle C-Fecha'!$D$2:$E$15921,2,FALSE)</f>
        <v>CENCO_MZ - Cencosud SA - Mendoza</v>
      </c>
    </row>
    <row r="953" spans="1:19" x14ac:dyDescent="0.3">
      <c r="A953">
        <v>34823</v>
      </c>
      <c r="B953" t="s">
        <v>28</v>
      </c>
      <c r="C953" t="s">
        <v>15</v>
      </c>
      <c r="D953" t="s">
        <v>16</v>
      </c>
      <c r="E953" t="s">
        <v>52</v>
      </c>
      <c r="F953" s="6" t="str">
        <f t="shared" si="14"/>
        <v>6MC</v>
      </c>
      <c r="G953" s="11">
        <v>46169</v>
      </c>
      <c r="H953" s="12">
        <v>0.39513888888888887</v>
      </c>
      <c r="I953" s="11">
        <v>46168</v>
      </c>
      <c r="J953" s="1">
        <v>46168</v>
      </c>
      <c r="K953" s="1">
        <v>46168</v>
      </c>
      <c r="L953" t="s">
        <v>248</v>
      </c>
      <c r="M953" t="s">
        <v>163</v>
      </c>
      <c r="N953" t="s">
        <v>17</v>
      </c>
      <c r="O953" t="s">
        <v>24</v>
      </c>
      <c r="P953">
        <v>29435</v>
      </c>
      <c r="Q953" t="s">
        <v>19</v>
      </c>
      <c r="R953">
        <v>42455</v>
      </c>
      <c r="S953" t="str">
        <f>VLOOKUP(L953&amp;TEXT(I953,"mmmm")&amp;YEAR(I953),'[1]Detalle C-Fecha'!$D$2:$E$15921,2,FALSE)</f>
        <v>CENCO_MZ - Cencosud SA - Mendoza</v>
      </c>
    </row>
    <row r="954" spans="1:19" x14ac:dyDescent="0.3">
      <c r="A954">
        <v>34835</v>
      </c>
      <c r="B954" t="s">
        <v>28</v>
      </c>
      <c r="C954" t="s">
        <v>15</v>
      </c>
      <c r="D954" t="s">
        <v>16</v>
      </c>
      <c r="E954" t="s">
        <v>35</v>
      </c>
      <c r="F954" s="6" t="str">
        <f t="shared" si="14"/>
        <v>2ML</v>
      </c>
      <c r="G954" s="11">
        <v>46169</v>
      </c>
      <c r="H954" s="12">
        <v>0.5229166666666667</v>
      </c>
      <c r="I954" s="11">
        <v>46169</v>
      </c>
      <c r="J954" s="1">
        <v>46169</v>
      </c>
      <c r="K954" s="1">
        <v>46169</v>
      </c>
      <c r="L954" t="s">
        <v>249</v>
      </c>
      <c r="M954" t="s">
        <v>146</v>
      </c>
      <c r="N954" t="s">
        <v>208</v>
      </c>
      <c r="O954" t="s">
        <v>27</v>
      </c>
      <c r="P954">
        <v>29444</v>
      </c>
      <c r="Q954" t="s">
        <v>123</v>
      </c>
      <c r="S954" t="str">
        <f>VLOOKUP(L954&amp;TEXT(I954,"mmmm")&amp;YEAR(I954),'[1]Detalle C-Fecha'!$D$2:$E$15921,2,FALSE)</f>
        <v>Arcor S.A.I.C.</v>
      </c>
    </row>
    <row r="955" spans="1:19" x14ac:dyDescent="0.3">
      <c r="A955">
        <v>34835</v>
      </c>
      <c r="B955" t="s">
        <v>28</v>
      </c>
      <c r="C955" t="s">
        <v>15</v>
      </c>
      <c r="D955" t="s">
        <v>16</v>
      </c>
      <c r="E955" t="s">
        <v>35</v>
      </c>
      <c r="F955" s="6" t="str">
        <f t="shared" si="14"/>
        <v>2ML</v>
      </c>
      <c r="G955" s="11">
        <v>46169</v>
      </c>
      <c r="H955" s="12">
        <v>0.5229166666666667</v>
      </c>
      <c r="I955" s="11">
        <v>46169</v>
      </c>
      <c r="J955" s="1">
        <v>46169</v>
      </c>
      <c r="K955" s="1">
        <v>46169</v>
      </c>
      <c r="L955" t="s">
        <v>249</v>
      </c>
      <c r="M955" t="s">
        <v>146</v>
      </c>
      <c r="N955" t="s">
        <v>208</v>
      </c>
      <c r="O955" t="s">
        <v>27</v>
      </c>
      <c r="P955">
        <v>29444</v>
      </c>
      <c r="Q955" t="s">
        <v>123</v>
      </c>
      <c r="R955">
        <v>42758</v>
      </c>
      <c r="S955" t="str">
        <f>VLOOKUP(L955&amp;TEXT(I955,"mmmm")&amp;YEAR(I955),'[1]Detalle C-Fecha'!$D$2:$E$15921,2,FALSE)</f>
        <v>Arcor S.A.I.C.</v>
      </c>
    </row>
    <row r="956" spans="1:19" x14ac:dyDescent="0.3">
      <c r="A956">
        <v>34836</v>
      </c>
      <c r="B956" t="s">
        <v>28</v>
      </c>
      <c r="C956" t="s">
        <v>15</v>
      </c>
      <c r="D956" t="s">
        <v>16</v>
      </c>
      <c r="E956" t="s">
        <v>47</v>
      </c>
      <c r="F956" s="6" t="str">
        <f t="shared" si="14"/>
        <v>3ML</v>
      </c>
      <c r="G956" s="11">
        <v>46169</v>
      </c>
      <c r="H956" s="12">
        <v>0.5229166666666667</v>
      </c>
      <c r="I956" s="11">
        <v>46169</v>
      </c>
      <c r="J956" s="1">
        <v>46175</v>
      </c>
      <c r="K956" s="1">
        <v>46175</v>
      </c>
      <c r="L956" t="s">
        <v>249</v>
      </c>
      <c r="M956" t="s">
        <v>146</v>
      </c>
      <c r="N956" t="s">
        <v>208</v>
      </c>
      <c r="O956" t="s">
        <v>27</v>
      </c>
      <c r="P956">
        <v>29445</v>
      </c>
      <c r="Q956" t="s">
        <v>123</v>
      </c>
      <c r="S956" t="str">
        <f>VLOOKUP(L956&amp;TEXT(I956,"mmmm")&amp;YEAR(I956),'[1]Detalle C-Fecha'!$D$2:$E$15921,2,FALSE)</f>
        <v>Arcor S.A.I.C.</v>
      </c>
    </row>
    <row r="957" spans="1:19" x14ac:dyDescent="0.3">
      <c r="A957">
        <v>34836</v>
      </c>
      <c r="B957" t="s">
        <v>28</v>
      </c>
      <c r="C957" t="s">
        <v>15</v>
      </c>
      <c r="D957" t="s">
        <v>16</v>
      </c>
      <c r="E957" t="s">
        <v>47</v>
      </c>
      <c r="F957" s="6" t="str">
        <f t="shared" si="14"/>
        <v>3ML</v>
      </c>
      <c r="G957" s="11">
        <v>46169</v>
      </c>
      <c r="H957" s="12">
        <v>0.5229166666666667</v>
      </c>
      <c r="I957" s="11">
        <v>46169</v>
      </c>
      <c r="J957" s="1">
        <v>46175</v>
      </c>
      <c r="K957" s="1">
        <v>46175</v>
      </c>
      <c r="L957" t="s">
        <v>249</v>
      </c>
      <c r="M957" t="s">
        <v>146</v>
      </c>
      <c r="N957" t="s">
        <v>208</v>
      </c>
      <c r="O957" t="s">
        <v>27</v>
      </c>
      <c r="P957">
        <v>29445</v>
      </c>
      <c r="Q957" t="s">
        <v>123</v>
      </c>
      <c r="R957">
        <v>43062</v>
      </c>
      <c r="S957" t="str">
        <f>VLOOKUP(L957&amp;TEXT(I957,"mmmm")&amp;YEAR(I957),'[1]Detalle C-Fecha'!$D$2:$E$15921,2,FALSE)</f>
        <v>Arcor S.A.I.C.</v>
      </c>
    </row>
    <row r="958" spans="1:19" x14ac:dyDescent="0.3">
      <c r="A958">
        <v>34837</v>
      </c>
      <c r="B958" t="s">
        <v>28</v>
      </c>
      <c r="C958" t="s">
        <v>15</v>
      </c>
      <c r="D958" t="s">
        <v>16</v>
      </c>
      <c r="E958" t="s">
        <v>46</v>
      </c>
      <c r="F958" s="6" t="str">
        <f t="shared" si="14"/>
        <v>6ML</v>
      </c>
      <c r="G958" s="11">
        <v>46169</v>
      </c>
      <c r="H958" s="12">
        <v>0.5229166666666667</v>
      </c>
      <c r="I958" s="11">
        <v>46169</v>
      </c>
      <c r="J958" s="1">
        <v>46175</v>
      </c>
      <c r="K958" s="1">
        <v>46175</v>
      </c>
      <c r="L958" t="s">
        <v>249</v>
      </c>
      <c r="M958" t="s">
        <v>146</v>
      </c>
      <c r="N958" t="s">
        <v>208</v>
      </c>
      <c r="O958" t="s">
        <v>27</v>
      </c>
      <c r="P958">
        <v>29446</v>
      </c>
      <c r="Q958" t="s">
        <v>123</v>
      </c>
      <c r="S958" t="str">
        <f>VLOOKUP(L958&amp;TEXT(I958,"mmmm")&amp;YEAR(I958),'[1]Detalle C-Fecha'!$D$2:$E$15921,2,FALSE)</f>
        <v>Arcor S.A.I.C.</v>
      </c>
    </row>
    <row r="959" spans="1:19" x14ac:dyDescent="0.3">
      <c r="A959">
        <v>34837</v>
      </c>
      <c r="B959" t="s">
        <v>28</v>
      </c>
      <c r="C959" t="s">
        <v>15</v>
      </c>
      <c r="D959" t="s">
        <v>16</v>
      </c>
      <c r="E959" t="s">
        <v>46</v>
      </c>
      <c r="F959" s="6" t="str">
        <f t="shared" ref="F959:F1022" si="15">MID(E959,1,3)</f>
        <v>6ML</v>
      </c>
      <c r="G959" s="11">
        <v>46169</v>
      </c>
      <c r="H959" s="12">
        <v>0.5229166666666667</v>
      </c>
      <c r="I959" s="11">
        <v>46169</v>
      </c>
      <c r="J959" s="1">
        <v>46175</v>
      </c>
      <c r="K959" s="1">
        <v>46175</v>
      </c>
      <c r="L959" t="s">
        <v>249</v>
      </c>
      <c r="M959" t="s">
        <v>146</v>
      </c>
      <c r="N959" t="s">
        <v>208</v>
      </c>
      <c r="O959" t="s">
        <v>27</v>
      </c>
      <c r="P959">
        <v>29446</v>
      </c>
      <c r="Q959" t="s">
        <v>123</v>
      </c>
      <c r="R959">
        <v>43063</v>
      </c>
      <c r="S959" t="str">
        <f>VLOOKUP(L959&amp;TEXT(I959,"mmmm")&amp;YEAR(I959),'[1]Detalle C-Fecha'!$D$2:$E$15921,2,FALSE)</f>
        <v>Arcor S.A.I.C.</v>
      </c>
    </row>
    <row r="960" spans="1:19" x14ac:dyDescent="0.3">
      <c r="A960">
        <v>34882</v>
      </c>
      <c r="B960" t="s">
        <v>28</v>
      </c>
      <c r="C960" t="s">
        <v>15</v>
      </c>
      <c r="D960" t="s">
        <v>16</v>
      </c>
      <c r="E960" t="s">
        <v>35</v>
      </c>
      <c r="F960" s="6" t="str">
        <f t="shared" si="15"/>
        <v>2ML</v>
      </c>
      <c r="G960" s="11">
        <v>46174</v>
      </c>
      <c r="H960" s="12">
        <v>0.4069444444444445</v>
      </c>
      <c r="I960" s="11">
        <v>46169</v>
      </c>
      <c r="J960" s="1">
        <v>46169</v>
      </c>
      <c r="K960" s="1">
        <v>46169</v>
      </c>
      <c r="L960" t="s">
        <v>145</v>
      </c>
      <c r="M960" t="s">
        <v>146</v>
      </c>
      <c r="N960" t="s">
        <v>17</v>
      </c>
      <c r="O960" t="s">
        <v>24</v>
      </c>
      <c r="P960">
        <v>29492</v>
      </c>
      <c r="Q960" t="s">
        <v>19</v>
      </c>
      <c r="R960">
        <v>43003</v>
      </c>
      <c r="S960" t="str">
        <f>VLOOKUP(L960&amp;TEXT(I960,"mmmm")&amp;YEAR(I960),'[1]Detalle C-Fecha'!$D$2:$E$15921,2,FALSE)</f>
        <v>CENCOMLD - Cencosud SA - Mendoza</v>
      </c>
    </row>
    <row r="961" spans="1:19" x14ac:dyDescent="0.3">
      <c r="A961">
        <v>34882</v>
      </c>
      <c r="B961" t="s">
        <v>28</v>
      </c>
      <c r="C961" t="s">
        <v>15</v>
      </c>
      <c r="D961" t="s">
        <v>16</v>
      </c>
      <c r="E961" t="s">
        <v>35</v>
      </c>
      <c r="F961" s="6" t="str">
        <f t="shared" si="15"/>
        <v>2ML</v>
      </c>
      <c r="G961" s="11">
        <v>46174</v>
      </c>
      <c r="H961" s="12">
        <v>0.4069444444444445</v>
      </c>
      <c r="I961" s="11">
        <v>46169</v>
      </c>
      <c r="J961" s="1">
        <v>46169</v>
      </c>
      <c r="K961" s="1">
        <v>46169</v>
      </c>
      <c r="L961" t="s">
        <v>145</v>
      </c>
      <c r="M961" t="s">
        <v>146</v>
      </c>
      <c r="N961" t="s">
        <v>17</v>
      </c>
      <c r="O961" t="s">
        <v>24</v>
      </c>
      <c r="P961">
        <v>29492</v>
      </c>
      <c r="Q961" t="s">
        <v>19</v>
      </c>
      <c r="R961">
        <v>43004</v>
      </c>
      <c r="S961" t="str">
        <f>VLOOKUP(L961&amp;TEXT(I961,"mmmm")&amp;YEAR(I961),'[1]Detalle C-Fecha'!$D$2:$E$15921,2,FALSE)</f>
        <v>CENCOMLD - Cencosud SA - Mendoza</v>
      </c>
    </row>
    <row r="962" spans="1:19" x14ac:dyDescent="0.3">
      <c r="A962">
        <v>34883</v>
      </c>
      <c r="B962" t="s">
        <v>28</v>
      </c>
      <c r="C962" t="s">
        <v>15</v>
      </c>
      <c r="D962" t="s">
        <v>16</v>
      </c>
      <c r="E962" t="s">
        <v>47</v>
      </c>
      <c r="F962" s="6" t="str">
        <f t="shared" si="15"/>
        <v>3ML</v>
      </c>
      <c r="G962" s="11">
        <v>46174</v>
      </c>
      <c r="H962" s="12">
        <v>0.4069444444444445</v>
      </c>
      <c r="I962" s="11">
        <v>46169</v>
      </c>
      <c r="J962" s="1">
        <v>46169</v>
      </c>
      <c r="K962" s="1">
        <v>46169</v>
      </c>
      <c r="L962" t="s">
        <v>145</v>
      </c>
      <c r="M962" t="s">
        <v>146</v>
      </c>
      <c r="N962" t="s">
        <v>17</v>
      </c>
      <c r="O962" t="s">
        <v>24</v>
      </c>
      <c r="P962">
        <v>29493</v>
      </c>
      <c r="Q962" t="s">
        <v>19</v>
      </c>
      <c r="R962">
        <v>43001</v>
      </c>
      <c r="S962" t="str">
        <f>VLOOKUP(L962&amp;TEXT(I962,"mmmm")&amp;YEAR(I962),'[1]Detalle C-Fecha'!$D$2:$E$15921,2,FALSE)</f>
        <v>CENCOMLD - Cencosud SA - Mendoza</v>
      </c>
    </row>
    <row r="963" spans="1:19" x14ac:dyDescent="0.3">
      <c r="A963">
        <v>34883</v>
      </c>
      <c r="B963" t="s">
        <v>28</v>
      </c>
      <c r="C963" t="s">
        <v>15</v>
      </c>
      <c r="D963" t="s">
        <v>16</v>
      </c>
      <c r="E963" t="s">
        <v>47</v>
      </c>
      <c r="F963" s="6" t="str">
        <f t="shared" si="15"/>
        <v>3ML</v>
      </c>
      <c r="G963" s="11">
        <v>46174</v>
      </c>
      <c r="H963" s="12">
        <v>0.4069444444444445</v>
      </c>
      <c r="I963" s="11">
        <v>46169</v>
      </c>
      <c r="J963" s="1">
        <v>46169</v>
      </c>
      <c r="K963" s="1">
        <v>46169</v>
      </c>
      <c r="L963" t="s">
        <v>145</v>
      </c>
      <c r="M963" t="s">
        <v>146</v>
      </c>
      <c r="N963" t="s">
        <v>17</v>
      </c>
      <c r="O963" t="s">
        <v>24</v>
      </c>
      <c r="P963">
        <v>29493</v>
      </c>
      <c r="Q963" t="s">
        <v>19</v>
      </c>
      <c r="R963">
        <v>43002</v>
      </c>
      <c r="S963" t="str">
        <f>VLOOKUP(L963&amp;TEXT(I963,"mmmm")&amp;YEAR(I963),'[1]Detalle C-Fecha'!$D$2:$E$15921,2,FALSE)</f>
        <v>CENCOMLD - Cencosud SA - Mendoza</v>
      </c>
    </row>
    <row r="964" spans="1:19" x14ac:dyDescent="0.3">
      <c r="A964">
        <v>34884</v>
      </c>
      <c r="B964" t="s">
        <v>28</v>
      </c>
      <c r="C964" t="s">
        <v>15</v>
      </c>
      <c r="D964" t="s">
        <v>16</v>
      </c>
      <c r="E964" t="s">
        <v>46</v>
      </c>
      <c r="F964" s="6" t="str">
        <f t="shared" si="15"/>
        <v>6ML</v>
      </c>
      <c r="G964" s="11">
        <v>46174</v>
      </c>
      <c r="H964" s="12">
        <v>0.4069444444444445</v>
      </c>
      <c r="I964" s="11">
        <v>46169</v>
      </c>
      <c r="J964" s="1">
        <v>46169</v>
      </c>
      <c r="K964" s="1">
        <v>46169</v>
      </c>
      <c r="L964" t="s">
        <v>145</v>
      </c>
      <c r="M964" t="s">
        <v>146</v>
      </c>
      <c r="N964" t="s">
        <v>17</v>
      </c>
      <c r="O964" t="s">
        <v>24</v>
      </c>
      <c r="P964">
        <v>29494</v>
      </c>
      <c r="Q964" t="s">
        <v>19</v>
      </c>
      <c r="R964">
        <v>42999</v>
      </c>
      <c r="S964" t="str">
        <f>VLOOKUP(L964&amp;TEXT(I964,"mmmm")&amp;YEAR(I964),'[1]Detalle C-Fecha'!$D$2:$E$15921,2,FALSE)</f>
        <v>CENCOMLD - Cencosud SA - Mendoza</v>
      </c>
    </row>
    <row r="965" spans="1:19" x14ac:dyDescent="0.3">
      <c r="A965">
        <v>34884</v>
      </c>
      <c r="B965" t="s">
        <v>28</v>
      </c>
      <c r="C965" t="s">
        <v>15</v>
      </c>
      <c r="D965" t="s">
        <v>16</v>
      </c>
      <c r="E965" t="s">
        <v>46</v>
      </c>
      <c r="F965" s="6" t="str">
        <f t="shared" si="15"/>
        <v>6ML</v>
      </c>
      <c r="G965" s="11">
        <v>46174</v>
      </c>
      <c r="H965" s="12">
        <v>0.4069444444444445</v>
      </c>
      <c r="I965" s="11">
        <v>46169</v>
      </c>
      <c r="J965" s="1">
        <v>46169</v>
      </c>
      <c r="K965" s="1">
        <v>46169</v>
      </c>
      <c r="L965" t="s">
        <v>145</v>
      </c>
      <c r="M965" t="s">
        <v>146</v>
      </c>
      <c r="N965" t="s">
        <v>17</v>
      </c>
      <c r="O965" t="s">
        <v>24</v>
      </c>
      <c r="P965">
        <v>29494</v>
      </c>
      <c r="Q965" t="s">
        <v>19</v>
      </c>
      <c r="R965">
        <v>43000</v>
      </c>
      <c r="S965" t="str">
        <f>VLOOKUP(L965&amp;TEXT(I965,"mmmm")&amp;YEAR(I965),'[1]Detalle C-Fecha'!$D$2:$E$15921,2,FALSE)</f>
        <v>CENCOMLD - Cencosud SA - Mendoza</v>
      </c>
    </row>
    <row r="966" spans="1:19" x14ac:dyDescent="0.3">
      <c r="A966">
        <v>35068</v>
      </c>
      <c r="B966" t="s">
        <v>28</v>
      </c>
      <c r="C966" t="s">
        <v>124</v>
      </c>
      <c r="D966" t="s">
        <v>23</v>
      </c>
      <c r="E966" t="s">
        <v>35</v>
      </c>
      <c r="F966" s="6" t="str">
        <f t="shared" si="15"/>
        <v>2ML</v>
      </c>
      <c r="G966" s="11">
        <v>46175</v>
      </c>
      <c r="H966" s="12">
        <v>0.41597222222222219</v>
      </c>
      <c r="I966" s="11">
        <v>46175</v>
      </c>
      <c r="L966" t="s">
        <v>91</v>
      </c>
      <c r="M966" t="s">
        <v>146</v>
      </c>
      <c r="N966" t="s">
        <v>208</v>
      </c>
      <c r="O966" t="s">
        <v>24</v>
      </c>
      <c r="P966">
        <v>29596</v>
      </c>
      <c r="Q966" t="s">
        <v>123</v>
      </c>
      <c r="S966" t="str">
        <f>VLOOKUP(L966&amp;TEXT(I966,"mmmm")&amp;YEAR(I966),'[1]Detalle C-Fecha'!$D$2:$E$15921,2,FALSE)</f>
        <v>ADA_CH - Danone Arg. S.A. - Chascomus</v>
      </c>
    </row>
    <row r="967" spans="1:19" x14ac:dyDescent="0.3">
      <c r="A967">
        <v>35069</v>
      </c>
      <c r="B967" t="s">
        <v>28</v>
      </c>
      <c r="C967" t="s">
        <v>124</v>
      </c>
      <c r="D967" t="s">
        <v>23</v>
      </c>
      <c r="E967" t="s">
        <v>47</v>
      </c>
      <c r="F967" s="6" t="str">
        <f t="shared" si="15"/>
        <v>3ML</v>
      </c>
      <c r="G967" s="11">
        <v>46175</v>
      </c>
      <c r="H967" s="12">
        <v>0.41597222222222219</v>
      </c>
      <c r="I967" s="11">
        <v>46175</v>
      </c>
      <c r="L967" t="s">
        <v>91</v>
      </c>
      <c r="M967" t="s">
        <v>146</v>
      </c>
      <c r="N967" t="s">
        <v>208</v>
      </c>
      <c r="O967" t="s">
        <v>24</v>
      </c>
      <c r="P967">
        <v>29597</v>
      </c>
      <c r="Q967" t="s">
        <v>123</v>
      </c>
      <c r="S967" t="str">
        <f>VLOOKUP(L967&amp;TEXT(I967,"mmmm")&amp;YEAR(I967),'[1]Detalle C-Fecha'!$D$2:$E$15921,2,FALSE)</f>
        <v>ADA_CH - Danone Arg. S.A. - Chascomus</v>
      </c>
    </row>
    <row r="968" spans="1:19" x14ac:dyDescent="0.3">
      <c r="A968">
        <v>35070</v>
      </c>
      <c r="B968" t="s">
        <v>28</v>
      </c>
      <c r="C968" t="s">
        <v>124</v>
      </c>
      <c r="D968" t="s">
        <v>23</v>
      </c>
      <c r="E968" t="s">
        <v>46</v>
      </c>
      <c r="F968" s="6" t="str">
        <f t="shared" si="15"/>
        <v>6ML</v>
      </c>
      <c r="G968" s="11">
        <v>46175</v>
      </c>
      <c r="H968" s="12">
        <v>0.41597222222222219</v>
      </c>
      <c r="I968" s="11">
        <v>46175</v>
      </c>
      <c r="L968" t="s">
        <v>91</v>
      </c>
      <c r="M968" t="s">
        <v>146</v>
      </c>
      <c r="N968" t="s">
        <v>208</v>
      </c>
      <c r="O968" t="s">
        <v>24</v>
      </c>
      <c r="P968">
        <v>29598</v>
      </c>
      <c r="Q968" t="s">
        <v>123</v>
      </c>
      <c r="S968" t="str">
        <f>VLOOKUP(L968&amp;TEXT(I968,"mmmm")&amp;YEAR(I968),'[1]Detalle C-Fecha'!$D$2:$E$15921,2,FALSE)</f>
        <v>ADA_CH - Danone Arg. S.A. - Chascomus</v>
      </c>
    </row>
    <row r="969" spans="1:19" x14ac:dyDescent="0.3">
      <c r="A969">
        <v>35085</v>
      </c>
      <c r="B969" t="s">
        <v>28</v>
      </c>
      <c r="C969" t="s">
        <v>15</v>
      </c>
      <c r="D969" t="s">
        <v>16</v>
      </c>
      <c r="E969" t="s">
        <v>51</v>
      </c>
      <c r="F969" s="6" t="str">
        <f t="shared" si="15"/>
        <v>2MC</v>
      </c>
      <c r="G969" s="11">
        <v>46175</v>
      </c>
      <c r="H969" s="12">
        <v>0.49305555555555558</v>
      </c>
      <c r="I969" s="11">
        <v>46171</v>
      </c>
      <c r="J969" s="1">
        <v>46171</v>
      </c>
      <c r="K969" s="1">
        <v>46171</v>
      </c>
      <c r="L969" t="s">
        <v>41</v>
      </c>
      <c r="M969">
        <v>1318</v>
      </c>
      <c r="N969" t="s">
        <v>17</v>
      </c>
      <c r="O969" t="s">
        <v>24</v>
      </c>
      <c r="P969">
        <v>29605</v>
      </c>
      <c r="Q969" t="s">
        <v>19</v>
      </c>
      <c r="R969">
        <v>43025</v>
      </c>
      <c r="S969" t="str">
        <f>VLOOKUP(L969&amp;TEXT(I969,"mmmm")&amp;YEAR(I969),'[1]Detalle C-Fecha'!$D$2:$E$15921,2,FALSE)</f>
        <v>CENCO_MZ - Cencosud SA - Mendoza</v>
      </c>
    </row>
    <row r="970" spans="1:19" x14ac:dyDescent="0.3">
      <c r="A970">
        <v>35085</v>
      </c>
      <c r="B970" t="s">
        <v>28</v>
      </c>
      <c r="C970" t="s">
        <v>15</v>
      </c>
      <c r="D970" t="s">
        <v>16</v>
      </c>
      <c r="E970" t="s">
        <v>51</v>
      </c>
      <c r="F970" s="6" t="str">
        <f t="shared" si="15"/>
        <v>2MC</v>
      </c>
      <c r="G970" s="11">
        <v>46175</v>
      </c>
      <c r="H970" s="12">
        <v>0.49305555555555558</v>
      </c>
      <c r="I970" s="11">
        <v>46171</v>
      </c>
      <c r="J970" s="1">
        <v>46171</v>
      </c>
      <c r="K970" s="1">
        <v>46171</v>
      </c>
      <c r="L970" t="s">
        <v>41</v>
      </c>
      <c r="M970">
        <v>1318</v>
      </c>
      <c r="N970" t="s">
        <v>17</v>
      </c>
      <c r="O970" t="s">
        <v>24</v>
      </c>
      <c r="P970">
        <v>29605</v>
      </c>
      <c r="Q970" t="s">
        <v>19</v>
      </c>
      <c r="R970">
        <v>43026</v>
      </c>
      <c r="S970" t="str">
        <f>VLOOKUP(L970&amp;TEXT(I970,"mmmm")&amp;YEAR(I970),'[1]Detalle C-Fecha'!$D$2:$E$15921,2,FALSE)</f>
        <v>CENCO_MZ - Cencosud SA - Mendoza</v>
      </c>
    </row>
    <row r="971" spans="1:19" x14ac:dyDescent="0.3">
      <c r="A971">
        <v>35086</v>
      </c>
      <c r="B971" t="s">
        <v>28</v>
      </c>
      <c r="C971" t="s">
        <v>15</v>
      </c>
      <c r="D971" t="s">
        <v>16</v>
      </c>
      <c r="E971" t="s">
        <v>53</v>
      </c>
      <c r="F971" s="6" t="str">
        <f t="shared" si="15"/>
        <v>3MC</v>
      </c>
      <c r="G971" s="11">
        <v>46175</v>
      </c>
      <c r="H971" s="12">
        <v>0.49305555555555558</v>
      </c>
      <c r="I971" s="11">
        <v>46171</v>
      </c>
      <c r="J971" s="1">
        <v>46171</v>
      </c>
      <c r="K971" s="1">
        <v>46171</v>
      </c>
      <c r="L971" t="s">
        <v>41</v>
      </c>
      <c r="M971">
        <v>1318</v>
      </c>
      <c r="N971" t="s">
        <v>17</v>
      </c>
      <c r="O971" t="s">
        <v>24</v>
      </c>
      <c r="P971">
        <v>29606</v>
      </c>
      <c r="Q971" t="s">
        <v>19</v>
      </c>
      <c r="R971">
        <v>43023</v>
      </c>
      <c r="S971" t="str">
        <f>VLOOKUP(L971&amp;TEXT(I971,"mmmm")&amp;YEAR(I971),'[1]Detalle C-Fecha'!$D$2:$E$15921,2,FALSE)</f>
        <v>CENCO_MZ - Cencosud SA - Mendoza</v>
      </c>
    </row>
    <row r="972" spans="1:19" x14ac:dyDescent="0.3">
      <c r="A972">
        <v>35086</v>
      </c>
      <c r="B972" t="s">
        <v>28</v>
      </c>
      <c r="C972" t="s">
        <v>15</v>
      </c>
      <c r="D972" t="s">
        <v>16</v>
      </c>
      <c r="E972" t="s">
        <v>53</v>
      </c>
      <c r="F972" s="6" t="str">
        <f t="shared" si="15"/>
        <v>3MC</v>
      </c>
      <c r="G972" s="11">
        <v>46175</v>
      </c>
      <c r="H972" s="12">
        <v>0.49305555555555558</v>
      </c>
      <c r="I972" s="11">
        <v>46171</v>
      </c>
      <c r="J972" s="1">
        <v>46171</v>
      </c>
      <c r="K972" s="1">
        <v>46171</v>
      </c>
      <c r="L972" t="s">
        <v>41</v>
      </c>
      <c r="M972">
        <v>1318</v>
      </c>
      <c r="N972" t="s">
        <v>17</v>
      </c>
      <c r="O972" t="s">
        <v>24</v>
      </c>
      <c r="P972">
        <v>29606</v>
      </c>
      <c r="Q972" t="s">
        <v>19</v>
      </c>
      <c r="R972">
        <v>43024</v>
      </c>
      <c r="S972" t="str">
        <f>VLOOKUP(L972&amp;TEXT(I972,"mmmm")&amp;YEAR(I972),'[1]Detalle C-Fecha'!$D$2:$E$15921,2,FALSE)</f>
        <v>CENCO_MZ - Cencosud SA - Mendoza</v>
      </c>
    </row>
    <row r="973" spans="1:19" x14ac:dyDescent="0.3">
      <c r="A973">
        <v>35087</v>
      </c>
      <c r="B973" t="s">
        <v>28</v>
      </c>
      <c r="C973" t="s">
        <v>15</v>
      </c>
      <c r="D973" t="s">
        <v>16</v>
      </c>
      <c r="E973" t="s">
        <v>52</v>
      </c>
      <c r="F973" s="6" t="str">
        <f t="shared" si="15"/>
        <v>6MC</v>
      </c>
      <c r="G973" s="11">
        <v>46175</v>
      </c>
      <c r="H973" s="12">
        <v>0.49305555555555558</v>
      </c>
      <c r="I973" s="11">
        <v>46171</v>
      </c>
      <c r="J973" s="1">
        <v>46171</v>
      </c>
      <c r="K973" s="1">
        <v>46171</v>
      </c>
      <c r="L973" t="s">
        <v>41</v>
      </c>
      <c r="M973">
        <v>1318</v>
      </c>
      <c r="N973" t="s">
        <v>17</v>
      </c>
      <c r="O973" t="s">
        <v>24</v>
      </c>
      <c r="P973">
        <v>29607</v>
      </c>
      <c r="Q973" t="s">
        <v>19</v>
      </c>
      <c r="R973">
        <v>43021</v>
      </c>
      <c r="S973" t="str">
        <f>VLOOKUP(L973&amp;TEXT(I973,"mmmm")&amp;YEAR(I973),'[1]Detalle C-Fecha'!$D$2:$E$15921,2,FALSE)</f>
        <v>CENCO_MZ - Cencosud SA - Mendoza</v>
      </c>
    </row>
    <row r="974" spans="1:19" x14ac:dyDescent="0.3">
      <c r="A974">
        <v>35087</v>
      </c>
      <c r="B974" t="s">
        <v>28</v>
      </c>
      <c r="C974" t="s">
        <v>15</v>
      </c>
      <c r="D974" t="s">
        <v>16</v>
      </c>
      <c r="E974" t="s">
        <v>52</v>
      </c>
      <c r="F974" s="6" t="str">
        <f t="shared" si="15"/>
        <v>6MC</v>
      </c>
      <c r="G974" s="11">
        <v>46175</v>
      </c>
      <c r="H974" s="12">
        <v>0.49305555555555558</v>
      </c>
      <c r="I974" s="11">
        <v>46171</v>
      </c>
      <c r="J974" s="1">
        <v>46171</v>
      </c>
      <c r="K974" s="1">
        <v>46171</v>
      </c>
      <c r="L974" t="s">
        <v>41</v>
      </c>
      <c r="M974">
        <v>1318</v>
      </c>
      <c r="N974" t="s">
        <v>17</v>
      </c>
      <c r="O974" t="s">
        <v>24</v>
      </c>
      <c r="P974">
        <v>29607</v>
      </c>
      <c r="Q974" t="s">
        <v>19</v>
      </c>
      <c r="R974">
        <v>43022</v>
      </c>
      <c r="S974" t="str">
        <f>VLOOKUP(L974&amp;TEXT(I974,"mmmm")&amp;YEAR(I974),'[1]Detalle C-Fecha'!$D$2:$E$15921,2,FALSE)</f>
        <v>CENCO_MZ - Cencosud SA - Mendoza</v>
      </c>
    </row>
    <row r="975" spans="1:19" x14ac:dyDescent="0.3">
      <c r="A975">
        <v>35096</v>
      </c>
      <c r="B975" t="s">
        <v>28</v>
      </c>
      <c r="C975" t="s">
        <v>15</v>
      </c>
      <c r="D975" t="s">
        <v>16</v>
      </c>
      <c r="E975" t="s">
        <v>51</v>
      </c>
      <c r="F975" s="6" t="str">
        <f t="shared" si="15"/>
        <v>2MC</v>
      </c>
      <c r="G975" s="11">
        <v>46175</v>
      </c>
      <c r="H975" s="12">
        <v>0.53680555555555554</v>
      </c>
      <c r="I975" s="11">
        <v>46172</v>
      </c>
      <c r="J975" s="1">
        <v>46172</v>
      </c>
      <c r="K975" s="1">
        <v>46172</v>
      </c>
      <c r="L975" t="s">
        <v>250</v>
      </c>
      <c r="M975">
        <v>1624</v>
      </c>
      <c r="N975" t="s">
        <v>17</v>
      </c>
      <c r="O975" t="s">
        <v>25</v>
      </c>
      <c r="P975">
        <v>29619</v>
      </c>
      <c r="Q975" t="s">
        <v>19</v>
      </c>
      <c r="R975">
        <v>43035</v>
      </c>
      <c r="S975" t="str">
        <f>VLOOKUP(L975&amp;TEXT(I975,"mmmm")&amp;YEAR(I975),'[1]Detalle C-Fecha'!$D$2:$E$15921,2,FALSE)</f>
        <v>SUC_SLU - Sucursal San Luis</v>
      </c>
    </row>
    <row r="976" spans="1:19" x14ac:dyDescent="0.3">
      <c r="A976">
        <v>35096</v>
      </c>
      <c r="B976" t="s">
        <v>28</v>
      </c>
      <c r="C976" t="s">
        <v>15</v>
      </c>
      <c r="D976" t="s">
        <v>16</v>
      </c>
      <c r="E976" t="s">
        <v>51</v>
      </c>
      <c r="F976" s="6" t="str">
        <f t="shared" si="15"/>
        <v>2MC</v>
      </c>
      <c r="G976" s="11">
        <v>46175</v>
      </c>
      <c r="H976" s="12">
        <v>0.53680555555555554</v>
      </c>
      <c r="I976" s="11">
        <v>46172</v>
      </c>
      <c r="J976" s="1">
        <v>46172</v>
      </c>
      <c r="K976" s="1">
        <v>46172</v>
      </c>
      <c r="L976" t="s">
        <v>250</v>
      </c>
      <c r="M976">
        <v>1624</v>
      </c>
      <c r="N976" t="s">
        <v>17</v>
      </c>
      <c r="O976" t="s">
        <v>25</v>
      </c>
      <c r="P976">
        <v>29619</v>
      </c>
      <c r="Q976" t="s">
        <v>19</v>
      </c>
      <c r="R976">
        <v>43036</v>
      </c>
      <c r="S976" t="str">
        <f>VLOOKUP(L976&amp;TEXT(I976,"mmmm")&amp;YEAR(I976),'[1]Detalle C-Fecha'!$D$2:$E$15921,2,FALSE)</f>
        <v>SUC_SLU - Sucursal San Luis</v>
      </c>
    </row>
    <row r="977" spans="1:19" x14ac:dyDescent="0.3">
      <c r="A977">
        <v>35097</v>
      </c>
      <c r="B977" t="s">
        <v>28</v>
      </c>
      <c r="C977" t="s">
        <v>15</v>
      </c>
      <c r="D977" t="s">
        <v>16</v>
      </c>
      <c r="E977" t="s">
        <v>53</v>
      </c>
      <c r="F977" s="6" t="str">
        <f t="shared" si="15"/>
        <v>3MC</v>
      </c>
      <c r="G977" s="11">
        <v>46175</v>
      </c>
      <c r="H977" s="12">
        <v>0.53680555555555554</v>
      </c>
      <c r="I977" s="11">
        <v>46172</v>
      </c>
      <c r="J977" s="1">
        <v>46172</v>
      </c>
      <c r="K977" s="1">
        <v>46172</v>
      </c>
      <c r="L977" t="s">
        <v>250</v>
      </c>
      <c r="M977">
        <v>1624</v>
      </c>
      <c r="N977" t="s">
        <v>17</v>
      </c>
      <c r="O977" t="s">
        <v>25</v>
      </c>
      <c r="P977">
        <v>29618</v>
      </c>
      <c r="Q977" t="s">
        <v>19</v>
      </c>
      <c r="R977">
        <v>43037</v>
      </c>
      <c r="S977" t="str">
        <f>VLOOKUP(L977&amp;TEXT(I977,"mmmm")&amp;YEAR(I977),'[1]Detalle C-Fecha'!$D$2:$E$15921,2,FALSE)</f>
        <v>SUC_SLU - Sucursal San Luis</v>
      </c>
    </row>
    <row r="978" spans="1:19" x14ac:dyDescent="0.3">
      <c r="A978">
        <v>35097</v>
      </c>
      <c r="B978" t="s">
        <v>28</v>
      </c>
      <c r="C978" t="s">
        <v>15</v>
      </c>
      <c r="D978" t="s">
        <v>16</v>
      </c>
      <c r="E978" t="s">
        <v>53</v>
      </c>
      <c r="F978" s="6" t="str">
        <f t="shared" si="15"/>
        <v>3MC</v>
      </c>
      <c r="G978" s="11">
        <v>46175</v>
      </c>
      <c r="H978" s="12">
        <v>0.53680555555555554</v>
      </c>
      <c r="I978" s="11">
        <v>46172</v>
      </c>
      <c r="J978" s="1">
        <v>46172</v>
      </c>
      <c r="K978" s="1">
        <v>46172</v>
      </c>
      <c r="L978" t="s">
        <v>250</v>
      </c>
      <c r="M978">
        <v>1624</v>
      </c>
      <c r="N978" t="s">
        <v>17</v>
      </c>
      <c r="O978" t="s">
        <v>25</v>
      </c>
      <c r="P978">
        <v>29618</v>
      </c>
      <c r="Q978" t="s">
        <v>19</v>
      </c>
      <c r="R978">
        <v>43038</v>
      </c>
      <c r="S978" t="str">
        <f>VLOOKUP(L978&amp;TEXT(I978,"mmmm")&amp;YEAR(I978),'[1]Detalle C-Fecha'!$D$2:$E$15921,2,FALSE)</f>
        <v>SUC_SLU - Sucursal San Luis</v>
      </c>
    </row>
    <row r="979" spans="1:19" x14ac:dyDescent="0.3">
      <c r="A979">
        <v>35098</v>
      </c>
      <c r="B979" t="s">
        <v>28</v>
      </c>
      <c r="C979" t="s">
        <v>15</v>
      </c>
      <c r="D979" t="s">
        <v>16</v>
      </c>
      <c r="E979" t="s">
        <v>52</v>
      </c>
      <c r="F979" s="6" t="str">
        <f t="shared" si="15"/>
        <v>6MC</v>
      </c>
      <c r="G979" s="11">
        <v>46175</v>
      </c>
      <c r="H979" s="12">
        <v>0.53680555555555554</v>
      </c>
      <c r="I979" s="11">
        <v>46172</v>
      </c>
      <c r="J979" s="1">
        <v>46172</v>
      </c>
      <c r="K979" s="1">
        <v>46172</v>
      </c>
      <c r="L979" t="s">
        <v>250</v>
      </c>
      <c r="M979">
        <v>1624</v>
      </c>
      <c r="N979" t="s">
        <v>17</v>
      </c>
      <c r="O979" t="s">
        <v>25</v>
      </c>
      <c r="P979">
        <v>29617</v>
      </c>
      <c r="Q979" t="s">
        <v>19</v>
      </c>
      <c r="R979">
        <v>43043</v>
      </c>
      <c r="S979" t="str">
        <f>VLOOKUP(L979&amp;TEXT(I979,"mmmm")&amp;YEAR(I979),'[1]Detalle C-Fecha'!$D$2:$E$15921,2,FALSE)</f>
        <v>SUC_SLU - Sucursal San Luis</v>
      </c>
    </row>
    <row r="980" spans="1:19" x14ac:dyDescent="0.3">
      <c r="A980">
        <v>35098</v>
      </c>
      <c r="B980" t="s">
        <v>28</v>
      </c>
      <c r="C980" t="s">
        <v>15</v>
      </c>
      <c r="D980" t="s">
        <v>16</v>
      </c>
      <c r="E980" t="s">
        <v>52</v>
      </c>
      <c r="F980" s="6" t="str">
        <f t="shared" si="15"/>
        <v>6MC</v>
      </c>
      <c r="G980" s="11">
        <v>46175</v>
      </c>
      <c r="H980" s="12">
        <v>0.53680555555555554</v>
      </c>
      <c r="I980" s="11">
        <v>46172</v>
      </c>
      <c r="J980" s="1">
        <v>46172</v>
      </c>
      <c r="K980" s="1">
        <v>46172</v>
      </c>
      <c r="L980" t="s">
        <v>250</v>
      </c>
      <c r="M980">
        <v>1624</v>
      </c>
      <c r="N980" t="s">
        <v>17</v>
      </c>
      <c r="O980" t="s">
        <v>25</v>
      </c>
      <c r="P980">
        <v>29617</v>
      </c>
      <c r="Q980" t="s">
        <v>19</v>
      </c>
      <c r="R980">
        <v>43044</v>
      </c>
      <c r="S980" t="str">
        <f>VLOOKUP(L980&amp;TEXT(I980,"mmmm")&amp;YEAR(I980),'[1]Detalle C-Fecha'!$D$2:$E$15921,2,FALSE)</f>
        <v>SUC_SLU - Sucursal San Luis</v>
      </c>
    </row>
    <row r="981" spans="1:19" x14ac:dyDescent="0.3">
      <c r="A981">
        <v>35100</v>
      </c>
      <c r="B981" t="s">
        <v>28</v>
      </c>
      <c r="C981" t="s">
        <v>15</v>
      </c>
      <c r="D981" t="s">
        <v>16</v>
      </c>
      <c r="E981" t="s">
        <v>51</v>
      </c>
      <c r="F981" s="6" t="str">
        <f t="shared" si="15"/>
        <v>2MC</v>
      </c>
      <c r="G981" s="11">
        <v>46175</v>
      </c>
      <c r="H981" s="12">
        <v>0.53680555555555554</v>
      </c>
      <c r="I981" s="11">
        <v>46172</v>
      </c>
      <c r="J981" s="1">
        <v>46172</v>
      </c>
      <c r="K981" s="1">
        <v>46172</v>
      </c>
      <c r="L981" t="s">
        <v>252</v>
      </c>
      <c r="M981">
        <v>1318</v>
      </c>
      <c r="N981" t="s">
        <v>17</v>
      </c>
      <c r="O981" t="s">
        <v>24</v>
      </c>
      <c r="P981">
        <v>29614</v>
      </c>
      <c r="Q981" t="s">
        <v>19</v>
      </c>
      <c r="R981">
        <v>43033</v>
      </c>
      <c r="S981" t="str">
        <f>VLOOKUP(L981&amp;TEXT(I981,"mmmm")&amp;YEAR(I981),'[1]Detalle C-Fecha'!$D$2:$E$15921,2,FALSE)</f>
        <v>CENCO_MZ - Cencosud SA - Mendoza</v>
      </c>
    </row>
    <row r="982" spans="1:19" x14ac:dyDescent="0.3">
      <c r="A982">
        <v>35100</v>
      </c>
      <c r="B982" t="s">
        <v>28</v>
      </c>
      <c r="C982" t="s">
        <v>15</v>
      </c>
      <c r="D982" t="s">
        <v>16</v>
      </c>
      <c r="E982" t="s">
        <v>51</v>
      </c>
      <c r="F982" s="6" t="str">
        <f t="shared" si="15"/>
        <v>2MC</v>
      </c>
      <c r="G982" s="11">
        <v>46175</v>
      </c>
      <c r="H982" s="12">
        <v>0.53680555555555554</v>
      </c>
      <c r="I982" s="11">
        <v>46172</v>
      </c>
      <c r="J982" s="1">
        <v>46172</v>
      </c>
      <c r="K982" s="1">
        <v>46172</v>
      </c>
      <c r="L982" t="s">
        <v>252</v>
      </c>
      <c r="M982">
        <v>1318</v>
      </c>
      <c r="N982" t="s">
        <v>17</v>
      </c>
      <c r="O982" t="s">
        <v>24</v>
      </c>
      <c r="P982">
        <v>29614</v>
      </c>
      <c r="Q982" t="s">
        <v>19</v>
      </c>
      <c r="R982">
        <v>43034</v>
      </c>
      <c r="S982" t="str">
        <f>VLOOKUP(L982&amp;TEXT(I982,"mmmm")&amp;YEAR(I982),'[1]Detalle C-Fecha'!$D$2:$E$15921,2,FALSE)</f>
        <v>CENCO_MZ - Cencosud SA - Mendoza</v>
      </c>
    </row>
    <row r="983" spans="1:19" x14ac:dyDescent="0.3">
      <c r="A983">
        <v>35101</v>
      </c>
      <c r="B983" t="s">
        <v>28</v>
      </c>
      <c r="C983" t="s">
        <v>15</v>
      </c>
      <c r="D983" t="s">
        <v>16</v>
      </c>
      <c r="E983" t="s">
        <v>53</v>
      </c>
      <c r="F983" s="6" t="str">
        <f t="shared" si="15"/>
        <v>3MC</v>
      </c>
      <c r="G983" s="11">
        <v>46175</v>
      </c>
      <c r="H983" s="12">
        <v>0.53680555555555554</v>
      </c>
      <c r="I983" s="11">
        <v>46172</v>
      </c>
      <c r="J983" s="1">
        <v>46172</v>
      </c>
      <c r="K983" s="1">
        <v>46172</v>
      </c>
      <c r="L983" t="s">
        <v>252</v>
      </c>
      <c r="M983">
        <v>1318</v>
      </c>
      <c r="N983" t="s">
        <v>17</v>
      </c>
      <c r="O983" t="s">
        <v>24</v>
      </c>
      <c r="P983">
        <v>29615</v>
      </c>
      <c r="Q983" t="s">
        <v>123</v>
      </c>
      <c r="R983">
        <v>43031</v>
      </c>
      <c r="S983" t="str">
        <f>VLOOKUP(L983&amp;TEXT(I983,"mmmm")&amp;YEAR(I983),'[1]Detalle C-Fecha'!$D$2:$E$15921,2,FALSE)</f>
        <v>CENCO_MZ - Cencosud SA - Mendoza</v>
      </c>
    </row>
    <row r="984" spans="1:19" x14ac:dyDescent="0.3">
      <c r="A984">
        <v>35101</v>
      </c>
      <c r="B984" t="s">
        <v>28</v>
      </c>
      <c r="C984" t="s">
        <v>15</v>
      </c>
      <c r="D984" t="s">
        <v>16</v>
      </c>
      <c r="E984" t="s">
        <v>53</v>
      </c>
      <c r="F984" s="6" t="str">
        <f t="shared" si="15"/>
        <v>3MC</v>
      </c>
      <c r="G984" s="11">
        <v>46175</v>
      </c>
      <c r="H984" s="12">
        <v>0.53680555555555554</v>
      </c>
      <c r="I984" s="11">
        <v>46172</v>
      </c>
      <c r="J984" s="1">
        <v>46172</v>
      </c>
      <c r="K984" s="1">
        <v>46172</v>
      </c>
      <c r="L984" t="s">
        <v>252</v>
      </c>
      <c r="M984">
        <v>1318</v>
      </c>
      <c r="N984" t="s">
        <v>17</v>
      </c>
      <c r="O984" t="s">
        <v>24</v>
      </c>
      <c r="P984">
        <v>29615</v>
      </c>
      <c r="Q984" t="s">
        <v>123</v>
      </c>
      <c r="R984">
        <v>43032</v>
      </c>
      <c r="S984" t="str">
        <f>VLOOKUP(L984&amp;TEXT(I984,"mmmm")&amp;YEAR(I984),'[1]Detalle C-Fecha'!$D$2:$E$15921,2,FALSE)</f>
        <v>CENCO_MZ - Cencosud SA - Mendoza</v>
      </c>
    </row>
    <row r="985" spans="1:19" x14ac:dyDescent="0.3">
      <c r="A985">
        <v>35102</v>
      </c>
      <c r="B985" t="s">
        <v>28</v>
      </c>
      <c r="C985" t="s">
        <v>15</v>
      </c>
      <c r="D985" t="s">
        <v>16</v>
      </c>
      <c r="E985" t="s">
        <v>52</v>
      </c>
      <c r="F985" s="6" t="str">
        <f t="shared" si="15"/>
        <v>6MC</v>
      </c>
      <c r="G985" s="11">
        <v>46175</v>
      </c>
      <c r="H985" s="12">
        <v>0.53680555555555554</v>
      </c>
      <c r="I985" s="11">
        <v>46172</v>
      </c>
      <c r="J985" s="1">
        <v>46172</v>
      </c>
      <c r="K985" s="1">
        <v>46172</v>
      </c>
      <c r="L985" t="s">
        <v>252</v>
      </c>
      <c r="M985">
        <v>1318</v>
      </c>
      <c r="N985" t="s">
        <v>17</v>
      </c>
      <c r="O985" t="s">
        <v>24</v>
      </c>
      <c r="P985">
        <v>29616</v>
      </c>
      <c r="Q985" t="s">
        <v>19</v>
      </c>
      <c r="R985">
        <v>43041</v>
      </c>
      <c r="S985" t="str">
        <f>VLOOKUP(L985&amp;TEXT(I985,"mmmm")&amp;YEAR(I985),'[1]Detalle C-Fecha'!$D$2:$E$15921,2,FALSE)</f>
        <v>CENCO_MZ - Cencosud SA - Mendoza</v>
      </c>
    </row>
    <row r="986" spans="1:19" x14ac:dyDescent="0.3">
      <c r="A986">
        <v>35102</v>
      </c>
      <c r="B986" t="s">
        <v>28</v>
      </c>
      <c r="C986" t="s">
        <v>15</v>
      </c>
      <c r="D986" t="s">
        <v>16</v>
      </c>
      <c r="E986" t="s">
        <v>52</v>
      </c>
      <c r="F986" s="6" t="str">
        <f t="shared" si="15"/>
        <v>6MC</v>
      </c>
      <c r="G986" s="11">
        <v>46175</v>
      </c>
      <c r="H986" s="12">
        <v>0.53680555555555554</v>
      </c>
      <c r="I986" s="11">
        <v>46172</v>
      </c>
      <c r="J986" s="1">
        <v>46172</v>
      </c>
      <c r="K986" s="1">
        <v>46172</v>
      </c>
      <c r="L986" t="s">
        <v>252</v>
      </c>
      <c r="M986">
        <v>1318</v>
      </c>
      <c r="N986" t="s">
        <v>17</v>
      </c>
      <c r="O986" t="s">
        <v>24</v>
      </c>
      <c r="P986">
        <v>29616</v>
      </c>
      <c r="Q986" t="s">
        <v>19</v>
      </c>
      <c r="R986">
        <v>43042</v>
      </c>
      <c r="S986" t="str">
        <f>VLOOKUP(L986&amp;TEXT(I986,"mmmm")&amp;YEAR(I986),'[1]Detalle C-Fecha'!$D$2:$E$15921,2,FALSE)</f>
        <v>CENCO_MZ - Cencosud SA - Mendoza</v>
      </c>
    </row>
    <row r="987" spans="1:19" x14ac:dyDescent="0.3">
      <c r="A987">
        <v>35106</v>
      </c>
      <c r="B987" t="s">
        <v>28</v>
      </c>
      <c r="C987" t="s">
        <v>124</v>
      </c>
      <c r="D987" t="s">
        <v>23</v>
      </c>
      <c r="E987" t="s">
        <v>51</v>
      </c>
      <c r="F987" s="6" t="str">
        <f t="shared" si="15"/>
        <v>2MC</v>
      </c>
      <c r="G987" s="11">
        <v>46175</v>
      </c>
      <c r="H987" s="12">
        <v>0.58402777777777781</v>
      </c>
      <c r="I987" s="11">
        <v>46175</v>
      </c>
      <c r="J987" s="1">
        <v>46175</v>
      </c>
      <c r="K987" s="1">
        <v>46175</v>
      </c>
      <c r="L987" t="s">
        <v>253</v>
      </c>
      <c r="M987">
        <v>1318</v>
      </c>
      <c r="N987" t="s">
        <v>31</v>
      </c>
      <c r="O987" t="s">
        <v>25</v>
      </c>
      <c r="P987">
        <v>29624</v>
      </c>
      <c r="Q987" t="s">
        <v>123</v>
      </c>
      <c r="S987" t="str">
        <f>VLOOKUP(L987&amp;TEXT(I987,"mmmm")&amp;YEAR(I987),'[1]Detalle C-Fecha'!$D$2:$E$15921,2,FALSE)</f>
        <v>SUC_REA - Sucursal Realicó</v>
      </c>
    </row>
    <row r="988" spans="1:19" x14ac:dyDescent="0.3">
      <c r="A988">
        <v>35107</v>
      </c>
      <c r="B988" t="s">
        <v>28</v>
      </c>
      <c r="C988" t="s">
        <v>124</v>
      </c>
      <c r="D988" t="s">
        <v>23</v>
      </c>
      <c r="E988" t="s">
        <v>53</v>
      </c>
      <c r="F988" s="6" t="str">
        <f t="shared" si="15"/>
        <v>3MC</v>
      </c>
      <c r="G988" s="11">
        <v>46175</v>
      </c>
      <c r="H988" s="12">
        <v>0.58402777777777781</v>
      </c>
      <c r="I988" s="11">
        <v>46175</v>
      </c>
      <c r="J988" s="1">
        <v>46175</v>
      </c>
      <c r="K988" s="1">
        <v>46175</v>
      </c>
      <c r="L988" t="s">
        <v>253</v>
      </c>
      <c r="M988">
        <v>1318</v>
      </c>
      <c r="N988" t="s">
        <v>31</v>
      </c>
      <c r="O988" t="s">
        <v>25</v>
      </c>
      <c r="P988">
        <v>29625</v>
      </c>
      <c r="Q988" t="s">
        <v>123</v>
      </c>
      <c r="S988" t="str">
        <f>VLOOKUP(L988&amp;TEXT(I988,"mmmm")&amp;YEAR(I988),'[1]Detalle C-Fecha'!$D$2:$E$15921,2,FALSE)</f>
        <v>SUC_REA - Sucursal Realicó</v>
      </c>
    </row>
    <row r="989" spans="1:19" x14ac:dyDescent="0.3">
      <c r="A989">
        <v>35109</v>
      </c>
      <c r="B989" t="s">
        <v>28</v>
      </c>
      <c r="C989" t="s">
        <v>15</v>
      </c>
      <c r="D989" t="s">
        <v>23</v>
      </c>
      <c r="E989" t="s">
        <v>51</v>
      </c>
      <c r="F989" s="6" t="str">
        <f t="shared" si="15"/>
        <v>2MC</v>
      </c>
      <c r="G989" s="11">
        <v>46175</v>
      </c>
      <c r="H989" s="12">
        <v>0.62222222222222223</v>
      </c>
      <c r="I989" s="11">
        <v>46175</v>
      </c>
      <c r="J989" s="1">
        <v>46175</v>
      </c>
      <c r="K989" s="1">
        <v>46181</v>
      </c>
      <c r="L989" t="s">
        <v>254</v>
      </c>
      <c r="M989">
        <v>1318</v>
      </c>
      <c r="N989" t="s">
        <v>208</v>
      </c>
      <c r="O989" t="s">
        <v>27</v>
      </c>
      <c r="P989">
        <v>29626</v>
      </c>
      <c r="Q989" t="s">
        <v>123</v>
      </c>
      <c r="S989" t="str">
        <f>VLOOKUP(L989&amp;TEXT(I989,"mmmm")&amp;YEAR(I989),'[1]Detalle C-Fecha'!$D$2:$E$15921,2,FALSE)</f>
        <v>Unilever - Unilever de Arg. S.A.</v>
      </c>
    </row>
    <row r="990" spans="1:19" x14ac:dyDescent="0.3">
      <c r="A990">
        <v>35110</v>
      </c>
      <c r="B990" t="s">
        <v>28</v>
      </c>
      <c r="C990" t="s">
        <v>15</v>
      </c>
      <c r="D990" t="s">
        <v>23</v>
      </c>
      <c r="E990" t="s">
        <v>53</v>
      </c>
      <c r="F990" s="6" t="str">
        <f t="shared" si="15"/>
        <v>3MC</v>
      </c>
      <c r="G990" s="11">
        <v>46175</v>
      </c>
      <c r="H990" s="12">
        <v>0.62222222222222223</v>
      </c>
      <c r="I990" s="11">
        <v>46175</v>
      </c>
      <c r="J990" s="1">
        <v>46175</v>
      </c>
      <c r="K990" s="1">
        <v>46181</v>
      </c>
      <c r="L990" t="s">
        <v>254</v>
      </c>
      <c r="M990">
        <v>1318</v>
      </c>
      <c r="N990" t="s">
        <v>208</v>
      </c>
      <c r="O990" t="s">
        <v>27</v>
      </c>
      <c r="P990">
        <v>29627</v>
      </c>
      <c r="Q990" t="s">
        <v>123</v>
      </c>
      <c r="S990" t="str">
        <f>VLOOKUP(L990&amp;TEXT(I990,"mmmm")&amp;YEAR(I990),'[1]Detalle C-Fecha'!$D$2:$E$15921,2,FALSE)</f>
        <v>Unilever - Unilever de Arg. S.A.</v>
      </c>
    </row>
    <row r="991" spans="1:19" x14ac:dyDescent="0.3">
      <c r="A991">
        <v>35111</v>
      </c>
      <c r="B991" t="s">
        <v>28</v>
      </c>
      <c r="C991" t="s">
        <v>15</v>
      </c>
      <c r="D991" t="s">
        <v>23</v>
      </c>
      <c r="E991" t="s">
        <v>52</v>
      </c>
      <c r="F991" s="6" t="str">
        <f t="shared" si="15"/>
        <v>6MC</v>
      </c>
      <c r="G991" s="11">
        <v>46175</v>
      </c>
      <c r="H991" s="12">
        <v>0.62222222222222223</v>
      </c>
      <c r="I991" s="11">
        <v>46175</v>
      </c>
      <c r="J991" s="1">
        <v>46175</v>
      </c>
      <c r="K991" s="1">
        <v>46181</v>
      </c>
      <c r="L991" t="s">
        <v>254</v>
      </c>
      <c r="M991">
        <v>1318</v>
      </c>
      <c r="N991" t="s">
        <v>208</v>
      </c>
      <c r="O991" t="s">
        <v>27</v>
      </c>
      <c r="P991">
        <v>29628</v>
      </c>
      <c r="Q991" t="s">
        <v>123</v>
      </c>
      <c r="S991" t="str">
        <f>VLOOKUP(L991&amp;TEXT(I991,"mmmm")&amp;YEAR(I991),'[1]Detalle C-Fecha'!$D$2:$E$15921,2,FALSE)</f>
        <v>Unilever - Unilever de Arg. S.A.</v>
      </c>
    </row>
    <row r="992" spans="1:19" x14ac:dyDescent="0.3">
      <c r="A992">
        <v>35116</v>
      </c>
      <c r="B992" t="s">
        <v>28</v>
      </c>
      <c r="C992" t="s">
        <v>15</v>
      </c>
      <c r="D992" t="s">
        <v>23</v>
      </c>
      <c r="E992" t="s">
        <v>113</v>
      </c>
      <c r="F992" s="6" t="str">
        <f t="shared" si="15"/>
        <v>2MC</v>
      </c>
      <c r="G992" s="11">
        <v>46175</v>
      </c>
      <c r="H992" s="12">
        <v>0.70138888888888884</v>
      </c>
      <c r="I992" s="11">
        <v>46175</v>
      </c>
      <c r="J992" s="1">
        <v>46175</v>
      </c>
      <c r="K992" s="1">
        <v>46181</v>
      </c>
      <c r="L992" t="s">
        <v>255</v>
      </c>
      <c r="M992" t="s">
        <v>128</v>
      </c>
      <c r="N992" t="s">
        <v>208</v>
      </c>
      <c r="O992" t="s">
        <v>18</v>
      </c>
      <c r="P992">
        <v>29634</v>
      </c>
      <c r="Q992" t="s">
        <v>123</v>
      </c>
      <c r="S992" t="str">
        <f>VLOOKUP(L992&amp;TEXT(I992,"mmmm")&amp;YEAR(I992),'[1]Detalle C-Fecha'!$D$2:$E$15921,2,FALSE)</f>
        <v>CMQ_TTE - QUILMES TTE</v>
      </c>
    </row>
    <row r="993" spans="1:19" x14ac:dyDescent="0.3">
      <c r="A993">
        <v>35117</v>
      </c>
      <c r="B993" t="s">
        <v>28</v>
      </c>
      <c r="C993" t="s">
        <v>15</v>
      </c>
      <c r="D993" t="s">
        <v>23</v>
      </c>
      <c r="E993" t="s">
        <v>122</v>
      </c>
      <c r="F993" s="6" t="str">
        <f t="shared" si="15"/>
        <v>3MC</v>
      </c>
      <c r="G993" s="11">
        <v>46175</v>
      </c>
      <c r="H993" s="12">
        <v>0.70138888888888884</v>
      </c>
      <c r="I993" s="11">
        <v>46175</v>
      </c>
      <c r="J993" s="1">
        <v>46175</v>
      </c>
      <c r="K993" s="1">
        <v>46181</v>
      </c>
      <c r="L993" t="s">
        <v>255</v>
      </c>
      <c r="M993" t="s">
        <v>128</v>
      </c>
      <c r="N993" t="s">
        <v>208</v>
      </c>
      <c r="O993" t="s">
        <v>18</v>
      </c>
      <c r="P993">
        <v>29635</v>
      </c>
      <c r="Q993" t="s">
        <v>123</v>
      </c>
      <c r="S993" t="str">
        <f>VLOOKUP(L993&amp;TEXT(I993,"mmmm")&amp;YEAR(I993),'[1]Detalle C-Fecha'!$D$2:$E$15921,2,FALSE)</f>
        <v>CMQ_TTE - QUILMES TTE</v>
      </c>
    </row>
    <row r="994" spans="1:19" x14ac:dyDescent="0.3">
      <c r="A994">
        <v>35118</v>
      </c>
      <c r="B994" t="s">
        <v>28</v>
      </c>
      <c r="C994" t="s">
        <v>15</v>
      </c>
      <c r="D994" t="s">
        <v>23</v>
      </c>
      <c r="E994" t="s">
        <v>114</v>
      </c>
      <c r="F994" s="6" t="str">
        <f t="shared" si="15"/>
        <v>6MC</v>
      </c>
      <c r="G994" s="11">
        <v>46175</v>
      </c>
      <c r="H994" s="12">
        <v>0.70138888888888884</v>
      </c>
      <c r="I994" s="11">
        <v>46175</v>
      </c>
      <c r="J994" s="1">
        <v>46175</v>
      </c>
      <c r="K994" s="1">
        <v>46181</v>
      </c>
      <c r="L994" t="s">
        <v>255</v>
      </c>
      <c r="M994" t="s">
        <v>128</v>
      </c>
      <c r="N994" t="s">
        <v>208</v>
      </c>
      <c r="O994" t="s">
        <v>18</v>
      </c>
      <c r="P994">
        <v>29636</v>
      </c>
      <c r="Q994" t="s">
        <v>123</v>
      </c>
      <c r="S994" t="str">
        <f>VLOOKUP(L994&amp;TEXT(I994,"mmmm")&amp;YEAR(I994),'[1]Detalle C-Fecha'!$D$2:$E$15921,2,FALSE)</f>
        <v>CMQ_TTE - QUILMES TTE</v>
      </c>
    </row>
    <row r="995" spans="1:19" x14ac:dyDescent="0.3">
      <c r="A995">
        <v>35146</v>
      </c>
      <c r="B995" t="s">
        <v>28</v>
      </c>
      <c r="C995" t="s">
        <v>124</v>
      </c>
      <c r="D995" t="s">
        <v>23</v>
      </c>
      <c r="E995" t="s">
        <v>51</v>
      </c>
      <c r="F995" s="6" t="str">
        <f t="shared" si="15"/>
        <v>2MC</v>
      </c>
      <c r="G995" s="11">
        <v>46176</v>
      </c>
      <c r="H995" s="12">
        <v>0.47916666666666669</v>
      </c>
      <c r="I995" s="11">
        <v>46174</v>
      </c>
      <c r="J995" s="1">
        <v>46174</v>
      </c>
      <c r="K995" s="1">
        <v>46174</v>
      </c>
      <c r="L995" t="s">
        <v>256</v>
      </c>
      <c r="M995" t="s">
        <v>237</v>
      </c>
      <c r="N995" t="s">
        <v>31</v>
      </c>
      <c r="S995" t="str">
        <f>VLOOKUP(L995&amp;TEXT(I995,"mmmm")&amp;YEAR(I995),'[1]Detalle C-Fecha'!$D$2:$E$15921,2,FALSE)</f>
        <v>CIMSA_SRA</v>
      </c>
    </row>
    <row r="996" spans="1:19" x14ac:dyDescent="0.3">
      <c r="A996">
        <v>35154</v>
      </c>
      <c r="B996" t="s">
        <v>28</v>
      </c>
      <c r="C996" t="s">
        <v>15</v>
      </c>
      <c r="D996" t="s">
        <v>23</v>
      </c>
      <c r="E996" t="s">
        <v>51</v>
      </c>
      <c r="F996" s="6" t="str">
        <f t="shared" si="15"/>
        <v>2MC</v>
      </c>
      <c r="G996" s="11">
        <v>46176</v>
      </c>
      <c r="H996" s="12">
        <v>0.62777777777777777</v>
      </c>
      <c r="I996" s="11">
        <v>46176</v>
      </c>
      <c r="J996" s="1">
        <v>46176</v>
      </c>
      <c r="K996" s="1">
        <v>46181</v>
      </c>
      <c r="L996" t="s">
        <v>258</v>
      </c>
      <c r="M996" t="s">
        <v>178</v>
      </c>
      <c r="N996" t="s">
        <v>208</v>
      </c>
      <c r="O996" t="s">
        <v>27</v>
      </c>
      <c r="P996">
        <v>29666</v>
      </c>
      <c r="Q996" t="s">
        <v>123</v>
      </c>
      <c r="S996" t="str">
        <f>VLOOKUP(L996&amp;TEXT(I996,"mmmm")&amp;YEAR(I996),'[1]Detalle C-Fecha'!$D$2:$E$15921,2,FALSE)</f>
        <v>CCUCoAZA</v>
      </c>
    </row>
    <row r="997" spans="1:19" x14ac:dyDescent="0.3">
      <c r="A997">
        <v>35155</v>
      </c>
      <c r="B997" t="s">
        <v>28</v>
      </c>
      <c r="C997" t="s">
        <v>15</v>
      </c>
      <c r="D997" t="s">
        <v>23</v>
      </c>
      <c r="E997" t="s">
        <v>53</v>
      </c>
      <c r="F997" s="6" t="str">
        <f t="shared" si="15"/>
        <v>3MC</v>
      </c>
      <c r="G997" s="11">
        <v>46176</v>
      </c>
      <c r="H997" s="12">
        <v>0.62777777777777777</v>
      </c>
      <c r="I997" s="11">
        <v>46176</v>
      </c>
      <c r="J997" s="1">
        <v>46176</v>
      </c>
      <c r="K997" s="1">
        <v>46181</v>
      </c>
      <c r="L997" t="s">
        <v>258</v>
      </c>
      <c r="M997" t="s">
        <v>178</v>
      </c>
      <c r="N997" t="s">
        <v>208</v>
      </c>
      <c r="O997" t="s">
        <v>27</v>
      </c>
      <c r="P997">
        <v>29667</v>
      </c>
      <c r="Q997" t="s">
        <v>123</v>
      </c>
      <c r="S997" t="str">
        <f>VLOOKUP(L997&amp;TEXT(I997,"mmmm")&amp;YEAR(I997),'[1]Detalle C-Fecha'!$D$2:$E$15921,2,FALSE)</f>
        <v>CCUCoAZA</v>
      </c>
    </row>
    <row r="998" spans="1:19" x14ac:dyDescent="0.3">
      <c r="A998">
        <v>35156</v>
      </c>
      <c r="B998" t="s">
        <v>28</v>
      </c>
      <c r="C998" t="s">
        <v>15</v>
      </c>
      <c r="D998" t="s">
        <v>23</v>
      </c>
      <c r="E998" t="s">
        <v>112</v>
      </c>
      <c r="F998" s="6" t="str">
        <f t="shared" si="15"/>
        <v>6MC</v>
      </c>
      <c r="G998" s="11">
        <v>46176</v>
      </c>
      <c r="H998" s="12">
        <v>0.62777777777777777</v>
      </c>
      <c r="I998" s="11">
        <v>46176</v>
      </c>
      <c r="J998" s="1">
        <v>46176</v>
      </c>
      <c r="K998" s="1">
        <v>46181</v>
      </c>
      <c r="L998" t="s">
        <v>258</v>
      </c>
      <c r="M998" t="s">
        <v>178</v>
      </c>
      <c r="N998" t="s">
        <v>208</v>
      </c>
      <c r="O998" t="s">
        <v>27</v>
      </c>
      <c r="P998">
        <v>29668</v>
      </c>
      <c r="Q998" t="s">
        <v>123</v>
      </c>
      <c r="S998" t="str">
        <f>VLOOKUP(L998&amp;TEXT(I998,"mmmm")&amp;YEAR(I998),'[1]Detalle C-Fecha'!$D$2:$E$15921,2,FALSE)</f>
        <v>CCUCoAZA</v>
      </c>
    </row>
    <row r="999" spans="1:19" x14ac:dyDescent="0.3">
      <c r="A999">
        <v>35160</v>
      </c>
      <c r="B999" t="s">
        <v>28</v>
      </c>
      <c r="C999" t="s">
        <v>15</v>
      </c>
      <c r="D999" t="s">
        <v>23</v>
      </c>
      <c r="E999" t="s">
        <v>51</v>
      </c>
      <c r="F999" s="6" t="str">
        <f t="shared" si="15"/>
        <v>2MC</v>
      </c>
      <c r="G999" s="11">
        <v>46176</v>
      </c>
      <c r="H999" s="12">
        <v>0.6381944444444444</v>
      </c>
      <c r="I999" s="11">
        <v>46176</v>
      </c>
      <c r="J999" s="1">
        <v>46176</v>
      </c>
      <c r="K999" s="1">
        <v>46181</v>
      </c>
      <c r="L999" t="s">
        <v>259</v>
      </c>
      <c r="M999" t="s">
        <v>178</v>
      </c>
      <c r="N999" t="s">
        <v>208</v>
      </c>
      <c r="O999" t="s">
        <v>24</v>
      </c>
      <c r="P999">
        <v>29672</v>
      </c>
      <c r="Q999" t="s">
        <v>123</v>
      </c>
      <c r="S999" t="str">
        <f>VLOOKUP(L999&amp;TEXT(I999,"mmmm")&amp;YEAR(I999),'[1]Detalle C-Fecha'!$D$2:$E$15921,2,FALSE)</f>
        <v>CCUDyAZA</v>
      </c>
    </row>
    <row r="1000" spans="1:19" x14ac:dyDescent="0.3">
      <c r="A1000">
        <v>35161</v>
      </c>
      <c r="B1000" t="s">
        <v>28</v>
      </c>
      <c r="C1000" t="s">
        <v>15</v>
      </c>
      <c r="D1000" t="s">
        <v>23</v>
      </c>
      <c r="E1000" t="s">
        <v>53</v>
      </c>
      <c r="F1000" s="6" t="str">
        <f t="shared" si="15"/>
        <v>3MC</v>
      </c>
      <c r="G1000" s="11">
        <v>46176</v>
      </c>
      <c r="H1000" s="12">
        <v>0.6381944444444444</v>
      </c>
      <c r="I1000" s="11">
        <v>46176</v>
      </c>
      <c r="J1000" s="1">
        <v>46176</v>
      </c>
      <c r="K1000" s="1">
        <v>46181</v>
      </c>
      <c r="L1000" t="s">
        <v>259</v>
      </c>
      <c r="M1000" t="s">
        <v>178</v>
      </c>
      <c r="N1000" t="s">
        <v>208</v>
      </c>
      <c r="O1000" t="s">
        <v>24</v>
      </c>
      <c r="P1000">
        <v>29673</v>
      </c>
      <c r="Q1000" t="s">
        <v>123</v>
      </c>
      <c r="S1000" t="str">
        <f>VLOOKUP(L1000&amp;TEXT(I1000,"mmmm")&amp;YEAR(I1000),'[1]Detalle C-Fecha'!$D$2:$E$15921,2,FALSE)</f>
        <v>CCUDyAZA</v>
      </c>
    </row>
    <row r="1001" spans="1:19" x14ac:dyDescent="0.3">
      <c r="A1001">
        <v>35162</v>
      </c>
      <c r="B1001" t="s">
        <v>28</v>
      </c>
      <c r="C1001" t="s">
        <v>15</v>
      </c>
      <c r="D1001" t="s">
        <v>23</v>
      </c>
      <c r="E1001" t="s">
        <v>112</v>
      </c>
      <c r="F1001" s="6" t="str">
        <f t="shared" si="15"/>
        <v>6MC</v>
      </c>
      <c r="G1001" s="11">
        <v>46176</v>
      </c>
      <c r="H1001" s="12">
        <v>0.6381944444444444</v>
      </c>
      <c r="I1001" s="11">
        <v>46176</v>
      </c>
      <c r="J1001" s="1">
        <v>46176</v>
      </c>
      <c r="K1001" s="1">
        <v>46181</v>
      </c>
      <c r="L1001" t="s">
        <v>259</v>
      </c>
      <c r="M1001" t="s">
        <v>178</v>
      </c>
      <c r="N1001" t="s">
        <v>208</v>
      </c>
      <c r="O1001" t="s">
        <v>24</v>
      </c>
      <c r="P1001">
        <v>29674</v>
      </c>
      <c r="Q1001" t="s">
        <v>123</v>
      </c>
      <c r="S1001" t="str">
        <f>VLOOKUP(L1001&amp;TEXT(I1001,"mmmm")&amp;YEAR(I1001),'[1]Detalle C-Fecha'!$D$2:$E$15921,2,FALSE)</f>
        <v>CCUDyAZA</v>
      </c>
    </row>
    <row r="1002" spans="1:19" x14ac:dyDescent="0.3">
      <c r="A1002">
        <v>35183</v>
      </c>
      <c r="B1002" t="s">
        <v>28</v>
      </c>
      <c r="C1002" t="s">
        <v>124</v>
      </c>
      <c r="D1002" t="s">
        <v>23</v>
      </c>
      <c r="E1002" t="s">
        <v>35</v>
      </c>
      <c r="F1002" s="6" t="str">
        <f t="shared" si="15"/>
        <v>2ML</v>
      </c>
      <c r="G1002" s="11">
        <v>46177</v>
      </c>
      <c r="H1002" s="12">
        <v>0.42083333333333334</v>
      </c>
      <c r="I1002" s="11">
        <v>46177</v>
      </c>
      <c r="L1002" t="s">
        <v>101</v>
      </c>
      <c r="M1002" t="s">
        <v>126</v>
      </c>
      <c r="N1002" t="s">
        <v>208</v>
      </c>
      <c r="O1002" t="s">
        <v>24</v>
      </c>
      <c r="P1002">
        <v>29720</v>
      </c>
      <c r="Q1002" t="s">
        <v>123</v>
      </c>
      <c r="S1002" t="str">
        <f>VLOOKUP(L1002&amp;TEXT(I1002,"mmmm")&amp;YEAR(I1002),'[1]Detalle C-Fecha'!$D$2:$E$15921,2,FALSE)</f>
        <v>ADA_CH - Danone Arg. S.A. - Chascomus</v>
      </c>
    </row>
    <row r="1003" spans="1:19" x14ac:dyDescent="0.3">
      <c r="A1003">
        <v>35184</v>
      </c>
      <c r="B1003" t="s">
        <v>28</v>
      </c>
      <c r="C1003" t="s">
        <v>124</v>
      </c>
      <c r="D1003" t="s">
        <v>23</v>
      </c>
      <c r="E1003" t="s">
        <v>47</v>
      </c>
      <c r="F1003" s="6" t="str">
        <f t="shared" si="15"/>
        <v>3ML</v>
      </c>
      <c r="G1003" s="11">
        <v>46177</v>
      </c>
      <c r="H1003" s="12">
        <v>0.42083333333333334</v>
      </c>
      <c r="I1003" s="11">
        <v>46177</v>
      </c>
      <c r="L1003" t="s">
        <v>101</v>
      </c>
      <c r="M1003" t="s">
        <v>126</v>
      </c>
      <c r="N1003" t="s">
        <v>208</v>
      </c>
      <c r="O1003" t="s">
        <v>24</v>
      </c>
      <c r="P1003">
        <v>29721</v>
      </c>
      <c r="Q1003" t="s">
        <v>123</v>
      </c>
      <c r="S1003" t="str">
        <f>VLOOKUP(L1003&amp;TEXT(I1003,"mmmm")&amp;YEAR(I1003),'[1]Detalle C-Fecha'!$D$2:$E$15921,2,FALSE)</f>
        <v>ADA_CH - Danone Arg. S.A. - Chascomus</v>
      </c>
    </row>
    <row r="1004" spans="1:19" x14ac:dyDescent="0.3">
      <c r="A1004">
        <v>35185</v>
      </c>
      <c r="B1004" t="s">
        <v>28</v>
      </c>
      <c r="C1004" t="s">
        <v>124</v>
      </c>
      <c r="D1004" t="s">
        <v>23</v>
      </c>
      <c r="E1004" t="s">
        <v>46</v>
      </c>
      <c r="F1004" s="6" t="str">
        <f t="shared" si="15"/>
        <v>6ML</v>
      </c>
      <c r="G1004" s="11">
        <v>46177</v>
      </c>
      <c r="H1004" s="12">
        <v>0.42083333333333334</v>
      </c>
      <c r="I1004" s="11">
        <v>46177</v>
      </c>
      <c r="L1004" t="s">
        <v>101</v>
      </c>
      <c r="M1004" t="s">
        <v>126</v>
      </c>
      <c r="N1004" t="s">
        <v>208</v>
      </c>
      <c r="O1004" t="s">
        <v>24</v>
      </c>
      <c r="P1004">
        <v>29722</v>
      </c>
      <c r="Q1004" t="s">
        <v>123</v>
      </c>
      <c r="S1004" t="str">
        <f>VLOOKUP(L1004&amp;TEXT(I1004,"mmmm")&amp;YEAR(I1004),'[1]Detalle C-Fecha'!$D$2:$E$15921,2,FALSE)</f>
        <v>ADA_CH - Danone Arg. S.A. - Chascomus</v>
      </c>
    </row>
    <row r="1005" spans="1:19" x14ac:dyDescent="0.3">
      <c r="A1005">
        <v>35463</v>
      </c>
      <c r="B1005" t="s">
        <v>28</v>
      </c>
      <c r="C1005" t="s">
        <v>124</v>
      </c>
      <c r="D1005" t="s">
        <v>23</v>
      </c>
      <c r="E1005" t="s">
        <v>51</v>
      </c>
      <c r="F1005" s="6" t="str">
        <f t="shared" si="15"/>
        <v>2MC</v>
      </c>
      <c r="G1005" s="11">
        <v>46182</v>
      </c>
      <c r="H1005" s="12">
        <v>0.70416666666666661</v>
      </c>
      <c r="I1005" s="11">
        <v>46182</v>
      </c>
      <c r="J1005" s="1">
        <v>46182</v>
      </c>
      <c r="K1005" s="1">
        <v>46182</v>
      </c>
      <c r="L1005" t="s">
        <v>260</v>
      </c>
      <c r="M1005" t="s">
        <v>178</v>
      </c>
      <c r="N1005" t="s">
        <v>208</v>
      </c>
      <c r="O1005" t="s">
        <v>27</v>
      </c>
      <c r="P1005">
        <v>29876</v>
      </c>
      <c r="Q1005" t="s">
        <v>123</v>
      </c>
      <c r="S1005" t="str">
        <f>VLOOKUP(L1005&amp;TEXT(I1005,"mmmm")&amp;YEAR(I1005),'[1]Detalle C-Fecha'!$D$2:$E$15921,2,FALSE)</f>
        <v>CCUCoAZA</v>
      </c>
    </row>
    <row r="1006" spans="1:19" x14ac:dyDescent="0.3">
      <c r="A1006">
        <v>35464</v>
      </c>
      <c r="B1006" t="s">
        <v>28</v>
      </c>
      <c r="C1006" t="s">
        <v>124</v>
      </c>
      <c r="D1006" t="s">
        <v>23</v>
      </c>
      <c r="E1006" t="s">
        <v>53</v>
      </c>
      <c r="F1006" s="6" t="str">
        <f t="shared" si="15"/>
        <v>3MC</v>
      </c>
      <c r="G1006" s="11">
        <v>46182</v>
      </c>
      <c r="H1006" s="12">
        <v>0.70416666666666661</v>
      </c>
      <c r="I1006" s="11">
        <v>46182</v>
      </c>
      <c r="J1006" s="1">
        <v>46182</v>
      </c>
      <c r="K1006" s="1">
        <v>46182</v>
      </c>
      <c r="L1006" t="s">
        <v>260</v>
      </c>
      <c r="M1006" t="s">
        <v>178</v>
      </c>
      <c r="N1006" t="s">
        <v>208</v>
      </c>
      <c r="O1006" t="s">
        <v>27</v>
      </c>
      <c r="P1006">
        <v>29877</v>
      </c>
      <c r="Q1006" t="s">
        <v>123</v>
      </c>
      <c r="S1006" t="str">
        <f>VLOOKUP(L1006&amp;TEXT(I1006,"mmmm")&amp;YEAR(I1006),'[1]Detalle C-Fecha'!$D$2:$E$15921,2,FALSE)</f>
        <v>CCUCoAZA</v>
      </c>
    </row>
    <row r="1007" spans="1:19" x14ac:dyDescent="0.3">
      <c r="A1007">
        <v>35465</v>
      </c>
      <c r="B1007" t="s">
        <v>28</v>
      </c>
      <c r="C1007" t="s">
        <v>124</v>
      </c>
      <c r="D1007" t="s">
        <v>23</v>
      </c>
      <c r="E1007" t="s">
        <v>112</v>
      </c>
      <c r="F1007" s="6" t="str">
        <f t="shared" si="15"/>
        <v>6MC</v>
      </c>
      <c r="G1007" s="11">
        <v>46182</v>
      </c>
      <c r="H1007" s="12">
        <v>0.70416666666666661</v>
      </c>
      <c r="I1007" s="11">
        <v>46182</v>
      </c>
      <c r="J1007" s="1">
        <v>46182</v>
      </c>
      <c r="K1007" s="1">
        <v>46182</v>
      </c>
      <c r="L1007" t="s">
        <v>260</v>
      </c>
      <c r="M1007" t="s">
        <v>178</v>
      </c>
      <c r="N1007" t="s">
        <v>208</v>
      </c>
      <c r="O1007" t="s">
        <v>27</v>
      </c>
      <c r="P1007">
        <v>29878</v>
      </c>
      <c r="Q1007" t="s">
        <v>123</v>
      </c>
      <c r="S1007" t="str">
        <f>VLOOKUP(L1007&amp;TEXT(I1007,"mmmm")&amp;YEAR(I1007),'[1]Detalle C-Fecha'!$D$2:$E$15921,2,FALSE)</f>
        <v>CCUCoAZA</v>
      </c>
    </row>
    <row r="1008" spans="1:19" x14ac:dyDescent="0.3">
      <c r="A1008">
        <v>35470</v>
      </c>
      <c r="B1008" t="s">
        <v>28</v>
      </c>
      <c r="C1008" t="s">
        <v>124</v>
      </c>
      <c r="D1008" t="s">
        <v>23</v>
      </c>
      <c r="E1008" t="s">
        <v>51</v>
      </c>
      <c r="F1008" s="6" t="str">
        <f t="shared" si="15"/>
        <v>2MC</v>
      </c>
      <c r="G1008" s="11">
        <v>46182</v>
      </c>
      <c r="H1008" s="12">
        <v>0.77361111111111114</v>
      </c>
      <c r="I1008" s="11">
        <v>46182</v>
      </c>
      <c r="J1008" s="1">
        <v>46182</v>
      </c>
      <c r="K1008" s="1">
        <v>46182</v>
      </c>
      <c r="L1008" t="s">
        <v>261</v>
      </c>
      <c r="M1008" t="s">
        <v>130</v>
      </c>
      <c r="N1008" t="s">
        <v>208</v>
      </c>
      <c r="O1008" t="s">
        <v>27</v>
      </c>
      <c r="P1008">
        <v>29883</v>
      </c>
      <c r="Q1008" t="s">
        <v>123</v>
      </c>
      <c r="S1008" t="str">
        <f>VLOOKUP(L1008&amp;TEXT(I1008,"mmmm")&amp;YEAR(I1008),'[1]Detalle C-Fecha'!$D$2:$E$15921,2,FALSE)</f>
        <v>CCUCoAZA</v>
      </c>
    </row>
    <row r="1009" spans="1:19" x14ac:dyDescent="0.3">
      <c r="A1009">
        <v>35471</v>
      </c>
      <c r="B1009" t="s">
        <v>28</v>
      </c>
      <c r="C1009" t="s">
        <v>124</v>
      </c>
      <c r="D1009" t="s">
        <v>23</v>
      </c>
      <c r="E1009" t="s">
        <v>53</v>
      </c>
      <c r="F1009" s="6" t="str">
        <f t="shared" si="15"/>
        <v>3MC</v>
      </c>
      <c r="G1009" s="11">
        <v>46182</v>
      </c>
      <c r="H1009" s="12">
        <v>0.77361111111111114</v>
      </c>
      <c r="I1009" s="11">
        <v>46182</v>
      </c>
      <c r="J1009" s="1">
        <v>46182</v>
      </c>
      <c r="K1009" s="1">
        <v>46182</v>
      </c>
      <c r="L1009" t="s">
        <v>261</v>
      </c>
      <c r="M1009" t="s">
        <v>130</v>
      </c>
      <c r="N1009" t="s">
        <v>208</v>
      </c>
      <c r="O1009" t="s">
        <v>27</v>
      </c>
      <c r="P1009">
        <v>29884</v>
      </c>
      <c r="Q1009" t="s">
        <v>123</v>
      </c>
      <c r="S1009" t="str">
        <f>VLOOKUP(L1009&amp;TEXT(I1009,"mmmm")&amp;YEAR(I1009),'[1]Detalle C-Fecha'!$D$2:$E$15921,2,FALSE)</f>
        <v>CCUCoAZA</v>
      </c>
    </row>
    <row r="1010" spans="1:19" x14ac:dyDescent="0.3">
      <c r="A1010">
        <v>35472</v>
      </c>
      <c r="B1010" t="s">
        <v>28</v>
      </c>
      <c r="C1010" t="s">
        <v>124</v>
      </c>
      <c r="D1010" t="s">
        <v>23</v>
      </c>
      <c r="E1010" t="s">
        <v>52</v>
      </c>
      <c r="F1010" s="6" t="str">
        <f t="shared" si="15"/>
        <v>6MC</v>
      </c>
      <c r="G1010" s="11">
        <v>46182</v>
      </c>
      <c r="H1010" s="12">
        <v>0.77361111111111114</v>
      </c>
      <c r="I1010" s="11">
        <v>46182</v>
      </c>
      <c r="J1010" s="1">
        <v>46182</v>
      </c>
      <c r="K1010" s="1">
        <v>46182</v>
      </c>
      <c r="L1010" t="s">
        <v>261</v>
      </c>
      <c r="M1010" t="s">
        <v>130</v>
      </c>
      <c r="N1010" t="s">
        <v>208</v>
      </c>
      <c r="O1010" t="s">
        <v>27</v>
      </c>
      <c r="P1010">
        <v>29885</v>
      </c>
      <c r="Q1010" t="s">
        <v>123</v>
      </c>
      <c r="S1010" t="str">
        <f>VLOOKUP(L1010&amp;TEXT(I1010,"mmmm")&amp;YEAR(I1010),'[1]Detalle C-Fecha'!$D$2:$E$15921,2,FALSE)</f>
        <v>CCUCoAZA</v>
      </c>
    </row>
    <row r="1011" spans="1:19" x14ac:dyDescent="0.3">
      <c r="A1011">
        <v>35517</v>
      </c>
      <c r="B1011" t="s">
        <v>28</v>
      </c>
      <c r="C1011" t="s">
        <v>124</v>
      </c>
      <c r="D1011" t="s">
        <v>23</v>
      </c>
      <c r="E1011" t="s">
        <v>140</v>
      </c>
      <c r="F1011" s="6" t="str">
        <f t="shared" si="15"/>
        <v>4ML</v>
      </c>
      <c r="G1011" s="11">
        <v>46183</v>
      </c>
      <c r="H1011" s="12">
        <v>0.4375</v>
      </c>
      <c r="I1011" s="11">
        <v>46182</v>
      </c>
      <c r="L1011" t="s">
        <v>262</v>
      </c>
      <c r="M1011">
        <v>1318</v>
      </c>
      <c r="N1011" s="5" t="s">
        <v>17</v>
      </c>
      <c r="O1011" t="s">
        <v>24</v>
      </c>
      <c r="P1011">
        <v>29922</v>
      </c>
      <c r="Q1011" t="s">
        <v>123</v>
      </c>
      <c r="S1011" t="str">
        <f>VLOOKUP(L1011&amp;TEXT(I1011,"mmmm")&amp;YEAR(I1011),'[1]Detalle C-Fecha'!$D$2:$E$15921,2,FALSE)</f>
        <v>CENCO_SJ - Cencosud SA - San Juan</v>
      </c>
    </row>
    <row r="1012" spans="1:19" x14ac:dyDescent="0.3">
      <c r="A1012">
        <v>35518</v>
      </c>
      <c r="B1012" t="s">
        <v>28</v>
      </c>
      <c r="C1012" t="s">
        <v>124</v>
      </c>
      <c r="D1012" t="s">
        <v>23</v>
      </c>
      <c r="E1012" t="s">
        <v>141</v>
      </c>
      <c r="F1012" s="6" t="str">
        <f t="shared" si="15"/>
        <v>5ML</v>
      </c>
      <c r="G1012" s="11">
        <v>46183</v>
      </c>
      <c r="H1012" s="12">
        <v>0.4375</v>
      </c>
      <c r="I1012" s="11">
        <v>46182</v>
      </c>
      <c r="L1012" t="s">
        <v>262</v>
      </c>
      <c r="M1012">
        <v>1318</v>
      </c>
      <c r="N1012" s="5" t="s">
        <v>17</v>
      </c>
      <c r="O1012" t="s">
        <v>24</v>
      </c>
      <c r="P1012">
        <v>29923</v>
      </c>
      <c r="Q1012" t="s">
        <v>123</v>
      </c>
      <c r="S1012" t="str">
        <f>VLOOKUP(L1012&amp;TEXT(I1012,"mmmm")&amp;YEAR(I1012),'[1]Detalle C-Fecha'!$D$2:$E$15921,2,FALSE)</f>
        <v>CENCO_SJ - Cencosud SA - San Juan</v>
      </c>
    </row>
    <row r="1013" spans="1:19" x14ac:dyDescent="0.3">
      <c r="A1013">
        <v>35519</v>
      </c>
      <c r="B1013" t="s">
        <v>28</v>
      </c>
      <c r="C1013" t="s">
        <v>124</v>
      </c>
      <c r="D1013" t="s">
        <v>23</v>
      </c>
      <c r="E1013" t="s">
        <v>35</v>
      </c>
      <c r="F1013" s="6" t="str">
        <f t="shared" si="15"/>
        <v>2ML</v>
      </c>
      <c r="G1013" s="11">
        <v>46183</v>
      </c>
      <c r="H1013" s="12">
        <v>0.4375</v>
      </c>
      <c r="I1013" s="11">
        <v>46182</v>
      </c>
      <c r="L1013" t="s">
        <v>264</v>
      </c>
      <c r="M1013" t="s">
        <v>163</v>
      </c>
      <c r="N1013" s="5" t="s">
        <v>17</v>
      </c>
      <c r="O1013" t="s">
        <v>24</v>
      </c>
      <c r="P1013">
        <v>29924</v>
      </c>
      <c r="Q1013" t="s">
        <v>123</v>
      </c>
      <c r="S1013" t="str">
        <f>VLOOKUP(L1013&amp;TEXT(I1013,"mmmm")&amp;YEAR(I1013),'[1]Detalle C-Fecha'!$D$2:$E$15921,2,FALSE)</f>
        <v>CENCOMLD - Cencosud SA - Mendoza</v>
      </c>
    </row>
    <row r="1014" spans="1:19" x14ac:dyDescent="0.3">
      <c r="A1014">
        <v>35520</v>
      </c>
      <c r="B1014" t="s">
        <v>28</v>
      </c>
      <c r="C1014" t="s">
        <v>124</v>
      </c>
      <c r="D1014" t="s">
        <v>23</v>
      </c>
      <c r="E1014" t="s">
        <v>47</v>
      </c>
      <c r="F1014" s="6" t="str">
        <f t="shared" si="15"/>
        <v>3ML</v>
      </c>
      <c r="G1014" s="11">
        <v>46183</v>
      </c>
      <c r="H1014" s="12">
        <v>0.4375</v>
      </c>
      <c r="I1014" s="11">
        <v>46182</v>
      </c>
      <c r="L1014" t="s">
        <v>264</v>
      </c>
      <c r="M1014" t="s">
        <v>163</v>
      </c>
      <c r="N1014" s="5" t="s">
        <v>17</v>
      </c>
      <c r="O1014" t="s">
        <v>24</v>
      </c>
      <c r="P1014">
        <v>29925</v>
      </c>
      <c r="Q1014" t="s">
        <v>123</v>
      </c>
      <c r="S1014" t="str">
        <f>VLOOKUP(L1014&amp;TEXT(I1014,"mmmm")&amp;YEAR(I1014),'[1]Detalle C-Fecha'!$D$2:$E$15921,2,FALSE)</f>
        <v>CENCOMLD - Cencosud SA - Mendoza</v>
      </c>
    </row>
    <row r="1015" spans="1:19" x14ac:dyDescent="0.3">
      <c r="A1015">
        <v>35521</v>
      </c>
      <c r="B1015" t="s">
        <v>28</v>
      </c>
      <c r="C1015" t="s">
        <v>124</v>
      </c>
      <c r="D1015" t="s">
        <v>23</v>
      </c>
      <c r="E1015" t="s">
        <v>46</v>
      </c>
      <c r="F1015" s="6" t="str">
        <f t="shared" si="15"/>
        <v>6ML</v>
      </c>
      <c r="G1015" s="11">
        <v>46183</v>
      </c>
      <c r="H1015" s="12">
        <v>0.4375</v>
      </c>
      <c r="I1015" s="11">
        <v>46182</v>
      </c>
      <c r="L1015" t="s">
        <v>264</v>
      </c>
      <c r="M1015" t="s">
        <v>163</v>
      </c>
      <c r="N1015" s="5" t="s">
        <v>17</v>
      </c>
      <c r="O1015" t="s">
        <v>24</v>
      </c>
      <c r="P1015">
        <v>29926</v>
      </c>
      <c r="Q1015" t="s">
        <v>123</v>
      </c>
      <c r="S1015" t="str">
        <f>VLOOKUP(L1015&amp;TEXT(I1015,"mmmm")&amp;YEAR(I1015),'[1]Detalle C-Fecha'!$D$2:$E$15921,2,FALSE)</f>
        <v>CENCOMLD - Cencosud SA - Mendoza</v>
      </c>
    </row>
    <row r="1016" spans="1:19" x14ac:dyDescent="0.3">
      <c r="A1016">
        <v>35538</v>
      </c>
      <c r="B1016" t="s">
        <v>28</v>
      </c>
      <c r="C1016" t="s">
        <v>124</v>
      </c>
      <c r="D1016" t="s">
        <v>23</v>
      </c>
      <c r="E1016" t="s">
        <v>118</v>
      </c>
      <c r="F1016" s="6" t="str">
        <f t="shared" si="15"/>
        <v>2ML</v>
      </c>
      <c r="G1016" s="11">
        <v>46183</v>
      </c>
      <c r="H1016" s="12">
        <v>0.48333333333333334</v>
      </c>
      <c r="I1016" s="11">
        <v>46183</v>
      </c>
      <c r="L1016" t="s">
        <v>165</v>
      </c>
      <c r="M1016" t="s">
        <v>142</v>
      </c>
      <c r="N1016" s="5" t="s">
        <v>208</v>
      </c>
      <c r="O1016" t="s">
        <v>25</v>
      </c>
      <c r="P1016">
        <v>29941</v>
      </c>
      <c r="Q1016" t="s">
        <v>123</v>
      </c>
      <c r="S1016" t="str">
        <f>VLOOKUP(L1016&amp;TEXT(I1016,"mmmm")&amp;YEAR(I1016),'[1]Detalle C-Fecha'!$D$2:$E$15921,2,FALSE)</f>
        <v>Expreso - Servicios Troncales</v>
      </c>
    </row>
    <row r="1017" spans="1:19" x14ac:dyDescent="0.3">
      <c r="A1017">
        <v>35539</v>
      </c>
      <c r="B1017" t="s">
        <v>28</v>
      </c>
      <c r="C1017" t="s">
        <v>124</v>
      </c>
      <c r="D1017" t="s">
        <v>23</v>
      </c>
      <c r="E1017" t="s">
        <v>119</v>
      </c>
      <c r="F1017" s="6" t="str">
        <f t="shared" si="15"/>
        <v>3ML</v>
      </c>
      <c r="G1017" s="11">
        <v>46183</v>
      </c>
      <c r="H1017" s="12">
        <v>0.48333333333333334</v>
      </c>
      <c r="I1017" s="11">
        <v>46183</v>
      </c>
      <c r="L1017" t="s">
        <v>165</v>
      </c>
      <c r="M1017" t="s">
        <v>142</v>
      </c>
      <c r="N1017" s="5" t="s">
        <v>208</v>
      </c>
      <c r="O1017" t="s">
        <v>25</v>
      </c>
      <c r="P1017">
        <v>29942</v>
      </c>
      <c r="Q1017" t="s">
        <v>123</v>
      </c>
      <c r="S1017" t="str">
        <f>VLOOKUP(L1017&amp;TEXT(I1017,"mmmm")&amp;YEAR(I1017),'[1]Detalle C-Fecha'!$D$2:$E$15921,2,FALSE)</f>
        <v>Expreso - Servicios Troncales</v>
      </c>
    </row>
    <row r="1018" spans="1:19" x14ac:dyDescent="0.3">
      <c r="A1018">
        <v>35540</v>
      </c>
      <c r="B1018" t="s">
        <v>28</v>
      </c>
      <c r="C1018" t="s">
        <v>124</v>
      </c>
      <c r="D1018" t="s">
        <v>23</v>
      </c>
      <c r="E1018" t="s">
        <v>120</v>
      </c>
      <c r="F1018" s="6" t="str">
        <f t="shared" si="15"/>
        <v>6ML</v>
      </c>
      <c r="G1018" s="11">
        <v>46183</v>
      </c>
      <c r="H1018" s="12">
        <v>0.48333333333333334</v>
      </c>
      <c r="I1018" s="11">
        <v>46183</v>
      </c>
      <c r="L1018" t="s">
        <v>165</v>
      </c>
      <c r="M1018" t="s">
        <v>142</v>
      </c>
      <c r="N1018" s="5" t="s">
        <v>208</v>
      </c>
      <c r="O1018" t="s">
        <v>25</v>
      </c>
      <c r="P1018">
        <v>29944</v>
      </c>
      <c r="Q1018" t="s">
        <v>123</v>
      </c>
      <c r="S1018" t="str">
        <f>VLOOKUP(L1018&amp;TEXT(I1018,"mmmm")&amp;YEAR(I1018),'[1]Detalle C-Fecha'!$D$2:$E$15921,2,FALSE)</f>
        <v>Expreso - Servicios Troncales</v>
      </c>
    </row>
    <row r="1019" spans="1:19" x14ac:dyDescent="0.3">
      <c r="A1019">
        <v>35548</v>
      </c>
      <c r="B1019" t="s">
        <v>28</v>
      </c>
      <c r="C1019" t="s">
        <v>124</v>
      </c>
      <c r="D1019" t="s">
        <v>23</v>
      </c>
      <c r="E1019" t="s">
        <v>51</v>
      </c>
      <c r="F1019" s="6" t="str">
        <f t="shared" si="15"/>
        <v>2MC</v>
      </c>
      <c r="G1019" s="11">
        <v>46183</v>
      </c>
      <c r="H1019" s="12">
        <v>0.66180555555555554</v>
      </c>
      <c r="I1019" s="11">
        <v>46183</v>
      </c>
      <c r="J1019" s="1">
        <v>46183</v>
      </c>
      <c r="K1019" s="1">
        <v>46183</v>
      </c>
      <c r="L1019" t="s">
        <v>265</v>
      </c>
      <c r="M1019" t="s">
        <v>130</v>
      </c>
      <c r="N1019" s="5" t="s">
        <v>208</v>
      </c>
      <c r="O1019" t="s">
        <v>24</v>
      </c>
      <c r="P1019">
        <v>29983</v>
      </c>
      <c r="Q1019" t="s">
        <v>123</v>
      </c>
      <c r="S1019" t="str">
        <f>VLOOKUP(L1019&amp;TEXT(I1019,"mmmm")&amp;YEAR(I1019),'[1]Detalle C-Fecha'!$D$2:$E$15921,2,FALSE)</f>
        <v>CCUDyAZA</v>
      </c>
    </row>
    <row r="1020" spans="1:19" x14ac:dyDescent="0.3">
      <c r="A1020">
        <v>35549</v>
      </c>
      <c r="B1020" t="s">
        <v>28</v>
      </c>
      <c r="C1020" t="s">
        <v>124</v>
      </c>
      <c r="D1020" t="s">
        <v>23</v>
      </c>
      <c r="E1020" t="s">
        <v>53</v>
      </c>
      <c r="F1020" s="6" t="str">
        <f t="shared" si="15"/>
        <v>3MC</v>
      </c>
      <c r="G1020" s="11">
        <v>46183</v>
      </c>
      <c r="H1020" s="12">
        <v>0.66180555555555554</v>
      </c>
      <c r="I1020" s="11">
        <v>46183</v>
      </c>
      <c r="J1020" s="1">
        <v>46183</v>
      </c>
      <c r="K1020" s="1">
        <v>46183</v>
      </c>
      <c r="L1020" t="s">
        <v>265</v>
      </c>
      <c r="M1020" t="s">
        <v>130</v>
      </c>
      <c r="N1020" s="5" t="s">
        <v>208</v>
      </c>
      <c r="O1020" t="s">
        <v>24</v>
      </c>
      <c r="P1020">
        <v>29984</v>
      </c>
      <c r="Q1020" t="s">
        <v>123</v>
      </c>
      <c r="S1020" t="str">
        <f>VLOOKUP(L1020&amp;TEXT(I1020,"mmmm")&amp;YEAR(I1020),'[1]Detalle C-Fecha'!$D$2:$E$15921,2,FALSE)</f>
        <v>CCUDyAZA</v>
      </c>
    </row>
    <row r="1021" spans="1:19" x14ac:dyDescent="0.3">
      <c r="A1021">
        <v>35550</v>
      </c>
      <c r="B1021" t="s">
        <v>28</v>
      </c>
      <c r="C1021" t="s">
        <v>124</v>
      </c>
      <c r="D1021" t="s">
        <v>23</v>
      </c>
      <c r="E1021" t="s">
        <v>52</v>
      </c>
      <c r="F1021" s="6" t="str">
        <f t="shared" si="15"/>
        <v>6MC</v>
      </c>
      <c r="G1021" s="11">
        <v>46183</v>
      </c>
      <c r="H1021" s="12">
        <v>0.66180555555555554</v>
      </c>
      <c r="I1021" s="11">
        <v>46183</v>
      </c>
      <c r="J1021" s="1">
        <v>46183</v>
      </c>
      <c r="K1021" s="1">
        <v>46183</v>
      </c>
      <c r="L1021" t="s">
        <v>265</v>
      </c>
      <c r="M1021" t="s">
        <v>130</v>
      </c>
      <c r="N1021" s="5" t="s">
        <v>208</v>
      </c>
      <c r="O1021" t="s">
        <v>24</v>
      </c>
      <c r="P1021">
        <v>29985</v>
      </c>
      <c r="Q1021" t="s">
        <v>123</v>
      </c>
      <c r="S1021" t="str">
        <f>VLOOKUP(L1021&amp;TEXT(I1021,"mmmm")&amp;YEAR(I1021),'[1]Detalle C-Fecha'!$D$2:$E$15921,2,FALSE)</f>
        <v>CCUDyAZA</v>
      </c>
    </row>
    <row r="1022" spans="1:19" x14ac:dyDescent="0.3">
      <c r="A1022">
        <v>35553</v>
      </c>
      <c r="B1022" t="s">
        <v>28</v>
      </c>
      <c r="C1022" t="s">
        <v>124</v>
      </c>
      <c r="D1022" t="s">
        <v>23</v>
      </c>
      <c r="E1022" t="s">
        <v>51</v>
      </c>
      <c r="F1022" s="6" t="str">
        <f t="shared" si="15"/>
        <v>2MC</v>
      </c>
      <c r="G1022" s="11">
        <v>46183</v>
      </c>
      <c r="H1022" s="12">
        <v>0.66180555555555554</v>
      </c>
      <c r="I1022" s="11">
        <v>46183</v>
      </c>
      <c r="J1022" s="1">
        <v>46183</v>
      </c>
      <c r="K1022" s="1">
        <v>46183</v>
      </c>
      <c r="L1022" t="s">
        <v>266</v>
      </c>
      <c r="M1022" t="s">
        <v>163</v>
      </c>
      <c r="N1022" s="5" t="s">
        <v>208</v>
      </c>
      <c r="O1022" t="s">
        <v>24</v>
      </c>
      <c r="P1022">
        <v>29989</v>
      </c>
      <c r="Q1022" t="s">
        <v>123</v>
      </c>
      <c r="S1022" t="str">
        <f>VLOOKUP(L1022&amp;TEXT(I1022,"mmmm")&amp;YEAR(I1022),'[1]Detalle C-Fecha'!$D$2:$E$15921,2,FALSE)</f>
        <v>CCUDyAZA</v>
      </c>
    </row>
    <row r="1023" spans="1:19" x14ac:dyDescent="0.3">
      <c r="A1023">
        <v>35554</v>
      </c>
      <c r="B1023" t="s">
        <v>28</v>
      </c>
      <c r="C1023" t="s">
        <v>124</v>
      </c>
      <c r="D1023" t="s">
        <v>23</v>
      </c>
      <c r="E1023" t="s">
        <v>53</v>
      </c>
      <c r="F1023" s="6" t="str">
        <f t="shared" ref="F1023:F1086" si="16">MID(E1023,1,3)</f>
        <v>3MC</v>
      </c>
      <c r="G1023" s="11">
        <v>46183</v>
      </c>
      <c r="H1023" s="12">
        <v>0.66180555555555554</v>
      </c>
      <c r="I1023" s="11">
        <v>46183</v>
      </c>
      <c r="J1023" s="1">
        <v>46183</v>
      </c>
      <c r="K1023" s="1">
        <v>46183</v>
      </c>
      <c r="L1023" t="s">
        <v>266</v>
      </c>
      <c r="M1023" t="s">
        <v>163</v>
      </c>
      <c r="N1023" s="5" t="s">
        <v>208</v>
      </c>
      <c r="O1023" t="s">
        <v>24</v>
      </c>
      <c r="P1023">
        <v>29990</v>
      </c>
      <c r="Q1023" t="s">
        <v>123</v>
      </c>
      <c r="S1023" t="str">
        <f>VLOOKUP(L1023&amp;TEXT(I1023,"mmmm")&amp;YEAR(I1023),'[1]Detalle C-Fecha'!$D$2:$E$15921,2,FALSE)</f>
        <v>CCUDyAZA</v>
      </c>
    </row>
    <row r="1024" spans="1:19" x14ac:dyDescent="0.3">
      <c r="A1024">
        <v>35555</v>
      </c>
      <c r="B1024" t="s">
        <v>28</v>
      </c>
      <c r="C1024" t="s">
        <v>124</v>
      </c>
      <c r="D1024" t="s">
        <v>23</v>
      </c>
      <c r="E1024" t="s">
        <v>52</v>
      </c>
      <c r="F1024" s="6" t="str">
        <f t="shared" si="16"/>
        <v>6MC</v>
      </c>
      <c r="G1024" s="11">
        <v>46183</v>
      </c>
      <c r="H1024" s="12">
        <v>0.66180555555555554</v>
      </c>
      <c r="I1024" s="11">
        <v>46183</v>
      </c>
      <c r="J1024" s="1">
        <v>46183</v>
      </c>
      <c r="K1024" s="1">
        <v>46183</v>
      </c>
      <c r="L1024" t="s">
        <v>266</v>
      </c>
      <c r="M1024" t="s">
        <v>163</v>
      </c>
      <c r="N1024" s="5" t="s">
        <v>208</v>
      </c>
      <c r="O1024" t="s">
        <v>24</v>
      </c>
      <c r="P1024">
        <v>29991</v>
      </c>
      <c r="Q1024" t="s">
        <v>123</v>
      </c>
      <c r="S1024" t="str">
        <f>VLOOKUP(L1024&amp;TEXT(I1024,"mmmm")&amp;YEAR(I1024),'[1]Detalle C-Fecha'!$D$2:$E$15921,2,FALSE)</f>
        <v>CCUDyAZA</v>
      </c>
    </row>
    <row r="1025" spans="1:19" x14ac:dyDescent="0.3">
      <c r="A1025">
        <v>35647</v>
      </c>
      <c r="B1025" t="s">
        <v>28</v>
      </c>
      <c r="C1025" t="s">
        <v>15</v>
      </c>
      <c r="D1025" t="s">
        <v>16</v>
      </c>
      <c r="E1025" t="s">
        <v>51</v>
      </c>
      <c r="F1025" s="6" t="str">
        <f t="shared" si="16"/>
        <v>2MC</v>
      </c>
      <c r="G1025" s="7">
        <v>46184</v>
      </c>
      <c r="H1025" s="8">
        <v>0.67361111111111116</v>
      </c>
      <c r="I1025" s="7">
        <v>46184</v>
      </c>
      <c r="J1025" s="1">
        <v>46184</v>
      </c>
      <c r="K1025" s="1">
        <v>46189</v>
      </c>
      <c r="L1025" t="s">
        <v>267</v>
      </c>
      <c r="M1025" t="s">
        <v>130</v>
      </c>
      <c r="N1025" t="s">
        <v>208</v>
      </c>
      <c r="O1025" t="s">
        <v>18</v>
      </c>
      <c r="P1025">
        <v>30049</v>
      </c>
      <c r="Q1025" t="s">
        <v>19</v>
      </c>
      <c r="R1025">
        <v>43415</v>
      </c>
      <c r="S1025" t="str">
        <f>VLOOKUP(L1025&amp;TEXT(I1025,"mmmm")&amp;YEAR(I1025),'[1]Detalle C-Fecha'!$D$2:$E$15921,2,FALSE)</f>
        <v>CMQ_TTE - QUILMES TTE</v>
      </c>
    </row>
    <row r="1026" spans="1:19" x14ac:dyDescent="0.3">
      <c r="A1026">
        <v>35647</v>
      </c>
      <c r="B1026" t="s">
        <v>28</v>
      </c>
      <c r="C1026" t="s">
        <v>15</v>
      </c>
      <c r="D1026" t="s">
        <v>16</v>
      </c>
      <c r="E1026" t="s">
        <v>51</v>
      </c>
      <c r="F1026" s="6" t="str">
        <f t="shared" si="16"/>
        <v>2MC</v>
      </c>
      <c r="G1026" s="7">
        <v>46184</v>
      </c>
      <c r="H1026" s="8">
        <v>0.67361111111111116</v>
      </c>
      <c r="I1026" s="7">
        <v>46184</v>
      </c>
      <c r="J1026" s="1">
        <v>46184</v>
      </c>
      <c r="K1026" s="1">
        <v>46189</v>
      </c>
      <c r="L1026" t="s">
        <v>267</v>
      </c>
      <c r="M1026" t="s">
        <v>130</v>
      </c>
      <c r="N1026" t="s">
        <v>208</v>
      </c>
      <c r="O1026" t="s">
        <v>18</v>
      </c>
      <c r="P1026">
        <v>30049</v>
      </c>
      <c r="Q1026" t="s">
        <v>19</v>
      </c>
      <c r="R1026">
        <v>43343</v>
      </c>
      <c r="S1026" t="str">
        <f>VLOOKUP(L1026&amp;TEXT(I1026,"mmmm")&amp;YEAR(I1026),'[1]Detalle C-Fecha'!$D$2:$E$15921,2,FALSE)</f>
        <v>CMQ_TTE - QUILMES TTE</v>
      </c>
    </row>
    <row r="1027" spans="1:19" x14ac:dyDescent="0.3">
      <c r="A1027">
        <v>35648</v>
      </c>
      <c r="B1027" t="s">
        <v>28</v>
      </c>
      <c r="C1027" t="s">
        <v>15</v>
      </c>
      <c r="D1027" t="s">
        <v>16</v>
      </c>
      <c r="E1027" t="s">
        <v>53</v>
      </c>
      <c r="F1027" s="6" t="str">
        <f t="shared" si="16"/>
        <v>3MC</v>
      </c>
      <c r="G1027" s="7">
        <v>46184</v>
      </c>
      <c r="H1027" s="8">
        <v>0.67361111111111116</v>
      </c>
      <c r="I1027" s="7">
        <v>46184</v>
      </c>
      <c r="J1027" s="1">
        <v>46184</v>
      </c>
      <c r="K1027" s="1">
        <v>46189</v>
      </c>
      <c r="L1027" t="s">
        <v>267</v>
      </c>
      <c r="M1027" t="s">
        <v>130</v>
      </c>
      <c r="N1027" t="s">
        <v>208</v>
      </c>
      <c r="O1027" t="s">
        <v>18</v>
      </c>
      <c r="P1027">
        <v>30050</v>
      </c>
      <c r="Q1027" t="s">
        <v>19</v>
      </c>
      <c r="R1027">
        <v>43415</v>
      </c>
      <c r="S1027" t="str">
        <f>VLOOKUP(L1027&amp;TEXT(I1027,"mmmm")&amp;YEAR(I1027),'[1]Detalle C-Fecha'!$D$2:$E$15921,2,FALSE)</f>
        <v>CMQ_TTE - QUILMES TTE</v>
      </c>
    </row>
    <row r="1028" spans="1:19" x14ac:dyDescent="0.3">
      <c r="A1028">
        <v>35648</v>
      </c>
      <c r="B1028" t="s">
        <v>28</v>
      </c>
      <c r="C1028" t="s">
        <v>15</v>
      </c>
      <c r="D1028" t="s">
        <v>16</v>
      </c>
      <c r="E1028" t="s">
        <v>53</v>
      </c>
      <c r="F1028" s="6" t="str">
        <f t="shared" si="16"/>
        <v>3MC</v>
      </c>
      <c r="G1028" s="7">
        <v>46184</v>
      </c>
      <c r="H1028" s="8">
        <v>0.67361111111111116</v>
      </c>
      <c r="I1028" s="7">
        <v>46184</v>
      </c>
      <c r="J1028" s="1">
        <v>46184</v>
      </c>
      <c r="K1028" s="1">
        <v>46189</v>
      </c>
      <c r="L1028" t="s">
        <v>267</v>
      </c>
      <c r="M1028" t="s">
        <v>130</v>
      </c>
      <c r="N1028" t="s">
        <v>208</v>
      </c>
      <c r="O1028" t="s">
        <v>18</v>
      </c>
      <c r="P1028">
        <v>30050</v>
      </c>
      <c r="Q1028" t="s">
        <v>19</v>
      </c>
      <c r="R1028">
        <v>43344</v>
      </c>
      <c r="S1028" t="str">
        <f>VLOOKUP(L1028&amp;TEXT(I1028,"mmmm")&amp;YEAR(I1028),'[1]Detalle C-Fecha'!$D$2:$E$15921,2,FALSE)</f>
        <v>CMQ_TTE - QUILMES TTE</v>
      </c>
    </row>
    <row r="1029" spans="1:19" x14ac:dyDescent="0.3">
      <c r="A1029">
        <v>35649</v>
      </c>
      <c r="B1029" t="s">
        <v>28</v>
      </c>
      <c r="C1029" t="s">
        <v>15</v>
      </c>
      <c r="D1029" t="s">
        <v>16</v>
      </c>
      <c r="E1029" t="s">
        <v>52</v>
      </c>
      <c r="F1029" s="6" t="str">
        <f t="shared" si="16"/>
        <v>6MC</v>
      </c>
      <c r="G1029" s="7">
        <v>46184</v>
      </c>
      <c r="H1029" s="8">
        <v>0.67361111111111116</v>
      </c>
      <c r="I1029" s="7">
        <v>46184</v>
      </c>
      <c r="J1029" s="1">
        <v>46184</v>
      </c>
      <c r="K1029" s="1">
        <v>46189</v>
      </c>
      <c r="L1029" t="s">
        <v>267</v>
      </c>
      <c r="M1029" t="s">
        <v>130</v>
      </c>
      <c r="N1029" t="s">
        <v>208</v>
      </c>
      <c r="O1029" t="s">
        <v>18</v>
      </c>
      <c r="P1029">
        <v>30051</v>
      </c>
      <c r="Q1029" t="s">
        <v>19</v>
      </c>
      <c r="R1029">
        <v>43415</v>
      </c>
      <c r="S1029" t="str">
        <f>VLOOKUP(L1029&amp;TEXT(I1029,"mmmm")&amp;YEAR(I1029),'[1]Detalle C-Fecha'!$D$2:$E$15921,2,FALSE)</f>
        <v>CMQ_TTE - QUILMES TTE</v>
      </c>
    </row>
    <row r="1030" spans="1:19" x14ac:dyDescent="0.3">
      <c r="A1030">
        <v>35649</v>
      </c>
      <c r="B1030" t="s">
        <v>28</v>
      </c>
      <c r="C1030" t="s">
        <v>15</v>
      </c>
      <c r="D1030" t="s">
        <v>16</v>
      </c>
      <c r="E1030" t="s">
        <v>52</v>
      </c>
      <c r="F1030" s="6" t="str">
        <f t="shared" si="16"/>
        <v>6MC</v>
      </c>
      <c r="G1030" s="7">
        <v>46184</v>
      </c>
      <c r="H1030" s="8">
        <v>0.67361111111111116</v>
      </c>
      <c r="I1030" s="7">
        <v>46184</v>
      </c>
      <c r="J1030" s="1">
        <v>46184</v>
      </c>
      <c r="K1030" s="1">
        <v>46189</v>
      </c>
      <c r="L1030" t="s">
        <v>267</v>
      </c>
      <c r="M1030" t="s">
        <v>130</v>
      </c>
      <c r="N1030" t="s">
        <v>208</v>
      </c>
      <c r="O1030" t="s">
        <v>18</v>
      </c>
      <c r="P1030">
        <v>30051</v>
      </c>
      <c r="Q1030" t="s">
        <v>19</v>
      </c>
      <c r="R1030">
        <v>43345</v>
      </c>
      <c r="S1030" t="str">
        <f>VLOOKUP(L1030&amp;TEXT(I1030,"mmmm")&amp;YEAR(I1030),'[1]Detalle C-Fecha'!$D$2:$E$15921,2,FALSE)</f>
        <v>CMQ_TTE - QUILMES TTE</v>
      </c>
    </row>
    <row r="1031" spans="1:19" x14ac:dyDescent="0.3">
      <c r="A1031">
        <v>35722</v>
      </c>
      <c r="B1031" t="s">
        <v>28</v>
      </c>
      <c r="C1031" t="s">
        <v>15</v>
      </c>
      <c r="D1031" t="s">
        <v>16</v>
      </c>
      <c r="E1031" t="s">
        <v>51</v>
      </c>
      <c r="F1031" s="6" t="str">
        <f t="shared" si="16"/>
        <v>2MC</v>
      </c>
      <c r="G1031" s="7">
        <v>46184</v>
      </c>
      <c r="H1031" s="8">
        <v>0.86458333333333337</v>
      </c>
      <c r="I1031" s="7">
        <v>46184</v>
      </c>
      <c r="J1031" s="1">
        <v>46184</v>
      </c>
      <c r="K1031" s="1">
        <v>46189</v>
      </c>
      <c r="L1031" t="s">
        <v>268</v>
      </c>
      <c r="M1031" t="s">
        <v>163</v>
      </c>
      <c r="N1031" t="s">
        <v>208</v>
      </c>
      <c r="O1031" t="s">
        <v>24</v>
      </c>
      <c r="P1031">
        <v>30057</v>
      </c>
      <c r="Q1031" t="s">
        <v>19</v>
      </c>
      <c r="R1031">
        <v>43416</v>
      </c>
      <c r="S1031" t="str">
        <f>VLOOKUP(L1031&amp;TEXT(I1031,"mmmm")&amp;YEAR(I1031),'[1]Detalle C-Fecha'!$D$2:$E$15921,2,FALSE)</f>
        <v>CCUDyAZA</v>
      </c>
    </row>
    <row r="1032" spans="1:19" x14ac:dyDescent="0.3">
      <c r="A1032">
        <v>35722</v>
      </c>
      <c r="B1032" t="s">
        <v>28</v>
      </c>
      <c r="C1032" t="s">
        <v>15</v>
      </c>
      <c r="D1032" t="s">
        <v>16</v>
      </c>
      <c r="E1032" t="s">
        <v>51</v>
      </c>
      <c r="F1032" s="6" t="str">
        <f t="shared" si="16"/>
        <v>2MC</v>
      </c>
      <c r="G1032" s="7">
        <v>46184</v>
      </c>
      <c r="H1032" s="8">
        <v>0.86458333333333337</v>
      </c>
      <c r="I1032" s="7">
        <v>46184</v>
      </c>
      <c r="J1032" s="1">
        <v>46184</v>
      </c>
      <c r="K1032" s="1">
        <v>46189</v>
      </c>
      <c r="L1032" t="s">
        <v>268</v>
      </c>
      <c r="M1032" t="s">
        <v>163</v>
      </c>
      <c r="N1032" t="s">
        <v>208</v>
      </c>
      <c r="O1032" t="s">
        <v>24</v>
      </c>
      <c r="P1032">
        <v>30057</v>
      </c>
      <c r="Q1032" t="s">
        <v>19</v>
      </c>
      <c r="R1032">
        <v>43349</v>
      </c>
      <c r="S1032" t="str">
        <f>VLOOKUP(L1032&amp;TEXT(I1032,"mmmm")&amp;YEAR(I1032),'[1]Detalle C-Fecha'!$D$2:$E$15921,2,FALSE)</f>
        <v>CCUDyAZA</v>
      </c>
    </row>
    <row r="1033" spans="1:19" x14ac:dyDescent="0.3">
      <c r="A1033">
        <v>35723</v>
      </c>
      <c r="B1033" t="s">
        <v>28</v>
      </c>
      <c r="C1033" t="s">
        <v>15</v>
      </c>
      <c r="D1033" t="s">
        <v>16</v>
      </c>
      <c r="E1033" t="s">
        <v>53</v>
      </c>
      <c r="F1033" s="6" t="str">
        <f t="shared" si="16"/>
        <v>3MC</v>
      </c>
      <c r="G1033" s="7">
        <v>46184</v>
      </c>
      <c r="H1033" s="8">
        <v>0.86458333333333337</v>
      </c>
      <c r="I1033" s="7">
        <v>46184</v>
      </c>
      <c r="J1033" s="1">
        <v>46184</v>
      </c>
      <c r="K1033" s="1">
        <v>46189</v>
      </c>
      <c r="L1033" t="s">
        <v>268</v>
      </c>
      <c r="M1033" t="s">
        <v>163</v>
      </c>
      <c r="N1033" t="s">
        <v>208</v>
      </c>
      <c r="O1033" t="s">
        <v>24</v>
      </c>
      <c r="P1033">
        <v>30058</v>
      </c>
      <c r="Q1033" t="s">
        <v>19</v>
      </c>
      <c r="R1033">
        <v>43416</v>
      </c>
      <c r="S1033" t="str">
        <f>VLOOKUP(L1033&amp;TEXT(I1033,"mmmm")&amp;YEAR(I1033),'[1]Detalle C-Fecha'!$D$2:$E$15921,2,FALSE)</f>
        <v>CCUDyAZA</v>
      </c>
    </row>
    <row r="1034" spans="1:19" x14ac:dyDescent="0.3">
      <c r="A1034">
        <v>35723</v>
      </c>
      <c r="B1034" t="s">
        <v>28</v>
      </c>
      <c r="C1034" t="s">
        <v>15</v>
      </c>
      <c r="D1034" t="s">
        <v>16</v>
      </c>
      <c r="E1034" t="s">
        <v>53</v>
      </c>
      <c r="F1034" s="6" t="str">
        <f t="shared" si="16"/>
        <v>3MC</v>
      </c>
      <c r="G1034" s="7">
        <v>46184</v>
      </c>
      <c r="H1034" s="8">
        <v>0.86458333333333337</v>
      </c>
      <c r="I1034" s="7">
        <v>46184</v>
      </c>
      <c r="J1034" s="1">
        <v>46184</v>
      </c>
      <c r="K1034" s="1">
        <v>46189</v>
      </c>
      <c r="L1034" t="s">
        <v>268</v>
      </c>
      <c r="M1034" t="s">
        <v>163</v>
      </c>
      <c r="N1034" t="s">
        <v>208</v>
      </c>
      <c r="O1034" t="s">
        <v>24</v>
      </c>
      <c r="P1034">
        <v>30058</v>
      </c>
      <c r="Q1034" t="s">
        <v>19</v>
      </c>
      <c r="R1034">
        <v>43350</v>
      </c>
      <c r="S1034" t="str">
        <f>VLOOKUP(L1034&amp;TEXT(I1034,"mmmm")&amp;YEAR(I1034),'[1]Detalle C-Fecha'!$D$2:$E$15921,2,FALSE)</f>
        <v>CCUDyAZA</v>
      </c>
    </row>
    <row r="1035" spans="1:19" x14ac:dyDescent="0.3">
      <c r="A1035">
        <v>35724</v>
      </c>
      <c r="B1035" t="s">
        <v>28</v>
      </c>
      <c r="C1035" t="s">
        <v>15</v>
      </c>
      <c r="D1035" t="s">
        <v>16</v>
      </c>
      <c r="E1035" t="s">
        <v>52</v>
      </c>
      <c r="F1035" s="6" t="str">
        <f t="shared" si="16"/>
        <v>6MC</v>
      </c>
      <c r="G1035" s="7">
        <v>46184</v>
      </c>
      <c r="H1035" s="8">
        <v>0.86458333333333337</v>
      </c>
      <c r="I1035" s="7">
        <v>46184</v>
      </c>
      <c r="J1035" s="1">
        <v>46184</v>
      </c>
      <c r="K1035" s="1">
        <v>46189</v>
      </c>
      <c r="L1035" t="s">
        <v>268</v>
      </c>
      <c r="M1035" t="s">
        <v>163</v>
      </c>
      <c r="N1035" t="s">
        <v>208</v>
      </c>
      <c r="O1035" t="s">
        <v>24</v>
      </c>
      <c r="P1035">
        <v>30059</v>
      </c>
      <c r="Q1035" t="s">
        <v>19</v>
      </c>
      <c r="R1035">
        <v>43416</v>
      </c>
      <c r="S1035" t="str">
        <f>VLOOKUP(L1035&amp;TEXT(I1035,"mmmm")&amp;YEAR(I1035),'[1]Detalle C-Fecha'!$D$2:$E$15921,2,FALSE)</f>
        <v>CCUDyAZA</v>
      </c>
    </row>
    <row r="1036" spans="1:19" x14ac:dyDescent="0.3">
      <c r="A1036">
        <v>35724</v>
      </c>
      <c r="B1036" t="s">
        <v>28</v>
      </c>
      <c r="C1036" t="s">
        <v>15</v>
      </c>
      <c r="D1036" t="s">
        <v>16</v>
      </c>
      <c r="E1036" t="s">
        <v>52</v>
      </c>
      <c r="F1036" s="6" t="str">
        <f t="shared" si="16"/>
        <v>6MC</v>
      </c>
      <c r="G1036" s="7">
        <v>46184</v>
      </c>
      <c r="H1036" s="8">
        <v>0.86458333333333337</v>
      </c>
      <c r="I1036" s="7">
        <v>46184</v>
      </c>
      <c r="J1036" s="1">
        <v>46184</v>
      </c>
      <c r="K1036" s="1">
        <v>46189</v>
      </c>
      <c r="L1036" t="s">
        <v>268</v>
      </c>
      <c r="M1036" t="s">
        <v>163</v>
      </c>
      <c r="N1036" t="s">
        <v>208</v>
      </c>
      <c r="O1036" t="s">
        <v>24</v>
      </c>
      <c r="P1036">
        <v>30059</v>
      </c>
      <c r="Q1036" t="s">
        <v>19</v>
      </c>
      <c r="R1036">
        <v>43351</v>
      </c>
      <c r="S1036" t="str">
        <f>VLOOKUP(L1036&amp;TEXT(I1036,"mmmm")&amp;YEAR(I1036),'[1]Detalle C-Fecha'!$D$2:$E$15921,2,FALSE)</f>
        <v>CCUDyAZA</v>
      </c>
    </row>
    <row r="1037" spans="1:19" x14ac:dyDescent="0.3">
      <c r="A1037">
        <v>35909</v>
      </c>
      <c r="B1037" t="s">
        <v>28</v>
      </c>
      <c r="C1037" t="s">
        <v>15</v>
      </c>
      <c r="D1037" t="s">
        <v>16</v>
      </c>
      <c r="E1037" t="s">
        <v>51</v>
      </c>
      <c r="F1037" s="6" t="str">
        <f t="shared" si="16"/>
        <v>2MC</v>
      </c>
      <c r="G1037" s="7">
        <v>46190</v>
      </c>
      <c r="H1037" s="8">
        <v>0.45347222222222222</v>
      </c>
      <c r="I1037" s="7">
        <v>46190</v>
      </c>
      <c r="J1037" s="1">
        <v>46190</v>
      </c>
      <c r="K1037" s="1">
        <v>46190</v>
      </c>
      <c r="L1037" t="s">
        <v>269</v>
      </c>
      <c r="M1037" t="s">
        <v>178</v>
      </c>
      <c r="N1037" t="s">
        <v>31</v>
      </c>
      <c r="O1037" t="s">
        <v>25</v>
      </c>
      <c r="P1037">
        <v>30187</v>
      </c>
      <c r="Q1037" t="s">
        <v>19</v>
      </c>
      <c r="R1037">
        <v>44451</v>
      </c>
      <c r="S1037" t="str">
        <f>VLOOKUP(L1037&amp;TEXT(I1037,"mmmm")&amp;YEAR(I1037),'[1]Detalle C-Fecha'!$D$2:$E$15921,2,FALSE)</f>
        <v>SUC_GAL - Sucursal General Alvear</v>
      </c>
    </row>
    <row r="1038" spans="1:19" x14ac:dyDescent="0.3">
      <c r="A1038">
        <v>35909</v>
      </c>
      <c r="B1038" t="s">
        <v>28</v>
      </c>
      <c r="C1038" t="s">
        <v>15</v>
      </c>
      <c r="D1038" t="s">
        <v>16</v>
      </c>
      <c r="E1038" t="s">
        <v>51</v>
      </c>
      <c r="F1038" s="6" t="str">
        <f t="shared" si="16"/>
        <v>2MC</v>
      </c>
      <c r="G1038" s="7">
        <v>46190</v>
      </c>
      <c r="H1038" s="8">
        <v>0.45347222222222222</v>
      </c>
      <c r="I1038" s="7">
        <v>46190</v>
      </c>
      <c r="J1038" s="1">
        <v>46190</v>
      </c>
      <c r="K1038" s="1">
        <v>46190</v>
      </c>
      <c r="L1038" t="s">
        <v>269</v>
      </c>
      <c r="M1038" t="s">
        <v>178</v>
      </c>
      <c r="N1038" t="s">
        <v>31</v>
      </c>
      <c r="O1038" t="s">
        <v>25</v>
      </c>
      <c r="P1038">
        <v>30187</v>
      </c>
      <c r="Q1038" t="s">
        <v>19</v>
      </c>
      <c r="R1038">
        <v>44452</v>
      </c>
      <c r="S1038" t="str">
        <f>VLOOKUP(L1038&amp;TEXT(I1038,"mmmm")&amp;YEAR(I1038),'[1]Detalle C-Fecha'!$D$2:$E$15921,2,FALSE)</f>
        <v>SUC_GAL - Sucursal General Alvear</v>
      </c>
    </row>
    <row r="1039" spans="1:19" x14ac:dyDescent="0.3">
      <c r="A1039">
        <v>35910</v>
      </c>
      <c r="B1039" t="s">
        <v>28</v>
      </c>
      <c r="C1039" t="s">
        <v>15</v>
      </c>
      <c r="D1039" t="s">
        <v>16</v>
      </c>
      <c r="E1039" t="s">
        <v>53</v>
      </c>
      <c r="F1039" s="6" t="str">
        <f t="shared" si="16"/>
        <v>3MC</v>
      </c>
      <c r="G1039" s="7">
        <v>46190</v>
      </c>
      <c r="H1039" s="8">
        <v>0.45347222222222222</v>
      </c>
      <c r="I1039" s="7">
        <v>46190</v>
      </c>
      <c r="J1039" s="1">
        <v>46190</v>
      </c>
      <c r="K1039" s="1">
        <v>46190</v>
      </c>
      <c r="L1039" t="s">
        <v>269</v>
      </c>
      <c r="M1039" t="s">
        <v>178</v>
      </c>
      <c r="N1039" t="s">
        <v>31</v>
      </c>
      <c r="O1039" t="s">
        <v>25</v>
      </c>
      <c r="P1039">
        <v>30188</v>
      </c>
      <c r="Q1039" t="s">
        <v>19</v>
      </c>
      <c r="R1039">
        <v>44453</v>
      </c>
      <c r="S1039" t="str">
        <f>VLOOKUP(L1039&amp;TEXT(I1039,"mmmm")&amp;YEAR(I1039),'[1]Detalle C-Fecha'!$D$2:$E$15921,2,FALSE)</f>
        <v>SUC_GAL - Sucursal General Alvear</v>
      </c>
    </row>
    <row r="1040" spans="1:19" x14ac:dyDescent="0.3">
      <c r="A1040">
        <v>35910</v>
      </c>
      <c r="B1040" t="s">
        <v>28</v>
      </c>
      <c r="C1040" t="s">
        <v>15</v>
      </c>
      <c r="D1040" t="s">
        <v>16</v>
      </c>
      <c r="E1040" t="s">
        <v>53</v>
      </c>
      <c r="F1040" s="6" t="str">
        <f t="shared" si="16"/>
        <v>3MC</v>
      </c>
      <c r="G1040" s="7">
        <v>46190</v>
      </c>
      <c r="H1040" s="8">
        <v>0.45347222222222222</v>
      </c>
      <c r="I1040" s="7">
        <v>46190</v>
      </c>
      <c r="J1040" s="1">
        <v>46190</v>
      </c>
      <c r="K1040" s="1">
        <v>46190</v>
      </c>
      <c r="L1040" t="s">
        <v>269</v>
      </c>
      <c r="M1040" t="s">
        <v>178</v>
      </c>
      <c r="N1040" t="s">
        <v>31</v>
      </c>
      <c r="O1040" t="s">
        <v>25</v>
      </c>
      <c r="P1040">
        <v>30188</v>
      </c>
      <c r="Q1040" t="s">
        <v>19</v>
      </c>
      <c r="R1040">
        <v>44454</v>
      </c>
      <c r="S1040" t="str">
        <f>VLOOKUP(L1040&amp;TEXT(I1040,"mmmm")&amp;YEAR(I1040),'[1]Detalle C-Fecha'!$D$2:$E$15921,2,FALSE)</f>
        <v>SUC_GAL - Sucursal General Alvear</v>
      </c>
    </row>
    <row r="1041" spans="1:19" x14ac:dyDescent="0.3">
      <c r="A1041">
        <v>35911</v>
      </c>
      <c r="B1041" t="s">
        <v>28</v>
      </c>
      <c r="C1041" t="s">
        <v>15</v>
      </c>
      <c r="D1041" t="s">
        <v>16</v>
      </c>
      <c r="E1041" t="s">
        <v>52</v>
      </c>
      <c r="F1041" s="6" t="str">
        <f t="shared" si="16"/>
        <v>6MC</v>
      </c>
      <c r="G1041" s="7">
        <v>46190</v>
      </c>
      <c r="H1041" s="8">
        <v>0.45347222222222222</v>
      </c>
      <c r="I1041" s="7">
        <v>46190</v>
      </c>
      <c r="J1041" s="1">
        <v>46190</v>
      </c>
      <c r="K1041" s="1">
        <v>46190</v>
      </c>
      <c r="L1041" t="s">
        <v>269</v>
      </c>
      <c r="M1041" t="s">
        <v>178</v>
      </c>
      <c r="N1041" t="s">
        <v>31</v>
      </c>
      <c r="O1041" t="s">
        <v>25</v>
      </c>
      <c r="P1041">
        <v>30189</v>
      </c>
      <c r="Q1041" t="s">
        <v>19</v>
      </c>
      <c r="R1041">
        <v>44456</v>
      </c>
      <c r="S1041" t="str">
        <f>VLOOKUP(L1041&amp;TEXT(I1041,"mmmm")&amp;YEAR(I1041),'[1]Detalle C-Fecha'!$D$2:$E$15921,2,FALSE)</f>
        <v>SUC_GAL - Sucursal General Alvear</v>
      </c>
    </row>
    <row r="1042" spans="1:19" x14ac:dyDescent="0.3">
      <c r="A1042">
        <v>35911</v>
      </c>
      <c r="B1042" t="s">
        <v>28</v>
      </c>
      <c r="C1042" t="s">
        <v>15</v>
      </c>
      <c r="D1042" t="s">
        <v>16</v>
      </c>
      <c r="E1042" t="s">
        <v>52</v>
      </c>
      <c r="F1042" s="6" t="str">
        <f t="shared" si="16"/>
        <v>6MC</v>
      </c>
      <c r="G1042" s="7">
        <v>46190</v>
      </c>
      <c r="H1042" s="8">
        <v>0.45347222222222222</v>
      </c>
      <c r="I1042" s="7">
        <v>46190</v>
      </c>
      <c r="J1042" s="1">
        <v>46190</v>
      </c>
      <c r="K1042" s="1">
        <v>46190</v>
      </c>
      <c r="L1042" t="s">
        <v>269</v>
      </c>
      <c r="M1042" t="s">
        <v>178</v>
      </c>
      <c r="N1042" t="s">
        <v>31</v>
      </c>
      <c r="O1042" t="s">
        <v>25</v>
      </c>
      <c r="P1042">
        <v>30189</v>
      </c>
      <c r="Q1042" t="s">
        <v>19</v>
      </c>
      <c r="R1042">
        <v>44458</v>
      </c>
      <c r="S1042" t="str">
        <f>VLOOKUP(L1042&amp;TEXT(I1042,"mmmm")&amp;YEAR(I1042),'[1]Detalle C-Fecha'!$D$2:$E$15921,2,FALSE)</f>
        <v>SUC_GAL - Sucursal General Alvear</v>
      </c>
    </row>
    <row r="1043" spans="1:19" x14ac:dyDescent="0.3">
      <c r="A1043">
        <v>35940</v>
      </c>
      <c r="B1043" t="s">
        <v>28</v>
      </c>
      <c r="C1043" t="s">
        <v>15</v>
      </c>
      <c r="D1043" t="s">
        <v>16</v>
      </c>
      <c r="E1043" t="s">
        <v>51</v>
      </c>
      <c r="F1043" s="6" t="str">
        <f t="shared" si="16"/>
        <v>2MC</v>
      </c>
      <c r="G1043" s="7">
        <v>46191</v>
      </c>
      <c r="H1043" s="8">
        <v>0.3347222222222222</v>
      </c>
      <c r="I1043" s="7">
        <v>46191</v>
      </c>
      <c r="J1043" s="1"/>
      <c r="K1043" s="1">
        <v>46195</v>
      </c>
      <c r="L1043" t="s">
        <v>271</v>
      </c>
      <c r="M1043" t="s">
        <v>178</v>
      </c>
      <c r="N1043" t="s">
        <v>208</v>
      </c>
      <c r="O1043" t="s">
        <v>27</v>
      </c>
      <c r="P1043">
        <v>30217</v>
      </c>
      <c r="Q1043" t="s">
        <v>19</v>
      </c>
      <c r="R1043">
        <v>44224</v>
      </c>
      <c r="S1043" t="str">
        <f>VLOOKUP(L1043&amp;TEXT(I1043,"mmmm")&amp;YEAR(I1043),'[1]Detalle C-Fecha'!$D$2:$E$15921,2,FALSE)</f>
        <v>CCUCoAZA</v>
      </c>
    </row>
    <row r="1044" spans="1:19" x14ac:dyDescent="0.3">
      <c r="A1044">
        <v>35940</v>
      </c>
      <c r="B1044" t="s">
        <v>28</v>
      </c>
      <c r="C1044" t="s">
        <v>15</v>
      </c>
      <c r="D1044" t="s">
        <v>16</v>
      </c>
      <c r="E1044" t="s">
        <v>51</v>
      </c>
      <c r="F1044" s="6" t="str">
        <f t="shared" si="16"/>
        <v>2MC</v>
      </c>
      <c r="G1044" s="7">
        <v>46191</v>
      </c>
      <c r="H1044" s="8">
        <v>0.3347222222222222</v>
      </c>
      <c r="I1044" s="7">
        <v>46191</v>
      </c>
      <c r="J1044" s="1"/>
      <c r="K1044" s="1">
        <v>46195</v>
      </c>
      <c r="L1044" t="s">
        <v>271</v>
      </c>
      <c r="M1044" t="s">
        <v>178</v>
      </c>
      <c r="N1044" t="s">
        <v>208</v>
      </c>
      <c r="O1044" t="s">
        <v>27</v>
      </c>
      <c r="P1044">
        <v>30217</v>
      </c>
      <c r="Q1044" t="s">
        <v>19</v>
      </c>
      <c r="R1044">
        <v>43555</v>
      </c>
      <c r="S1044" t="str">
        <f>VLOOKUP(L1044&amp;TEXT(I1044,"mmmm")&amp;YEAR(I1044),'[1]Detalle C-Fecha'!$D$2:$E$15921,2,FALSE)</f>
        <v>CCUCoAZA</v>
      </c>
    </row>
    <row r="1045" spans="1:19" x14ac:dyDescent="0.3">
      <c r="A1045">
        <v>35941</v>
      </c>
      <c r="B1045" t="s">
        <v>28</v>
      </c>
      <c r="C1045" t="s">
        <v>15</v>
      </c>
      <c r="D1045" t="s">
        <v>16</v>
      </c>
      <c r="E1045" t="s">
        <v>53</v>
      </c>
      <c r="F1045" s="6" t="str">
        <f t="shared" si="16"/>
        <v>3MC</v>
      </c>
      <c r="G1045" s="7">
        <v>46191</v>
      </c>
      <c r="H1045" s="8">
        <v>0.3347222222222222</v>
      </c>
      <c r="I1045" s="7">
        <v>46191</v>
      </c>
      <c r="J1045" s="1"/>
      <c r="K1045" s="1">
        <v>46195</v>
      </c>
      <c r="L1045" t="s">
        <v>271</v>
      </c>
      <c r="M1045" t="s">
        <v>178</v>
      </c>
      <c r="N1045" t="s">
        <v>208</v>
      </c>
      <c r="O1045" t="s">
        <v>27</v>
      </c>
      <c r="P1045">
        <v>30219</v>
      </c>
      <c r="Q1045" t="s">
        <v>19</v>
      </c>
      <c r="R1045">
        <v>44224</v>
      </c>
      <c r="S1045" t="str">
        <f>VLOOKUP(L1045&amp;TEXT(I1045,"mmmm")&amp;YEAR(I1045),'[1]Detalle C-Fecha'!$D$2:$E$15921,2,FALSE)</f>
        <v>CCUCoAZA</v>
      </c>
    </row>
    <row r="1046" spans="1:19" x14ac:dyDescent="0.3">
      <c r="A1046">
        <v>35941</v>
      </c>
      <c r="B1046" t="s">
        <v>28</v>
      </c>
      <c r="C1046" t="s">
        <v>15</v>
      </c>
      <c r="D1046" t="s">
        <v>16</v>
      </c>
      <c r="E1046" t="s">
        <v>53</v>
      </c>
      <c r="F1046" s="6" t="str">
        <f t="shared" si="16"/>
        <v>3MC</v>
      </c>
      <c r="G1046" s="7">
        <v>46191</v>
      </c>
      <c r="H1046" s="8">
        <v>0.3347222222222222</v>
      </c>
      <c r="I1046" s="7">
        <v>46191</v>
      </c>
      <c r="J1046" s="1"/>
      <c r="K1046" s="1">
        <v>46195</v>
      </c>
      <c r="L1046" t="s">
        <v>271</v>
      </c>
      <c r="M1046" t="s">
        <v>178</v>
      </c>
      <c r="N1046" t="s">
        <v>208</v>
      </c>
      <c r="O1046" t="s">
        <v>27</v>
      </c>
      <c r="P1046">
        <v>30219</v>
      </c>
      <c r="Q1046" t="s">
        <v>19</v>
      </c>
      <c r="R1046">
        <v>43556</v>
      </c>
      <c r="S1046" t="str">
        <f>VLOOKUP(L1046&amp;TEXT(I1046,"mmmm")&amp;YEAR(I1046),'[1]Detalle C-Fecha'!$D$2:$E$15921,2,FALSE)</f>
        <v>CCUCoAZA</v>
      </c>
    </row>
    <row r="1047" spans="1:19" x14ac:dyDescent="0.3">
      <c r="A1047">
        <v>35942</v>
      </c>
      <c r="B1047" t="s">
        <v>28</v>
      </c>
      <c r="C1047" t="s">
        <v>15</v>
      </c>
      <c r="D1047" t="s">
        <v>16</v>
      </c>
      <c r="E1047" t="s">
        <v>112</v>
      </c>
      <c r="F1047" s="6" t="str">
        <f t="shared" si="16"/>
        <v>6MC</v>
      </c>
      <c r="G1047" s="7">
        <v>46191</v>
      </c>
      <c r="H1047" s="8">
        <v>0.3347222222222222</v>
      </c>
      <c r="I1047" s="7">
        <v>46191</v>
      </c>
      <c r="J1047" s="1"/>
      <c r="K1047" s="1">
        <v>46195</v>
      </c>
      <c r="L1047" t="s">
        <v>271</v>
      </c>
      <c r="M1047" t="s">
        <v>178</v>
      </c>
      <c r="N1047" t="s">
        <v>208</v>
      </c>
      <c r="O1047" t="s">
        <v>27</v>
      </c>
      <c r="P1047">
        <v>30218</v>
      </c>
      <c r="Q1047" t="s">
        <v>19</v>
      </c>
      <c r="R1047">
        <v>44224</v>
      </c>
      <c r="S1047" t="str">
        <f>VLOOKUP(L1047&amp;TEXT(I1047,"mmmm")&amp;YEAR(I1047),'[1]Detalle C-Fecha'!$D$2:$E$15921,2,FALSE)</f>
        <v>CCUCoAZA</v>
      </c>
    </row>
    <row r="1048" spans="1:19" x14ac:dyDescent="0.3">
      <c r="A1048">
        <v>35942</v>
      </c>
      <c r="B1048" t="s">
        <v>28</v>
      </c>
      <c r="C1048" t="s">
        <v>15</v>
      </c>
      <c r="D1048" t="s">
        <v>16</v>
      </c>
      <c r="E1048" t="s">
        <v>112</v>
      </c>
      <c r="F1048" s="6" t="str">
        <f t="shared" si="16"/>
        <v>6MC</v>
      </c>
      <c r="G1048" s="7">
        <v>46191</v>
      </c>
      <c r="H1048" s="8">
        <v>0.3347222222222222</v>
      </c>
      <c r="I1048" s="7">
        <v>46191</v>
      </c>
      <c r="J1048" s="1"/>
      <c r="K1048" s="1">
        <v>46195</v>
      </c>
      <c r="L1048" t="s">
        <v>271</v>
      </c>
      <c r="M1048" t="s">
        <v>178</v>
      </c>
      <c r="N1048" t="s">
        <v>208</v>
      </c>
      <c r="O1048" t="s">
        <v>27</v>
      </c>
      <c r="P1048">
        <v>30218</v>
      </c>
      <c r="Q1048" t="s">
        <v>19</v>
      </c>
      <c r="R1048">
        <v>43557</v>
      </c>
      <c r="S1048" t="str">
        <f>VLOOKUP(L1048&amp;TEXT(I1048,"mmmm")&amp;YEAR(I1048),'[1]Detalle C-Fecha'!$D$2:$E$15921,2,FALSE)</f>
        <v>CCUCoAZA</v>
      </c>
    </row>
    <row r="1049" spans="1:19" x14ac:dyDescent="0.3">
      <c r="A1049">
        <v>35977</v>
      </c>
      <c r="B1049" t="s">
        <v>28</v>
      </c>
      <c r="C1049" t="s">
        <v>15</v>
      </c>
      <c r="D1049" t="s">
        <v>16</v>
      </c>
      <c r="E1049" t="s">
        <v>35</v>
      </c>
      <c r="F1049" s="6" t="str">
        <f t="shared" si="16"/>
        <v>2ML</v>
      </c>
      <c r="G1049" s="7">
        <v>46191</v>
      </c>
      <c r="H1049" s="8">
        <v>0.48472222222222222</v>
      </c>
      <c r="I1049" s="7">
        <v>46191</v>
      </c>
      <c r="J1049" s="1">
        <v>46191</v>
      </c>
      <c r="K1049" s="1">
        <v>46191</v>
      </c>
      <c r="L1049" t="s">
        <v>272</v>
      </c>
      <c r="M1049" t="s">
        <v>149</v>
      </c>
      <c r="N1049" t="s">
        <v>31</v>
      </c>
      <c r="O1049" t="s">
        <v>25</v>
      </c>
      <c r="P1049">
        <v>30252</v>
      </c>
      <c r="Q1049" t="s">
        <v>19</v>
      </c>
      <c r="R1049">
        <v>44511</v>
      </c>
      <c r="S1049" t="str">
        <f>VLOOKUP(L1049&amp;TEXT(I1049,"mmmm")&amp;YEAR(I1049),'[1]Detalle C-Fecha'!$D$2:$E$15921,2,FALSE)</f>
        <v>Expreso - Servicios Troncales</v>
      </c>
    </row>
    <row r="1050" spans="1:19" x14ac:dyDescent="0.3">
      <c r="A1050">
        <v>35977</v>
      </c>
      <c r="B1050" t="s">
        <v>28</v>
      </c>
      <c r="C1050" t="s">
        <v>15</v>
      </c>
      <c r="D1050" t="s">
        <v>16</v>
      </c>
      <c r="E1050" t="s">
        <v>35</v>
      </c>
      <c r="F1050" s="6" t="str">
        <f t="shared" si="16"/>
        <v>2ML</v>
      </c>
      <c r="G1050" s="7">
        <v>46191</v>
      </c>
      <c r="H1050" s="8">
        <v>0.48472222222222222</v>
      </c>
      <c r="I1050" s="7">
        <v>46191</v>
      </c>
      <c r="J1050" s="1">
        <v>46191</v>
      </c>
      <c r="K1050" s="1">
        <v>46191</v>
      </c>
      <c r="L1050" t="s">
        <v>272</v>
      </c>
      <c r="M1050" t="s">
        <v>149</v>
      </c>
      <c r="N1050" t="s">
        <v>31</v>
      </c>
      <c r="O1050" t="s">
        <v>25</v>
      </c>
      <c r="P1050">
        <v>30252</v>
      </c>
      <c r="Q1050" t="s">
        <v>19</v>
      </c>
      <c r="R1050">
        <v>44512</v>
      </c>
      <c r="S1050" t="str">
        <f>VLOOKUP(L1050&amp;TEXT(I1050,"mmmm")&amp;YEAR(I1050),'[1]Detalle C-Fecha'!$D$2:$E$15921,2,FALSE)</f>
        <v>Expreso - Servicios Troncales</v>
      </c>
    </row>
    <row r="1051" spans="1:19" x14ac:dyDescent="0.3">
      <c r="A1051">
        <v>35978</v>
      </c>
      <c r="B1051" t="s">
        <v>28</v>
      </c>
      <c r="C1051" t="s">
        <v>15</v>
      </c>
      <c r="D1051" t="s">
        <v>16</v>
      </c>
      <c r="E1051" t="s">
        <v>47</v>
      </c>
      <c r="F1051" s="6" t="str">
        <f t="shared" si="16"/>
        <v>3ML</v>
      </c>
      <c r="G1051" s="7">
        <v>46191</v>
      </c>
      <c r="H1051" s="8">
        <v>0.48472222222222222</v>
      </c>
      <c r="I1051" s="7">
        <v>46191</v>
      </c>
      <c r="J1051" s="1">
        <v>46191</v>
      </c>
      <c r="K1051" s="1">
        <v>46191</v>
      </c>
      <c r="L1051" t="s">
        <v>272</v>
      </c>
      <c r="M1051" t="s">
        <v>149</v>
      </c>
      <c r="N1051" t="s">
        <v>31</v>
      </c>
      <c r="O1051" t="s">
        <v>25</v>
      </c>
      <c r="P1051">
        <v>30256</v>
      </c>
      <c r="Q1051" t="s">
        <v>19</v>
      </c>
      <c r="R1051">
        <v>44513</v>
      </c>
      <c r="S1051" t="str">
        <f>VLOOKUP(L1051&amp;TEXT(I1051,"mmmm")&amp;YEAR(I1051),'[1]Detalle C-Fecha'!$D$2:$E$15921,2,FALSE)</f>
        <v>Expreso - Servicios Troncales</v>
      </c>
    </row>
    <row r="1052" spans="1:19" x14ac:dyDescent="0.3">
      <c r="A1052">
        <v>35978</v>
      </c>
      <c r="B1052" t="s">
        <v>28</v>
      </c>
      <c r="C1052" t="s">
        <v>15</v>
      </c>
      <c r="D1052" t="s">
        <v>16</v>
      </c>
      <c r="E1052" t="s">
        <v>47</v>
      </c>
      <c r="F1052" s="6" t="str">
        <f t="shared" si="16"/>
        <v>3ML</v>
      </c>
      <c r="G1052" s="7">
        <v>46191</v>
      </c>
      <c r="H1052" s="8">
        <v>0.48472222222222222</v>
      </c>
      <c r="I1052" s="7">
        <v>46191</v>
      </c>
      <c r="J1052" s="1">
        <v>46191</v>
      </c>
      <c r="K1052" s="1">
        <v>46191</v>
      </c>
      <c r="L1052" t="s">
        <v>272</v>
      </c>
      <c r="M1052" t="s">
        <v>149</v>
      </c>
      <c r="N1052" t="s">
        <v>31</v>
      </c>
      <c r="O1052" t="s">
        <v>25</v>
      </c>
      <c r="P1052">
        <v>30256</v>
      </c>
      <c r="Q1052" t="s">
        <v>19</v>
      </c>
      <c r="R1052">
        <v>44514</v>
      </c>
      <c r="S1052" t="str">
        <f>VLOOKUP(L1052&amp;TEXT(I1052,"mmmm")&amp;YEAR(I1052),'[1]Detalle C-Fecha'!$D$2:$E$15921,2,FALSE)</f>
        <v>Expreso - Servicios Troncales</v>
      </c>
    </row>
    <row r="1053" spans="1:19" x14ac:dyDescent="0.3">
      <c r="A1053">
        <v>35979</v>
      </c>
      <c r="B1053" t="s">
        <v>28</v>
      </c>
      <c r="C1053" t="s">
        <v>15</v>
      </c>
      <c r="D1053" t="s">
        <v>16</v>
      </c>
      <c r="E1053" t="s">
        <v>46</v>
      </c>
      <c r="F1053" s="6" t="str">
        <f t="shared" si="16"/>
        <v>6ML</v>
      </c>
      <c r="G1053" s="7">
        <v>46191</v>
      </c>
      <c r="H1053" s="8">
        <v>0.48472222222222222</v>
      </c>
      <c r="I1053" s="7">
        <v>46191</v>
      </c>
      <c r="J1053" s="1">
        <v>46191</v>
      </c>
      <c r="K1053" s="1">
        <v>46191</v>
      </c>
      <c r="L1053" t="s">
        <v>272</v>
      </c>
      <c r="M1053" t="s">
        <v>149</v>
      </c>
      <c r="N1053" t="s">
        <v>31</v>
      </c>
      <c r="O1053" t="s">
        <v>25</v>
      </c>
      <c r="P1053">
        <v>30257</v>
      </c>
      <c r="Q1053" t="s">
        <v>19</v>
      </c>
      <c r="R1053">
        <v>44515</v>
      </c>
      <c r="S1053" t="str">
        <f>VLOOKUP(L1053&amp;TEXT(I1053,"mmmm")&amp;YEAR(I1053),'[1]Detalle C-Fecha'!$D$2:$E$15921,2,FALSE)</f>
        <v>Expreso - Servicios Troncales</v>
      </c>
    </row>
    <row r="1054" spans="1:19" x14ac:dyDescent="0.3">
      <c r="A1054">
        <v>35979</v>
      </c>
      <c r="B1054" t="s">
        <v>28</v>
      </c>
      <c r="C1054" t="s">
        <v>15</v>
      </c>
      <c r="D1054" t="s">
        <v>16</v>
      </c>
      <c r="E1054" t="s">
        <v>46</v>
      </c>
      <c r="F1054" s="6" t="str">
        <f t="shared" si="16"/>
        <v>6ML</v>
      </c>
      <c r="G1054" s="7">
        <v>46191</v>
      </c>
      <c r="H1054" s="8">
        <v>0.48472222222222222</v>
      </c>
      <c r="I1054" s="7">
        <v>46191</v>
      </c>
      <c r="J1054" s="1">
        <v>46191</v>
      </c>
      <c r="K1054" s="1">
        <v>46191</v>
      </c>
      <c r="L1054" t="s">
        <v>272</v>
      </c>
      <c r="M1054" t="s">
        <v>149</v>
      </c>
      <c r="N1054" t="s">
        <v>31</v>
      </c>
      <c r="O1054" t="s">
        <v>25</v>
      </c>
      <c r="P1054">
        <v>30257</v>
      </c>
      <c r="Q1054" t="s">
        <v>19</v>
      </c>
      <c r="R1054">
        <v>44516</v>
      </c>
      <c r="S1054" t="str">
        <f>VLOOKUP(L1054&amp;TEXT(I1054,"mmmm")&amp;YEAR(I1054),'[1]Detalle C-Fecha'!$D$2:$E$15921,2,FALSE)</f>
        <v>Expreso - Servicios Troncales</v>
      </c>
    </row>
    <row r="1055" spans="1:19" x14ac:dyDescent="0.3">
      <c r="A1055">
        <v>35980</v>
      </c>
      <c r="B1055" t="s">
        <v>28</v>
      </c>
      <c r="C1055" t="s">
        <v>15</v>
      </c>
      <c r="D1055" t="s">
        <v>16</v>
      </c>
      <c r="E1055" t="s">
        <v>137</v>
      </c>
      <c r="F1055" s="6" t="str">
        <f t="shared" si="16"/>
        <v>7ML</v>
      </c>
      <c r="G1055" s="7">
        <v>46191</v>
      </c>
      <c r="H1055" s="8">
        <v>0.48472222222222222</v>
      </c>
      <c r="I1055" s="7">
        <v>46191</v>
      </c>
      <c r="J1055" s="1">
        <v>46191</v>
      </c>
      <c r="K1055" s="1">
        <v>46191</v>
      </c>
      <c r="L1055" t="s">
        <v>272</v>
      </c>
      <c r="M1055" t="s">
        <v>149</v>
      </c>
      <c r="N1055" t="s">
        <v>31</v>
      </c>
      <c r="O1055" t="s">
        <v>25</v>
      </c>
      <c r="P1055">
        <v>30258</v>
      </c>
      <c r="Q1055" t="s">
        <v>19</v>
      </c>
      <c r="R1055">
        <v>44517</v>
      </c>
      <c r="S1055" t="str">
        <f>VLOOKUP(L1055&amp;TEXT(I1055,"mmmm")&amp;YEAR(I1055),'[1]Detalle C-Fecha'!$D$2:$E$15921,2,FALSE)</f>
        <v>Expreso - Servicios Troncales</v>
      </c>
    </row>
    <row r="1056" spans="1:19" x14ac:dyDescent="0.3">
      <c r="A1056">
        <v>35980</v>
      </c>
      <c r="B1056" t="s">
        <v>28</v>
      </c>
      <c r="C1056" t="s">
        <v>15</v>
      </c>
      <c r="D1056" t="s">
        <v>16</v>
      </c>
      <c r="E1056" t="s">
        <v>137</v>
      </c>
      <c r="F1056" s="6" t="str">
        <f t="shared" si="16"/>
        <v>7ML</v>
      </c>
      <c r="G1056" s="7">
        <v>46191</v>
      </c>
      <c r="H1056" s="8">
        <v>0.48472222222222222</v>
      </c>
      <c r="I1056" s="7">
        <v>46191</v>
      </c>
      <c r="J1056" s="1">
        <v>46191</v>
      </c>
      <c r="K1056" s="1">
        <v>46191</v>
      </c>
      <c r="L1056" t="s">
        <v>272</v>
      </c>
      <c r="M1056" t="s">
        <v>149</v>
      </c>
      <c r="N1056" t="s">
        <v>31</v>
      </c>
      <c r="O1056" t="s">
        <v>25</v>
      </c>
      <c r="P1056">
        <v>30258</v>
      </c>
      <c r="Q1056" t="s">
        <v>19</v>
      </c>
      <c r="R1056">
        <v>44518</v>
      </c>
      <c r="S1056" t="str">
        <f>VLOOKUP(L1056&amp;TEXT(I1056,"mmmm")&amp;YEAR(I1056),'[1]Detalle C-Fecha'!$D$2:$E$15921,2,FALSE)</f>
        <v>Expreso - Servicios Troncales</v>
      </c>
    </row>
    <row r="1057" spans="1:19" x14ac:dyDescent="0.3">
      <c r="A1057">
        <v>35981</v>
      </c>
      <c r="B1057" t="s">
        <v>28</v>
      </c>
      <c r="C1057" t="s">
        <v>15</v>
      </c>
      <c r="D1057" t="s">
        <v>16</v>
      </c>
      <c r="E1057" t="s">
        <v>216</v>
      </c>
      <c r="F1057" s="6" t="str">
        <f t="shared" si="16"/>
        <v>8ML</v>
      </c>
      <c r="G1057" s="7">
        <v>46191</v>
      </c>
      <c r="H1057" s="8">
        <v>0.48472222222222222</v>
      </c>
      <c r="I1057" s="7">
        <v>46191</v>
      </c>
      <c r="J1057" s="1">
        <v>46191</v>
      </c>
      <c r="K1057" s="1">
        <v>46191</v>
      </c>
      <c r="L1057" t="s">
        <v>272</v>
      </c>
      <c r="M1057" t="s">
        <v>149</v>
      </c>
      <c r="N1057" t="s">
        <v>31</v>
      </c>
      <c r="O1057" t="s">
        <v>25</v>
      </c>
      <c r="P1057">
        <v>30259</v>
      </c>
      <c r="Q1057" t="s">
        <v>19</v>
      </c>
      <c r="R1057">
        <v>44519</v>
      </c>
      <c r="S1057" t="str">
        <f>VLOOKUP(L1057&amp;TEXT(I1057,"mmmm")&amp;YEAR(I1057),'[1]Detalle C-Fecha'!$D$2:$E$15921,2,FALSE)</f>
        <v>Expreso - Servicios Troncales</v>
      </c>
    </row>
    <row r="1058" spans="1:19" x14ac:dyDescent="0.3">
      <c r="A1058">
        <v>35981</v>
      </c>
      <c r="B1058" t="s">
        <v>28</v>
      </c>
      <c r="C1058" t="s">
        <v>15</v>
      </c>
      <c r="D1058" t="s">
        <v>16</v>
      </c>
      <c r="E1058" t="s">
        <v>216</v>
      </c>
      <c r="F1058" s="6" t="str">
        <f t="shared" si="16"/>
        <v>8ML</v>
      </c>
      <c r="G1058" s="7">
        <v>46191</v>
      </c>
      <c r="H1058" s="8">
        <v>0.48472222222222222</v>
      </c>
      <c r="I1058" s="7">
        <v>46191</v>
      </c>
      <c r="J1058" s="1">
        <v>46191</v>
      </c>
      <c r="K1058" s="1">
        <v>46191</v>
      </c>
      <c r="L1058" t="s">
        <v>272</v>
      </c>
      <c r="M1058" t="s">
        <v>149</v>
      </c>
      <c r="N1058" t="s">
        <v>31</v>
      </c>
      <c r="O1058" t="s">
        <v>25</v>
      </c>
      <c r="P1058">
        <v>30259</v>
      </c>
      <c r="Q1058" t="s">
        <v>19</v>
      </c>
      <c r="R1058">
        <v>44520</v>
      </c>
      <c r="S1058" t="str">
        <f>VLOOKUP(L1058&amp;TEXT(I1058,"mmmm")&amp;YEAR(I1058),'[1]Detalle C-Fecha'!$D$2:$E$15921,2,FALSE)</f>
        <v>Expreso - Servicios Troncales</v>
      </c>
    </row>
    <row r="1059" spans="1:19" x14ac:dyDescent="0.3">
      <c r="A1059">
        <v>35991</v>
      </c>
      <c r="B1059" t="s">
        <v>28</v>
      </c>
      <c r="C1059" t="s">
        <v>15</v>
      </c>
      <c r="D1059" t="s">
        <v>16</v>
      </c>
      <c r="E1059" t="s">
        <v>51</v>
      </c>
      <c r="F1059" s="6" t="str">
        <f t="shared" si="16"/>
        <v>2MC</v>
      </c>
      <c r="G1059" s="7">
        <v>46191</v>
      </c>
      <c r="H1059" s="8">
        <v>0.75555555555555554</v>
      </c>
      <c r="I1059" s="7">
        <v>46191</v>
      </c>
      <c r="J1059" s="1">
        <v>46191</v>
      </c>
      <c r="K1059" s="1">
        <v>46195</v>
      </c>
      <c r="L1059" t="s">
        <v>273</v>
      </c>
      <c r="M1059">
        <v>1624</v>
      </c>
      <c r="N1059" t="s">
        <v>208</v>
      </c>
      <c r="O1059" t="s">
        <v>27</v>
      </c>
      <c r="P1059">
        <v>30300</v>
      </c>
      <c r="Q1059" t="s">
        <v>19</v>
      </c>
      <c r="R1059">
        <v>44224</v>
      </c>
      <c r="S1059" t="str">
        <f>VLOOKUP(L1059&amp;TEXT(I1059,"mmmm")&amp;YEAR(I1059),'[1]Detalle C-Fecha'!$D$2:$E$15921,2,FALSE)</f>
        <v>CCUCoAZA</v>
      </c>
    </row>
    <row r="1060" spans="1:19" x14ac:dyDescent="0.3">
      <c r="A1060">
        <v>35991</v>
      </c>
      <c r="B1060" t="s">
        <v>28</v>
      </c>
      <c r="C1060" t="s">
        <v>15</v>
      </c>
      <c r="D1060" t="s">
        <v>16</v>
      </c>
      <c r="E1060" t="s">
        <v>51</v>
      </c>
      <c r="F1060" s="6" t="str">
        <f t="shared" si="16"/>
        <v>2MC</v>
      </c>
      <c r="G1060" s="7">
        <v>46191</v>
      </c>
      <c r="H1060" s="8">
        <v>0.75555555555555554</v>
      </c>
      <c r="I1060" s="7">
        <v>46191</v>
      </c>
      <c r="J1060" s="1">
        <v>46191</v>
      </c>
      <c r="K1060" s="1">
        <v>46195</v>
      </c>
      <c r="L1060" t="s">
        <v>273</v>
      </c>
      <c r="M1060">
        <v>1624</v>
      </c>
      <c r="N1060" t="s">
        <v>208</v>
      </c>
      <c r="O1060" t="s">
        <v>27</v>
      </c>
      <c r="P1060">
        <v>30300</v>
      </c>
      <c r="Q1060" t="s">
        <v>19</v>
      </c>
      <c r="R1060">
        <v>43570</v>
      </c>
      <c r="S1060" t="str">
        <f>VLOOKUP(L1060&amp;TEXT(I1060,"mmmm")&amp;YEAR(I1060),'[1]Detalle C-Fecha'!$D$2:$E$15921,2,FALSE)</f>
        <v>CCUCoAZA</v>
      </c>
    </row>
    <row r="1061" spans="1:19" x14ac:dyDescent="0.3">
      <c r="A1061">
        <v>35992</v>
      </c>
      <c r="B1061" t="s">
        <v>28</v>
      </c>
      <c r="C1061" t="s">
        <v>15</v>
      </c>
      <c r="D1061" t="s">
        <v>16</v>
      </c>
      <c r="E1061" t="s">
        <v>53</v>
      </c>
      <c r="F1061" s="6" t="str">
        <f t="shared" si="16"/>
        <v>3MC</v>
      </c>
      <c r="G1061" s="7">
        <v>46191</v>
      </c>
      <c r="H1061" s="8">
        <v>0.75555555555555554</v>
      </c>
      <c r="I1061" s="7">
        <v>46191</v>
      </c>
      <c r="J1061" s="1">
        <v>46191</v>
      </c>
      <c r="K1061" s="1">
        <v>46195</v>
      </c>
      <c r="L1061" t="s">
        <v>273</v>
      </c>
      <c r="M1061">
        <v>1624</v>
      </c>
      <c r="N1061" t="s">
        <v>208</v>
      </c>
      <c r="O1061" t="s">
        <v>27</v>
      </c>
      <c r="P1061">
        <v>30301</v>
      </c>
      <c r="Q1061" t="s">
        <v>19</v>
      </c>
      <c r="R1061">
        <v>44224</v>
      </c>
      <c r="S1061" t="str">
        <f>VLOOKUP(L1061&amp;TEXT(I1061,"mmmm")&amp;YEAR(I1061),'[1]Detalle C-Fecha'!$D$2:$E$15921,2,FALSE)</f>
        <v>CCUCoAZA</v>
      </c>
    </row>
    <row r="1062" spans="1:19" x14ac:dyDescent="0.3">
      <c r="A1062">
        <v>35992</v>
      </c>
      <c r="B1062" t="s">
        <v>28</v>
      </c>
      <c r="C1062" t="s">
        <v>15</v>
      </c>
      <c r="D1062" t="s">
        <v>16</v>
      </c>
      <c r="E1062" t="s">
        <v>53</v>
      </c>
      <c r="F1062" s="6" t="str">
        <f t="shared" si="16"/>
        <v>3MC</v>
      </c>
      <c r="G1062" s="7">
        <v>46191</v>
      </c>
      <c r="H1062" s="8">
        <v>0.75555555555555554</v>
      </c>
      <c r="I1062" s="7">
        <v>46191</v>
      </c>
      <c r="J1062" s="1">
        <v>46191</v>
      </c>
      <c r="K1062" s="1">
        <v>46195</v>
      </c>
      <c r="L1062" t="s">
        <v>273</v>
      </c>
      <c r="M1062">
        <v>1624</v>
      </c>
      <c r="N1062" t="s">
        <v>208</v>
      </c>
      <c r="O1062" t="s">
        <v>27</v>
      </c>
      <c r="P1062">
        <v>30301</v>
      </c>
      <c r="Q1062" t="s">
        <v>19</v>
      </c>
      <c r="R1062">
        <v>43571</v>
      </c>
      <c r="S1062" t="str">
        <f>VLOOKUP(L1062&amp;TEXT(I1062,"mmmm")&amp;YEAR(I1062),'[1]Detalle C-Fecha'!$D$2:$E$15921,2,FALSE)</f>
        <v>CCUCoAZA</v>
      </c>
    </row>
    <row r="1063" spans="1:19" x14ac:dyDescent="0.3">
      <c r="A1063">
        <v>35993</v>
      </c>
      <c r="B1063" t="s">
        <v>28</v>
      </c>
      <c r="C1063" t="s">
        <v>15</v>
      </c>
      <c r="D1063" t="s">
        <v>16</v>
      </c>
      <c r="E1063" t="s">
        <v>52</v>
      </c>
      <c r="F1063" s="6" t="str">
        <f t="shared" si="16"/>
        <v>6MC</v>
      </c>
      <c r="G1063" s="7">
        <v>46191</v>
      </c>
      <c r="H1063" s="8">
        <v>0.75555555555555554</v>
      </c>
      <c r="I1063" s="7">
        <v>46191</v>
      </c>
      <c r="J1063" s="1">
        <v>46191</v>
      </c>
      <c r="K1063" s="1">
        <v>46195</v>
      </c>
      <c r="L1063" t="s">
        <v>273</v>
      </c>
      <c r="M1063">
        <v>1624</v>
      </c>
      <c r="N1063" t="s">
        <v>208</v>
      </c>
      <c r="O1063" t="s">
        <v>27</v>
      </c>
      <c r="P1063">
        <v>30302</v>
      </c>
      <c r="Q1063" t="s">
        <v>19</v>
      </c>
      <c r="R1063">
        <v>44224</v>
      </c>
      <c r="S1063" t="str">
        <f>VLOOKUP(L1063&amp;TEXT(I1063,"mmmm")&amp;YEAR(I1063),'[1]Detalle C-Fecha'!$D$2:$E$15921,2,FALSE)</f>
        <v>CCUCoAZA</v>
      </c>
    </row>
    <row r="1064" spans="1:19" x14ac:dyDescent="0.3">
      <c r="A1064">
        <v>35993</v>
      </c>
      <c r="B1064" t="s">
        <v>28</v>
      </c>
      <c r="C1064" t="s">
        <v>15</v>
      </c>
      <c r="D1064" t="s">
        <v>16</v>
      </c>
      <c r="E1064" t="s">
        <v>52</v>
      </c>
      <c r="F1064" s="6" t="str">
        <f t="shared" si="16"/>
        <v>6MC</v>
      </c>
      <c r="G1064" s="7">
        <v>46191</v>
      </c>
      <c r="H1064" s="8">
        <v>0.75555555555555554</v>
      </c>
      <c r="I1064" s="7">
        <v>46191</v>
      </c>
      <c r="J1064" s="1">
        <v>46191</v>
      </c>
      <c r="K1064" s="1">
        <v>46195</v>
      </c>
      <c r="L1064" t="s">
        <v>273</v>
      </c>
      <c r="M1064">
        <v>1624</v>
      </c>
      <c r="N1064" t="s">
        <v>208</v>
      </c>
      <c r="O1064" t="s">
        <v>27</v>
      </c>
      <c r="P1064">
        <v>30302</v>
      </c>
      <c r="Q1064" t="s">
        <v>19</v>
      </c>
      <c r="R1064">
        <v>43572</v>
      </c>
      <c r="S1064" t="str">
        <f>VLOOKUP(L1064&amp;TEXT(I1064,"mmmm")&amp;YEAR(I1064),'[1]Detalle C-Fecha'!$D$2:$E$15921,2,FALSE)</f>
        <v>CCUCoAZA</v>
      </c>
    </row>
    <row r="1065" spans="1:19" x14ac:dyDescent="0.3">
      <c r="A1065">
        <v>35998</v>
      </c>
      <c r="B1065" t="s">
        <v>28</v>
      </c>
      <c r="C1065" t="s">
        <v>15</v>
      </c>
      <c r="D1065" t="s">
        <v>16</v>
      </c>
      <c r="E1065" t="s">
        <v>121</v>
      </c>
      <c r="F1065" s="6" t="str">
        <f t="shared" si="16"/>
        <v>2MC</v>
      </c>
      <c r="G1065" s="7">
        <v>46192</v>
      </c>
      <c r="H1065" s="8">
        <v>0.34027777777777773</v>
      </c>
      <c r="I1065" s="7">
        <v>46192</v>
      </c>
      <c r="K1065" s="1">
        <v>46195</v>
      </c>
      <c r="L1065" t="s">
        <v>232</v>
      </c>
      <c r="M1065" t="s">
        <v>155</v>
      </c>
      <c r="N1065" t="s">
        <v>208</v>
      </c>
      <c r="O1065" t="s">
        <v>18</v>
      </c>
      <c r="P1065">
        <v>30306</v>
      </c>
      <c r="Q1065" t="s">
        <v>19</v>
      </c>
      <c r="R1065">
        <v>44187</v>
      </c>
      <c r="S1065" t="str">
        <f>VLOOKUP(L1065&amp;TEXT(I1065,"mmmm")&amp;YEAR(I1065),'[1]Detalle C-Fecha'!$D$2:$E$15921,2,FALSE)</f>
        <v>CMQ_TTE - QUILMES TTE</v>
      </c>
    </row>
    <row r="1066" spans="1:19" x14ac:dyDescent="0.3">
      <c r="A1066">
        <v>35998</v>
      </c>
      <c r="B1066" t="s">
        <v>28</v>
      </c>
      <c r="C1066" t="s">
        <v>15</v>
      </c>
      <c r="D1066" t="s">
        <v>16</v>
      </c>
      <c r="E1066" t="s">
        <v>121</v>
      </c>
      <c r="F1066" s="6" t="str">
        <f t="shared" si="16"/>
        <v>2MC</v>
      </c>
      <c r="G1066" s="7">
        <v>46192</v>
      </c>
      <c r="H1066" s="8">
        <v>0.34027777777777773</v>
      </c>
      <c r="I1066" s="7">
        <v>46192</v>
      </c>
      <c r="K1066" s="1">
        <v>46195</v>
      </c>
      <c r="L1066" t="s">
        <v>232</v>
      </c>
      <c r="M1066" t="s">
        <v>155</v>
      </c>
      <c r="N1066" t="s">
        <v>208</v>
      </c>
      <c r="O1066" t="s">
        <v>18</v>
      </c>
      <c r="P1066">
        <v>30306</v>
      </c>
      <c r="Q1066" t="s">
        <v>19</v>
      </c>
      <c r="R1066">
        <v>43576</v>
      </c>
      <c r="S1066" t="str">
        <f>VLOOKUP(L1066&amp;TEXT(I1066,"mmmm")&amp;YEAR(I1066),'[1]Detalle C-Fecha'!$D$2:$E$15921,2,FALSE)</f>
        <v>CMQ_TTE - QUILMES TTE</v>
      </c>
    </row>
    <row r="1067" spans="1:19" x14ac:dyDescent="0.3">
      <c r="A1067">
        <v>35999</v>
      </c>
      <c r="B1067" t="s">
        <v>28</v>
      </c>
      <c r="C1067" t="s">
        <v>15</v>
      </c>
      <c r="D1067" t="s">
        <v>16</v>
      </c>
      <c r="E1067" t="s">
        <v>53</v>
      </c>
      <c r="F1067" s="6" t="str">
        <f t="shared" si="16"/>
        <v>3MC</v>
      </c>
      <c r="G1067" s="7">
        <v>46192</v>
      </c>
      <c r="H1067" s="8">
        <v>0.34027777777777773</v>
      </c>
      <c r="I1067" s="7">
        <v>46192</v>
      </c>
      <c r="K1067" s="1">
        <v>46195</v>
      </c>
      <c r="L1067" t="s">
        <v>232</v>
      </c>
      <c r="M1067" t="s">
        <v>155</v>
      </c>
      <c r="N1067" t="s">
        <v>208</v>
      </c>
      <c r="O1067" t="s">
        <v>18</v>
      </c>
      <c r="P1067">
        <v>30307</v>
      </c>
      <c r="Q1067" t="s">
        <v>19</v>
      </c>
      <c r="R1067">
        <v>44187</v>
      </c>
      <c r="S1067" t="str">
        <f>VLOOKUP(L1067&amp;TEXT(I1067,"mmmm")&amp;YEAR(I1067),'[1]Detalle C-Fecha'!$D$2:$E$15921,2,FALSE)</f>
        <v>CMQ_TTE - QUILMES TTE</v>
      </c>
    </row>
    <row r="1068" spans="1:19" x14ac:dyDescent="0.3">
      <c r="A1068">
        <v>35999</v>
      </c>
      <c r="B1068" t="s">
        <v>28</v>
      </c>
      <c r="C1068" t="s">
        <v>15</v>
      </c>
      <c r="D1068" t="s">
        <v>16</v>
      </c>
      <c r="E1068" t="s">
        <v>53</v>
      </c>
      <c r="F1068" s="6" t="str">
        <f t="shared" si="16"/>
        <v>3MC</v>
      </c>
      <c r="G1068" s="7">
        <v>46192</v>
      </c>
      <c r="H1068" s="8">
        <v>0.34027777777777773</v>
      </c>
      <c r="I1068" s="7">
        <v>46192</v>
      </c>
      <c r="J1068" s="1"/>
      <c r="K1068" s="1">
        <v>46195</v>
      </c>
      <c r="L1068" t="s">
        <v>232</v>
      </c>
      <c r="M1068" t="s">
        <v>155</v>
      </c>
      <c r="N1068" t="s">
        <v>208</v>
      </c>
      <c r="O1068" t="s">
        <v>18</v>
      </c>
      <c r="P1068">
        <v>30307</v>
      </c>
      <c r="Q1068" t="s">
        <v>19</v>
      </c>
      <c r="R1068">
        <v>43577</v>
      </c>
      <c r="S1068" t="str">
        <f>VLOOKUP(L1068&amp;TEXT(I1068,"mmmm")&amp;YEAR(I1068),'[1]Detalle C-Fecha'!$D$2:$E$15921,2,FALSE)</f>
        <v>CMQ_TTE - QUILMES TTE</v>
      </c>
    </row>
    <row r="1069" spans="1:19" x14ac:dyDescent="0.3">
      <c r="A1069">
        <v>36000</v>
      </c>
      <c r="B1069" t="s">
        <v>28</v>
      </c>
      <c r="C1069" t="s">
        <v>15</v>
      </c>
      <c r="D1069" t="s">
        <v>16</v>
      </c>
      <c r="E1069" t="s">
        <v>111</v>
      </c>
      <c r="F1069" s="6" t="str">
        <f t="shared" si="16"/>
        <v>6MC</v>
      </c>
      <c r="G1069" s="7">
        <v>46192</v>
      </c>
      <c r="H1069" s="8">
        <v>0.34027777777777773</v>
      </c>
      <c r="I1069" s="7">
        <v>46192</v>
      </c>
      <c r="J1069" s="1"/>
      <c r="K1069" s="1">
        <v>46195</v>
      </c>
      <c r="L1069" t="s">
        <v>232</v>
      </c>
      <c r="M1069" t="s">
        <v>155</v>
      </c>
      <c r="N1069" t="s">
        <v>208</v>
      </c>
      <c r="O1069" t="s">
        <v>18</v>
      </c>
      <c r="P1069">
        <v>30308</v>
      </c>
      <c r="Q1069" t="s">
        <v>19</v>
      </c>
      <c r="R1069">
        <v>44187</v>
      </c>
      <c r="S1069" t="str">
        <f>VLOOKUP(L1069&amp;TEXT(I1069,"mmmm")&amp;YEAR(I1069),'[1]Detalle C-Fecha'!$D$2:$E$15921,2,FALSE)</f>
        <v>CMQ_TTE - QUILMES TTE</v>
      </c>
    </row>
    <row r="1070" spans="1:19" x14ac:dyDescent="0.3">
      <c r="A1070">
        <v>36000</v>
      </c>
      <c r="B1070" t="s">
        <v>28</v>
      </c>
      <c r="C1070" t="s">
        <v>15</v>
      </c>
      <c r="D1070" t="s">
        <v>16</v>
      </c>
      <c r="E1070" t="s">
        <v>111</v>
      </c>
      <c r="F1070" s="6" t="str">
        <f t="shared" si="16"/>
        <v>6MC</v>
      </c>
      <c r="G1070" s="7">
        <v>46192</v>
      </c>
      <c r="H1070" s="8">
        <v>0.34027777777777773</v>
      </c>
      <c r="I1070" s="7">
        <v>46192</v>
      </c>
      <c r="J1070" s="1"/>
      <c r="K1070" s="1">
        <v>46195</v>
      </c>
      <c r="L1070" t="s">
        <v>232</v>
      </c>
      <c r="M1070" t="s">
        <v>155</v>
      </c>
      <c r="N1070" t="s">
        <v>208</v>
      </c>
      <c r="O1070" t="s">
        <v>18</v>
      </c>
      <c r="P1070">
        <v>30308</v>
      </c>
      <c r="Q1070" t="s">
        <v>19</v>
      </c>
      <c r="R1070">
        <v>43578</v>
      </c>
      <c r="S1070" t="str">
        <f>VLOOKUP(L1070&amp;TEXT(I1070,"mmmm")&amp;YEAR(I1070),'[1]Detalle C-Fecha'!$D$2:$E$15921,2,FALSE)</f>
        <v>CMQ_TTE - QUILMES TTE</v>
      </c>
    </row>
    <row r="1071" spans="1:19" x14ac:dyDescent="0.3">
      <c r="A1071">
        <v>36162</v>
      </c>
      <c r="B1071" t="s">
        <v>28</v>
      </c>
      <c r="C1071" t="s">
        <v>15</v>
      </c>
      <c r="D1071" t="s">
        <v>16</v>
      </c>
      <c r="E1071" t="s">
        <v>51</v>
      </c>
      <c r="F1071" s="6" t="str">
        <f t="shared" si="16"/>
        <v>2MC</v>
      </c>
      <c r="G1071" s="7">
        <v>46195</v>
      </c>
      <c r="H1071" s="8">
        <v>0.8354166666666667</v>
      </c>
      <c r="I1071" s="7">
        <v>46195</v>
      </c>
      <c r="J1071" s="1">
        <v>46195</v>
      </c>
      <c r="K1071" s="1">
        <v>46198</v>
      </c>
      <c r="L1071" t="s">
        <v>274</v>
      </c>
      <c r="M1071" t="s">
        <v>163</v>
      </c>
      <c r="N1071" t="s">
        <v>208</v>
      </c>
      <c r="O1071" t="s">
        <v>18</v>
      </c>
      <c r="P1071">
        <v>30363</v>
      </c>
      <c r="Q1071" t="s">
        <v>19</v>
      </c>
      <c r="R1071">
        <v>44187</v>
      </c>
      <c r="S1071" t="str">
        <f>VLOOKUP(L1071&amp;TEXT(I1071,"mmmm")&amp;YEAR(I1071),'[1]Detalle C-Fecha'!$D$2:$E$15921,2,FALSE)</f>
        <v>CMQ_TTE - QUILMES TTE</v>
      </c>
    </row>
    <row r="1072" spans="1:19" x14ac:dyDescent="0.3">
      <c r="A1072">
        <v>36162</v>
      </c>
      <c r="B1072" t="s">
        <v>28</v>
      </c>
      <c r="C1072" t="s">
        <v>15</v>
      </c>
      <c r="D1072" t="s">
        <v>16</v>
      </c>
      <c r="E1072" t="s">
        <v>51</v>
      </c>
      <c r="F1072" s="6" t="str">
        <f t="shared" si="16"/>
        <v>2MC</v>
      </c>
      <c r="G1072" s="7">
        <v>46195</v>
      </c>
      <c r="H1072" s="8">
        <v>0.8354166666666667</v>
      </c>
      <c r="I1072" s="7">
        <v>46195</v>
      </c>
      <c r="J1072" s="1">
        <v>46195</v>
      </c>
      <c r="K1072" s="1">
        <v>46198</v>
      </c>
      <c r="L1072" t="s">
        <v>274</v>
      </c>
      <c r="M1072" t="s">
        <v>163</v>
      </c>
      <c r="N1072" t="s">
        <v>208</v>
      </c>
      <c r="O1072" t="s">
        <v>18</v>
      </c>
      <c r="P1072">
        <v>30363</v>
      </c>
      <c r="Q1072" t="s">
        <v>19</v>
      </c>
      <c r="R1072">
        <v>44157</v>
      </c>
      <c r="S1072" t="str">
        <f>VLOOKUP(L1072&amp;TEXT(I1072,"mmmm")&amp;YEAR(I1072),'[1]Detalle C-Fecha'!$D$2:$E$15921,2,FALSE)</f>
        <v>CMQ_TTE - QUILMES TTE</v>
      </c>
    </row>
    <row r="1073" spans="1:19" x14ac:dyDescent="0.3">
      <c r="A1073">
        <v>36163</v>
      </c>
      <c r="B1073" t="s">
        <v>28</v>
      </c>
      <c r="C1073" t="s">
        <v>15</v>
      </c>
      <c r="D1073" t="s">
        <v>16</v>
      </c>
      <c r="E1073" t="s">
        <v>53</v>
      </c>
      <c r="F1073" s="6" t="str">
        <f t="shared" si="16"/>
        <v>3MC</v>
      </c>
      <c r="G1073" s="7">
        <v>46195</v>
      </c>
      <c r="H1073" s="8">
        <v>0.8354166666666667</v>
      </c>
      <c r="I1073" s="7">
        <v>46195</v>
      </c>
      <c r="J1073" s="1">
        <v>46195</v>
      </c>
      <c r="K1073" s="1">
        <v>46198</v>
      </c>
      <c r="L1073" t="s">
        <v>274</v>
      </c>
      <c r="M1073" t="s">
        <v>163</v>
      </c>
      <c r="N1073" t="s">
        <v>208</v>
      </c>
      <c r="O1073" t="s">
        <v>18</v>
      </c>
      <c r="P1073">
        <v>30364</v>
      </c>
      <c r="Q1073" t="s">
        <v>19</v>
      </c>
      <c r="R1073">
        <v>44187</v>
      </c>
      <c r="S1073" t="str">
        <f>VLOOKUP(L1073&amp;TEXT(I1073,"mmmm")&amp;YEAR(I1073),'[1]Detalle C-Fecha'!$D$2:$E$15921,2,FALSE)</f>
        <v>CMQ_TTE - QUILMES TTE</v>
      </c>
    </row>
    <row r="1074" spans="1:19" x14ac:dyDescent="0.3">
      <c r="A1074">
        <v>36163</v>
      </c>
      <c r="B1074" t="s">
        <v>28</v>
      </c>
      <c r="C1074" t="s">
        <v>15</v>
      </c>
      <c r="D1074" t="s">
        <v>16</v>
      </c>
      <c r="E1074" t="s">
        <v>53</v>
      </c>
      <c r="F1074" s="6" t="str">
        <f t="shared" si="16"/>
        <v>3MC</v>
      </c>
      <c r="G1074" s="7">
        <v>46195</v>
      </c>
      <c r="H1074" s="8">
        <v>0.8354166666666667</v>
      </c>
      <c r="I1074" s="7">
        <v>46195</v>
      </c>
      <c r="J1074" s="1">
        <v>46195</v>
      </c>
      <c r="K1074" s="1">
        <v>46198</v>
      </c>
      <c r="L1074" t="s">
        <v>274</v>
      </c>
      <c r="M1074" t="s">
        <v>163</v>
      </c>
      <c r="N1074" t="s">
        <v>208</v>
      </c>
      <c r="O1074" t="s">
        <v>18</v>
      </c>
      <c r="P1074">
        <v>30364</v>
      </c>
      <c r="Q1074" t="s">
        <v>19</v>
      </c>
      <c r="R1074">
        <v>44158</v>
      </c>
      <c r="S1074" t="str">
        <f>VLOOKUP(L1074&amp;TEXT(I1074,"mmmm")&amp;YEAR(I1074),'[1]Detalle C-Fecha'!$D$2:$E$15921,2,FALSE)</f>
        <v>CMQ_TTE - QUILMES TTE</v>
      </c>
    </row>
    <row r="1075" spans="1:19" x14ac:dyDescent="0.3">
      <c r="A1075">
        <v>36164</v>
      </c>
      <c r="B1075" t="s">
        <v>28</v>
      </c>
      <c r="C1075" t="s">
        <v>15</v>
      </c>
      <c r="D1075" t="s">
        <v>16</v>
      </c>
      <c r="E1075" t="s">
        <v>52</v>
      </c>
      <c r="F1075" s="6" t="str">
        <f t="shared" si="16"/>
        <v>6MC</v>
      </c>
      <c r="G1075" s="7">
        <v>46195</v>
      </c>
      <c r="H1075" s="8">
        <v>0.8354166666666667</v>
      </c>
      <c r="I1075" s="7">
        <v>46195</v>
      </c>
      <c r="J1075" s="1">
        <v>46195</v>
      </c>
      <c r="K1075" s="1">
        <v>46198</v>
      </c>
      <c r="L1075" t="s">
        <v>274</v>
      </c>
      <c r="M1075" t="s">
        <v>163</v>
      </c>
      <c r="N1075" t="s">
        <v>208</v>
      </c>
      <c r="O1075" t="s">
        <v>18</v>
      </c>
      <c r="P1075">
        <v>30365</v>
      </c>
      <c r="Q1075" t="s">
        <v>19</v>
      </c>
      <c r="R1075">
        <v>44187</v>
      </c>
      <c r="S1075" t="str">
        <f>VLOOKUP(L1075&amp;TEXT(I1075,"mmmm")&amp;YEAR(I1075),'[1]Detalle C-Fecha'!$D$2:$E$15921,2,FALSE)</f>
        <v>CMQ_TTE - QUILMES TTE</v>
      </c>
    </row>
    <row r="1076" spans="1:19" x14ac:dyDescent="0.3">
      <c r="A1076">
        <v>36164</v>
      </c>
      <c r="B1076" t="s">
        <v>28</v>
      </c>
      <c r="C1076" t="s">
        <v>15</v>
      </c>
      <c r="D1076" t="s">
        <v>16</v>
      </c>
      <c r="E1076" t="s">
        <v>52</v>
      </c>
      <c r="F1076" s="6" t="str">
        <f t="shared" si="16"/>
        <v>6MC</v>
      </c>
      <c r="G1076" s="7">
        <v>46195</v>
      </c>
      <c r="H1076" s="8">
        <v>0.8354166666666667</v>
      </c>
      <c r="I1076" s="7">
        <v>46195</v>
      </c>
      <c r="J1076" s="1">
        <v>46195</v>
      </c>
      <c r="K1076" s="1">
        <v>46198</v>
      </c>
      <c r="L1076" t="s">
        <v>274</v>
      </c>
      <c r="M1076" t="s">
        <v>163</v>
      </c>
      <c r="N1076" t="s">
        <v>208</v>
      </c>
      <c r="O1076" t="s">
        <v>18</v>
      </c>
      <c r="P1076">
        <v>30365</v>
      </c>
      <c r="Q1076" t="s">
        <v>19</v>
      </c>
      <c r="R1076">
        <v>44159</v>
      </c>
      <c r="S1076" t="str">
        <f>VLOOKUP(L1076&amp;TEXT(I1076,"mmmm")&amp;YEAR(I1076),'[1]Detalle C-Fecha'!$D$2:$E$15921,2,FALSE)</f>
        <v>CMQ_TTE - QUILMES TTE</v>
      </c>
    </row>
    <row r="1077" spans="1:19" x14ac:dyDescent="0.3">
      <c r="A1077">
        <v>36181</v>
      </c>
      <c r="B1077" t="s">
        <v>28</v>
      </c>
      <c r="C1077" t="s">
        <v>15</v>
      </c>
      <c r="D1077" t="s">
        <v>16</v>
      </c>
      <c r="E1077" t="s">
        <v>35</v>
      </c>
      <c r="F1077" s="6" t="str">
        <f t="shared" si="16"/>
        <v>2ML</v>
      </c>
      <c r="G1077" s="7">
        <v>46196</v>
      </c>
      <c r="H1077" s="8">
        <v>0.4680555555555555</v>
      </c>
      <c r="I1077" s="7">
        <v>46191</v>
      </c>
      <c r="J1077" s="1">
        <v>46191</v>
      </c>
      <c r="K1077" s="1">
        <v>46191</v>
      </c>
      <c r="L1077" t="s">
        <v>147</v>
      </c>
      <c r="M1077" t="s">
        <v>126</v>
      </c>
      <c r="N1077" t="s">
        <v>17</v>
      </c>
      <c r="O1077" t="s">
        <v>25</v>
      </c>
      <c r="P1077">
        <v>30382</v>
      </c>
      <c r="Q1077" t="s">
        <v>19</v>
      </c>
      <c r="R1077">
        <v>44261</v>
      </c>
      <c r="S1077" t="str">
        <f>VLOOKUP(L1077&amp;TEXT(I1077,"mmmm")&amp;YEAR(I1077),'[1]Detalle C-Fecha'!$D$2:$E$15921,2,FALSE)</f>
        <v>Expreso - Servicios Troncales</v>
      </c>
    </row>
    <row r="1078" spans="1:19" x14ac:dyDescent="0.3">
      <c r="A1078">
        <v>36181</v>
      </c>
      <c r="B1078" t="s">
        <v>28</v>
      </c>
      <c r="C1078" t="s">
        <v>15</v>
      </c>
      <c r="D1078" t="s">
        <v>16</v>
      </c>
      <c r="E1078" t="s">
        <v>35</v>
      </c>
      <c r="F1078" s="6" t="str">
        <f t="shared" si="16"/>
        <v>2ML</v>
      </c>
      <c r="G1078" s="7">
        <v>46196</v>
      </c>
      <c r="H1078" s="8">
        <v>0.4680555555555555</v>
      </c>
      <c r="I1078" s="7">
        <v>46191</v>
      </c>
      <c r="J1078" s="1">
        <v>46191</v>
      </c>
      <c r="K1078" s="1">
        <v>46191</v>
      </c>
      <c r="L1078" t="s">
        <v>147</v>
      </c>
      <c r="M1078" t="s">
        <v>126</v>
      </c>
      <c r="N1078" t="s">
        <v>17</v>
      </c>
      <c r="O1078" t="s">
        <v>25</v>
      </c>
      <c r="P1078">
        <v>30382</v>
      </c>
      <c r="Q1078" t="s">
        <v>19</v>
      </c>
      <c r="R1078">
        <v>44262</v>
      </c>
      <c r="S1078" t="str">
        <f>VLOOKUP(L1078&amp;TEXT(I1078,"mmmm")&amp;YEAR(I1078),'[1]Detalle C-Fecha'!$D$2:$E$15921,2,FALSE)</f>
        <v>Expreso - Servicios Troncales</v>
      </c>
    </row>
    <row r="1079" spans="1:19" x14ac:dyDescent="0.3">
      <c r="A1079">
        <v>36182</v>
      </c>
      <c r="B1079" t="s">
        <v>28</v>
      </c>
      <c r="C1079" t="s">
        <v>15</v>
      </c>
      <c r="D1079" t="s">
        <v>16</v>
      </c>
      <c r="E1079" t="s">
        <v>47</v>
      </c>
      <c r="F1079" s="6" t="str">
        <f t="shared" si="16"/>
        <v>3ML</v>
      </c>
      <c r="G1079" s="7">
        <v>46196</v>
      </c>
      <c r="H1079" s="8">
        <v>0.4680555555555555</v>
      </c>
      <c r="I1079" s="7">
        <v>46191</v>
      </c>
      <c r="J1079" s="1">
        <v>46191</v>
      </c>
      <c r="K1079" s="1">
        <v>46191</v>
      </c>
      <c r="L1079" t="s">
        <v>147</v>
      </c>
      <c r="M1079" t="s">
        <v>126</v>
      </c>
      <c r="N1079" t="s">
        <v>17</v>
      </c>
      <c r="O1079" t="s">
        <v>25</v>
      </c>
      <c r="P1079">
        <v>30383</v>
      </c>
      <c r="Q1079" t="s">
        <v>19</v>
      </c>
      <c r="R1079">
        <v>44263</v>
      </c>
      <c r="S1079" t="str">
        <f>VLOOKUP(L1079&amp;TEXT(I1079,"mmmm")&amp;YEAR(I1079),'[1]Detalle C-Fecha'!$D$2:$E$15921,2,FALSE)</f>
        <v>Expreso - Servicios Troncales</v>
      </c>
    </row>
    <row r="1080" spans="1:19" x14ac:dyDescent="0.3">
      <c r="A1080">
        <v>36182</v>
      </c>
      <c r="B1080" t="s">
        <v>28</v>
      </c>
      <c r="C1080" t="s">
        <v>15</v>
      </c>
      <c r="D1080" t="s">
        <v>16</v>
      </c>
      <c r="E1080" t="s">
        <v>47</v>
      </c>
      <c r="F1080" s="6" t="str">
        <f t="shared" si="16"/>
        <v>3ML</v>
      </c>
      <c r="G1080" s="7">
        <v>46196</v>
      </c>
      <c r="H1080" s="8">
        <v>0.4680555555555555</v>
      </c>
      <c r="I1080" s="7">
        <v>46191</v>
      </c>
      <c r="J1080" s="1">
        <v>46191</v>
      </c>
      <c r="K1080" s="1">
        <v>46191</v>
      </c>
      <c r="L1080" t="s">
        <v>147</v>
      </c>
      <c r="M1080" t="s">
        <v>126</v>
      </c>
      <c r="N1080" t="s">
        <v>17</v>
      </c>
      <c r="O1080" t="s">
        <v>25</v>
      </c>
      <c r="P1080">
        <v>30383</v>
      </c>
      <c r="Q1080" t="s">
        <v>19</v>
      </c>
      <c r="R1080">
        <v>44264</v>
      </c>
      <c r="S1080" t="str">
        <f>VLOOKUP(L1080&amp;TEXT(I1080,"mmmm")&amp;YEAR(I1080),'[1]Detalle C-Fecha'!$D$2:$E$15921,2,FALSE)</f>
        <v>Expreso - Servicios Troncales</v>
      </c>
    </row>
    <row r="1081" spans="1:19" x14ac:dyDescent="0.3">
      <c r="A1081">
        <v>36183</v>
      </c>
      <c r="B1081" t="s">
        <v>28</v>
      </c>
      <c r="C1081" t="s">
        <v>15</v>
      </c>
      <c r="D1081" t="s">
        <v>16</v>
      </c>
      <c r="E1081" t="s">
        <v>46</v>
      </c>
      <c r="F1081" s="6" t="str">
        <f t="shared" si="16"/>
        <v>6ML</v>
      </c>
      <c r="G1081" s="7">
        <v>46196</v>
      </c>
      <c r="H1081" s="8">
        <v>0.4680555555555555</v>
      </c>
      <c r="I1081" s="7">
        <v>46191</v>
      </c>
      <c r="J1081" s="1">
        <v>46191</v>
      </c>
      <c r="K1081" s="1">
        <v>46191</v>
      </c>
      <c r="L1081" t="s">
        <v>147</v>
      </c>
      <c r="M1081" t="s">
        <v>126</v>
      </c>
      <c r="N1081" t="s">
        <v>17</v>
      </c>
      <c r="O1081" t="s">
        <v>25</v>
      </c>
      <c r="P1081">
        <v>30384</v>
      </c>
      <c r="Q1081" t="s">
        <v>19</v>
      </c>
      <c r="R1081">
        <v>44265</v>
      </c>
      <c r="S1081" t="str">
        <f>VLOOKUP(L1081&amp;TEXT(I1081,"mmmm")&amp;YEAR(I1081),'[1]Detalle C-Fecha'!$D$2:$E$15921,2,FALSE)</f>
        <v>Expreso - Servicios Troncales</v>
      </c>
    </row>
    <row r="1082" spans="1:19" x14ac:dyDescent="0.3">
      <c r="A1082">
        <v>36183</v>
      </c>
      <c r="B1082" t="s">
        <v>28</v>
      </c>
      <c r="C1082" t="s">
        <v>15</v>
      </c>
      <c r="D1082" t="s">
        <v>16</v>
      </c>
      <c r="E1082" t="s">
        <v>46</v>
      </c>
      <c r="F1082" s="6" t="str">
        <f t="shared" si="16"/>
        <v>6ML</v>
      </c>
      <c r="G1082" s="7">
        <v>46196</v>
      </c>
      <c r="H1082" s="8">
        <v>0.4680555555555555</v>
      </c>
      <c r="I1082" s="7">
        <v>46191</v>
      </c>
      <c r="J1082" s="1">
        <v>46191</v>
      </c>
      <c r="K1082" s="1">
        <v>46191</v>
      </c>
      <c r="L1082" t="s">
        <v>147</v>
      </c>
      <c r="M1082" t="s">
        <v>126</v>
      </c>
      <c r="N1082" t="s">
        <v>17</v>
      </c>
      <c r="O1082" t="s">
        <v>25</v>
      </c>
      <c r="P1082">
        <v>30384</v>
      </c>
      <c r="Q1082" t="s">
        <v>19</v>
      </c>
      <c r="R1082">
        <v>44266</v>
      </c>
      <c r="S1082" t="str">
        <f>VLOOKUP(L1082&amp;TEXT(I1082,"mmmm")&amp;YEAR(I1082),'[1]Detalle C-Fecha'!$D$2:$E$15921,2,FALSE)</f>
        <v>Expreso - Servicios Troncales</v>
      </c>
    </row>
    <row r="1083" spans="1:19" x14ac:dyDescent="0.3">
      <c r="A1083">
        <v>36190</v>
      </c>
      <c r="B1083" t="s">
        <v>28</v>
      </c>
      <c r="C1083" t="s">
        <v>15</v>
      </c>
      <c r="D1083" t="s">
        <v>16</v>
      </c>
      <c r="E1083" t="s">
        <v>47</v>
      </c>
      <c r="F1083" s="6" t="str">
        <f t="shared" si="16"/>
        <v>3ML</v>
      </c>
      <c r="G1083" s="7">
        <v>46196</v>
      </c>
      <c r="H1083" s="8">
        <v>0.52152777777777781</v>
      </c>
      <c r="I1083" s="7">
        <v>46195</v>
      </c>
      <c r="J1083" s="1">
        <v>46203</v>
      </c>
      <c r="K1083" s="1">
        <v>46203</v>
      </c>
      <c r="L1083" t="s">
        <v>76</v>
      </c>
      <c r="M1083" t="s">
        <v>127</v>
      </c>
      <c r="N1083" t="s">
        <v>17</v>
      </c>
      <c r="O1083" t="s">
        <v>24</v>
      </c>
      <c r="P1083">
        <v>30390</v>
      </c>
      <c r="Q1083" t="s">
        <v>19</v>
      </c>
      <c r="R1083">
        <v>44406</v>
      </c>
      <c r="S1083" t="str">
        <f>VLOOKUP(L1083&amp;TEXT(I1083,"mmmm")&amp;YEAR(I1083),'[1]Detalle C-Fecha'!$D$2:$E$15921,2,FALSE)</f>
        <v>CENCOMLD - Cencosud SA - Mendoza</v>
      </c>
    </row>
    <row r="1084" spans="1:19" x14ac:dyDescent="0.3">
      <c r="A1084">
        <v>36190</v>
      </c>
      <c r="B1084" t="s">
        <v>28</v>
      </c>
      <c r="C1084" t="s">
        <v>15</v>
      </c>
      <c r="D1084" t="s">
        <v>16</v>
      </c>
      <c r="E1084" t="s">
        <v>47</v>
      </c>
      <c r="F1084" s="6" t="str">
        <f t="shared" si="16"/>
        <v>3ML</v>
      </c>
      <c r="G1084" s="7">
        <v>46196</v>
      </c>
      <c r="H1084" s="8">
        <v>0.52152777777777781</v>
      </c>
      <c r="I1084" s="7">
        <v>46195</v>
      </c>
      <c r="J1084" s="1">
        <v>46203</v>
      </c>
      <c r="K1084" s="1">
        <v>46203</v>
      </c>
      <c r="L1084" t="s">
        <v>76</v>
      </c>
      <c r="M1084" t="s">
        <v>127</v>
      </c>
      <c r="N1084" t="s">
        <v>17</v>
      </c>
      <c r="O1084" t="s">
        <v>24</v>
      </c>
      <c r="P1084">
        <v>30390</v>
      </c>
      <c r="Q1084" t="s">
        <v>19</v>
      </c>
      <c r="R1084">
        <v>44407</v>
      </c>
      <c r="S1084" t="str">
        <f>VLOOKUP(L1084&amp;TEXT(I1084,"mmmm")&amp;YEAR(I1084),'[1]Detalle C-Fecha'!$D$2:$E$15921,2,FALSE)</f>
        <v>CENCOMLD - Cencosud SA - Mendoza</v>
      </c>
    </row>
    <row r="1085" spans="1:19" x14ac:dyDescent="0.3">
      <c r="A1085">
        <v>36191</v>
      </c>
      <c r="B1085" t="s">
        <v>28</v>
      </c>
      <c r="C1085" t="s">
        <v>15</v>
      </c>
      <c r="D1085" t="s">
        <v>16</v>
      </c>
      <c r="E1085" t="s">
        <v>35</v>
      </c>
      <c r="F1085" s="6" t="str">
        <f t="shared" si="16"/>
        <v>2ML</v>
      </c>
      <c r="G1085" s="7">
        <v>46196</v>
      </c>
      <c r="H1085" s="8">
        <v>0.52152777777777781</v>
      </c>
      <c r="I1085" s="7">
        <v>46195</v>
      </c>
      <c r="J1085" s="1">
        <v>46203</v>
      </c>
      <c r="K1085" s="1">
        <v>46203</v>
      </c>
      <c r="L1085" t="s">
        <v>76</v>
      </c>
      <c r="M1085" t="s">
        <v>127</v>
      </c>
      <c r="N1085" t="s">
        <v>17</v>
      </c>
      <c r="O1085" t="s">
        <v>24</v>
      </c>
      <c r="P1085">
        <v>30391</v>
      </c>
      <c r="Q1085" t="s">
        <v>19</v>
      </c>
      <c r="R1085">
        <v>44408</v>
      </c>
      <c r="S1085" t="str">
        <f>VLOOKUP(L1085&amp;TEXT(I1085,"mmmm")&amp;YEAR(I1085),'[1]Detalle C-Fecha'!$D$2:$E$15921,2,FALSE)</f>
        <v>CENCOMLD - Cencosud SA - Mendoza</v>
      </c>
    </row>
    <row r="1086" spans="1:19" x14ac:dyDescent="0.3">
      <c r="A1086">
        <v>36191</v>
      </c>
      <c r="B1086" t="s">
        <v>28</v>
      </c>
      <c r="C1086" t="s">
        <v>15</v>
      </c>
      <c r="D1086" t="s">
        <v>16</v>
      </c>
      <c r="E1086" t="s">
        <v>35</v>
      </c>
      <c r="F1086" s="6" t="str">
        <f t="shared" si="16"/>
        <v>2ML</v>
      </c>
      <c r="G1086" s="7">
        <v>46196</v>
      </c>
      <c r="H1086" s="8">
        <v>0.52152777777777781</v>
      </c>
      <c r="I1086" s="7">
        <v>46195</v>
      </c>
      <c r="J1086" s="1">
        <v>46203</v>
      </c>
      <c r="K1086" s="1">
        <v>46203</v>
      </c>
      <c r="L1086" t="s">
        <v>76</v>
      </c>
      <c r="M1086" t="s">
        <v>127</v>
      </c>
      <c r="N1086" t="s">
        <v>17</v>
      </c>
      <c r="O1086" t="s">
        <v>24</v>
      </c>
      <c r="P1086">
        <v>30391</v>
      </c>
      <c r="Q1086" t="s">
        <v>19</v>
      </c>
      <c r="R1086">
        <v>44409</v>
      </c>
      <c r="S1086" t="str">
        <f>VLOOKUP(L1086&amp;TEXT(I1086,"mmmm")&amp;YEAR(I1086),'[1]Detalle C-Fecha'!$D$2:$E$15921,2,FALSE)</f>
        <v>CENCOMLD - Cencosud SA - Mendoza</v>
      </c>
    </row>
    <row r="1087" spans="1:19" x14ac:dyDescent="0.3">
      <c r="A1087">
        <v>36192</v>
      </c>
      <c r="B1087" t="s">
        <v>28</v>
      </c>
      <c r="C1087" t="s">
        <v>15</v>
      </c>
      <c r="D1087" t="s">
        <v>16</v>
      </c>
      <c r="E1087" t="s">
        <v>46</v>
      </c>
      <c r="F1087" s="6" t="str">
        <f t="shared" ref="F1087:F1150" si="17">MID(E1087,1,3)</f>
        <v>6ML</v>
      </c>
      <c r="G1087" s="7">
        <v>46196</v>
      </c>
      <c r="H1087" s="8">
        <v>0.52222222222222225</v>
      </c>
      <c r="I1087" s="7">
        <v>46195</v>
      </c>
      <c r="J1087" s="1">
        <v>46203</v>
      </c>
      <c r="K1087" s="1">
        <v>46203</v>
      </c>
      <c r="L1087" t="s">
        <v>76</v>
      </c>
      <c r="M1087" t="s">
        <v>127</v>
      </c>
      <c r="N1087" t="s">
        <v>17</v>
      </c>
      <c r="O1087" t="s">
        <v>24</v>
      </c>
      <c r="P1087">
        <v>30392</v>
      </c>
      <c r="Q1087" t="s">
        <v>19</v>
      </c>
      <c r="R1087">
        <v>44410</v>
      </c>
      <c r="S1087" t="str">
        <f>VLOOKUP(L1087&amp;TEXT(I1087,"mmmm")&amp;YEAR(I1087),'[1]Detalle C-Fecha'!$D$2:$E$15921,2,FALSE)</f>
        <v>CENCOMLD - Cencosud SA - Mendoza</v>
      </c>
    </row>
    <row r="1088" spans="1:19" x14ac:dyDescent="0.3">
      <c r="A1088">
        <v>36192</v>
      </c>
      <c r="B1088" t="s">
        <v>28</v>
      </c>
      <c r="C1088" t="s">
        <v>15</v>
      </c>
      <c r="D1088" t="s">
        <v>16</v>
      </c>
      <c r="E1088" t="s">
        <v>46</v>
      </c>
      <c r="F1088" s="6" t="str">
        <f t="shared" si="17"/>
        <v>6ML</v>
      </c>
      <c r="G1088" s="7">
        <v>46196</v>
      </c>
      <c r="H1088" s="8">
        <v>0.52222222222222225</v>
      </c>
      <c r="I1088" s="7">
        <v>46195</v>
      </c>
      <c r="J1088" s="1">
        <v>46203</v>
      </c>
      <c r="K1088" s="1">
        <v>46203</v>
      </c>
      <c r="L1088" t="s">
        <v>76</v>
      </c>
      <c r="M1088" t="s">
        <v>127</v>
      </c>
      <c r="N1088" t="s">
        <v>17</v>
      </c>
      <c r="O1088" t="s">
        <v>24</v>
      </c>
      <c r="P1088">
        <v>30392</v>
      </c>
      <c r="Q1088" t="s">
        <v>19</v>
      </c>
      <c r="R1088">
        <v>44411</v>
      </c>
      <c r="S1088" t="str">
        <f>VLOOKUP(L1088&amp;TEXT(I1088,"mmmm")&amp;YEAR(I1088),'[1]Detalle C-Fecha'!$D$2:$E$15921,2,FALSE)</f>
        <v>CENCOMLD - Cencosud SA - Mendoza</v>
      </c>
    </row>
    <row r="1089" spans="1:19" x14ac:dyDescent="0.3">
      <c r="A1089">
        <v>36212</v>
      </c>
      <c r="B1089" t="s">
        <v>28</v>
      </c>
      <c r="C1089" t="s">
        <v>15</v>
      </c>
      <c r="D1089" t="s">
        <v>16</v>
      </c>
      <c r="E1089" t="s">
        <v>51</v>
      </c>
      <c r="F1089" s="6" t="str">
        <f t="shared" si="17"/>
        <v>2MC</v>
      </c>
      <c r="G1089" s="7">
        <v>46196</v>
      </c>
      <c r="H1089" s="8">
        <v>0.6791666666666667</v>
      </c>
      <c r="I1089" s="7">
        <v>46196</v>
      </c>
      <c r="J1089" s="1">
        <v>46196</v>
      </c>
      <c r="K1089" s="1">
        <v>46198</v>
      </c>
      <c r="L1089" t="s">
        <v>275</v>
      </c>
      <c r="M1089">
        <v>1620</v>
      </c>
      <c r="N1089" t="s">
        <v>208</v>
      </c>
      <c r="O1089" t="s">
        <v>18</v>
      </c>
      <c r="P1089">
        <v>30429</v>
      </c>
      <c r="Q1089" t="s">
        <v>19</v>
      </c>
      <c r="R1089">
        <v>44187</v>
      </c>
      <c r="S1089" t="str">
        <f>VLOOKUP(L1089&amp;TEXT(I1089,"mmmm")&amp;YEAR(I1089),'[1]Detalle C-Fecha'!$D$2:$E$15921,2,FALSE)</f>
        <v>CMQ_TTE - QUILMES TTE</v>
      </c>
    </row>
    <row r="1090" spans="1:19" x14ac:dyDescent="0.3">
      <c r="A1090">
        <v>36212</v>
      </c>
      <c r="B1090" t="s">
        <v>28</v>
      </c>
      <c r="C1090" t="s">
        <v>15</v>
      </c>
      <c r="D1090" t="s">
        <v>16</v>
      </c>
      <c r="E1090" t="s">
        <v>51</v>
      </c>
      <c r="F1090" s="6" t="str">
        <f t="shared" si="17"/>
        <v>2MC</v>
      </c>
      <c r="G1090" s="7">
        <v>46196</v>
      </c>
      <c r="H1090" s="8">
        <v>0.6791666666666667</v>
      </c>
      <c r="I1090" s="7">
        <v>46196</v>
      </c>
      <c r="J1090" s="1">
        <v>46196</v>
      </c>
      <c r="K1090" s="1">
        <v>46198</v>
      </c>
      <c r="L1090" t="s">
        <v>275</v>
      </c>
      <c r="M1090">
        <v>1620</v>
      </c>
      <c r="N1090" t="s">
        <v>208</v>
      </c>
      <c r="O1090" t="s">
        <v>18</v>
      </c>
      <c r="P1090">
        <v>30429</v>
      </c>
      <c r="Q1090" t="s">
        <v>19</v>
      </c>
      <c r="R1090">
        <v>44167</v>
      </c>
      <c r="S1090" t="str">
        <f>VLOOKUP(L1090&amp;TEXT(I1090,"mmmm")&amp;YEAR(I1090),'[1]Detalle C-Fecha'!$D$2:$E$15921,2,FALSE)</f>
        <v>CMQ_TTE - QUILMES TTE</v>
      </c>
    </row>
    <row r="1091" spans="1:19" x14ac:dyDescent="0.3">
      <c r="A1091">
        <v>36213</v>
      </c>
      <c r="B1091" t="s">
        <v>28</v>
      </c>
      <c r="C1091" t="s">
        <v>15</v>
      </c>
      <c r="D1091" t="s">
        <v>16</v>
      </c>
      <c r="E1091" t="s">
        <v>53</v>
      </c>
      <c r="F1091" s="6" t="str">
        <f t="shared" si="17"/>
        <v>3MC</v>
      </c>
      <c r="G1091" s="7">
        <v>46196</v>
      </c>
      <c r="H1091" s="8">
        <v>0.6791666666666667</v>
      </c>
      <c r="I1091" s="7">
        <v>46196</v>
      </c>
      <c r="J1091" s="1">
        <v>46196</v>
      </c>
      <c r="K1091" s="1">
        <v>46198</v>
      </c>
      <c r="L1091" t="s">
        <v>275</v>
      </c>
      <c r="M1091">
        <v>1620</v>
      </c>
      <c r="N1091" t="s">
        <v>208</v>
      </c>
      <c r="O1091" t="s">
        <v>18</v>
      </c>
      <c r="P1091">
        <v>30430</v>
      </c>
      <c r="Q1091" t="s">
        <v>19</v>
      </c>
      <c r="R1091">
        <v>44187</v>
      </c>
      <c r="S1091" t="str">
        <f>VLOOKUP(L1091&amp;TEXT(I1091,"mmmm")&amp;YEAR(I1091),'[1]Detalle C-Fecha'!$D$2:$E$15921,2,FALSE)</f>
        <v>CMQ_TTE - QUILMES TTE</v>
      </c>
    </row>
    <row r="1092" spans="1:19" x14ac:dyDescent="0.3">
      <c r="A1092">
        <v>36213</v>
      </c>
      <c r="B1092" t="s">
        <v>28</v>
      </c>
      <c r="C1092" t="s">
        <v>15</v>
      </c>
      <c r="D1092" t="s">
        <v>16</v>
      </c>
      <c r="E1092" t="s">
        <v>53</v>
      </c>
      <c r="F1092" s="6" t="str">
        <f t="shared" si="17"/>
        <v>3MC</v>
      </c>
      <c r="G1092" s="7">
        <v>46196</v>
      </c>
      <c r="H1092" s="8">
        <v>0.6791666666666667</v>
      </c>
      <c r="I1092" s="7">
        <v>46196</v>
      </c>
      <c r="J1092" s="1">
        <v>46196</v>
      </c>
      <c r="K1092" s="1">
        <v>46198</v>
      </c>
      <c r="L1092" t="s">
        <v>275</v>
      </c>
      <c r="M1092">
        <v>1620</v>
      </c>
      <c r="N1092" t="s">
        <v>208</v>
      </c>
      <c r="O1092" t="s">
        <v>18</v>
      </c>
      <c r="P1092">
        <v>30430</v>
      </c>
      <c r="Q1092" t="s">
        <v>19</v>
      </c>
      <c r="R1092">
        <v>44168</v>
      </c>
      <c r="S1092" t="str">
        <f>VLOOKUP(L1092&amp;TEXT(I1092,"mmmm")&amp;YEAR(I1092),'[1]Detalle C-Fecha'!$D$2:$E$15921,2,FALSE)</f>
        <v>CMQ_TTE - QUILMES TTE</v>
      </c>
    </row>
    <row r="1093" spans="1:19" x14ac:dyDescent="0.3">
      <c r="A1093">
        <v>36214</v>
      </c>
      <c r="B1093" t="s">
        <v>28</v>
      </c>
      <c r="C1093" t="s">
        <v>15</v>
      </c>
      <c r="D1093" t="s">
        <v>16</v>
      </c>
      <c r="E1093" t="s">
        <v>111</v>
      </c>
      <c r="F1093" s="6" t="str">
        <f t="shared" si="17"/>
        <v>6MC</v>
      </c>
      <c r="G1093" s="7">
        <v>46196</v>
      </c>
      <c r="H1093" s="8">
        <v>0.6791666666666667</v>
      </c>
      <c r="I1093" s="7">
        <v>46196</v>
      </c>
      <c r="J1093" s="1">
        <v>46196</v>
      </c>
      <c r="K1093" s="1">
        <v>46198</v>
      </c>
      <c r="L1093" t="s">
        <v>275</v>
      </c>
      <c r="M1093">
        <v>1620</v>
      </c>
      <c r="N1093" t="s">
        <v>208</v>
      </c>
      <c r="O1093" t="s">
        <v>18</v>
      </c>
      <c r="P1093">
        <v>30431</v>
      </c>
      <c r="Q1093" t="s">
        <v>19</v>
      </c>
      <c r="R1093">
        <v>44187</v>
      </c>
      <c r="S1093" t="str">
        <f>VLOOKUP(L1093&amp;TEXT(I1093,"mmmm")&amp;YEAR(I1093),'[1]Detalle C-Fecha'!$D$2:$E$15921,2,FALSE)</f>
        <v>CMQ_TTE - QUILMES TTE</v>
      </c>
    </row>
    <row r="1094" spans="1:19" x14ac:dyDescent="0.3">
      <c r="A1094">
        <v>36214</v>
      </c>
      <c r="B1094" t="s">
        <v>28</v>
      </c>
      <c r="C1094" t="s">
        <v>15</v>
      </c>
      <c r="D1094" t="s">
        <v>16</v>
      </c>
      <c r="E1094" t="s">
        <v>111</v>
      </c>
      <c r="F1094" s="6" t="str">
        <f t="shared" si="17"/>
        <v>6MC</v>
      </c>
      <c r="G1094" s="7">
        <v>46196</v>
      </c>
      <c r="H1094" s="8">
        <v>0.6791666666666667</v>
      </c>
      <c r="I1094" s="7">
        <v>46196</v>
      </c>
      <c r="J1094" s="1">
        <v>46196</v>
      </c>
      <c r="K1094" s="1">
        <v>46198</v>
      </c>
      <c r="L1094" t="s">
        <v>275</v>
      </c>
      <c r="M1094">
        <v>1620</v>
      </c>
      <c r="N1094" t="s">
        <v>208</v>
      </c>
      <c r="O1094" t="s">
        <v>18</v>
      </c>
      <c r="P1094">
        <v>30431</v>
      </c>
      <c r="Q1094" t="s">
        <v>19</v>
      </c>
      <c r="R1094">
        <v>44169</v>
      </c>
      <c r="S1094" t="str">
        <f>VLOOKUP(L1094&amp;TEXT(I1094,"mmmm")&amp;YEAR(I1094),'[1]Detalle C-Fecha'!$D$2:$E$15921,2,FALSE)</f>
        <v>CMQ_TTE - QUILMES TTE</v>
      </c>
    </row>
    <row r="1095" spans="1:19" x14ac:dyDescent="0.3">
      <c r="A1095">
        <v>36217</v>
      </c>
      <c r="B1095" t="s">
        <v>28</v>
      </c>
      <c r="C1095" t="s">
        <v>15</v>
      </c>
      <c r="D1095" t="s">
        <v>16</v>
      </c>
      <c r="E1095" t="s">
        <v>51</v>
      </c>
      <c r="F1095" s="6" t="str">
        <f t="shared" si="17"/>
        <v>2MC</v>
      </c>
      <c r="G1095" s="7">
        <v>46196</v>
      </c>
      <c r="H1095" s="8">
        <v>0.6791666666666667</v>
      </c>
      <c r="I1095" s="7">
        <v>46196</v>
      </c>
      <c r="J1095" s="1">
        <v>46196</v>
      </c>
      <c r="K1095" s="1">
        <v>46198</v>
      </c>
      <c r="L1095" t="s">
        <v>276</v>
      </c>
      <c r="M1095" t="s">
        <v>130</v>
      </c>
      <c r="N1095" t="s">
        <v>208</v>
      </c>
      <c r="O1095" t="s">
        <v>24</v>
      </c>
      <c r="P1095">
        <v>30434</v>
      </c>
      <c r="Q1095" t="s">
        <v>19</v>
      </c>
      <c r="R1095">
        <v>44172</v>
      </c>
      <c r="S1095" t="str">
        <f>VLOOKUP(L1095&amp;TEXT(I1095,"mmmm")&amp;YEAR(I1095),'[1]Detalle C-Fecha'!$D$2:$E$15921,2,FALSE)</f>
        <v>CCUDyAZA</v>
      </c>
    </row>
    <row r="1096" spans="1:19" x14ac:dyDescent="0.3">
      <c r="A1096">
        <v>36217</v>
      </c>
      <c r="B1096" t="s">
        <v>28</v>
      </c>
      <c r="C1096" t="s">
        <v>15</v>
      </c>
      <c r="D1096" t="s">
        <v>16</v>
      </c>
      <c r="E1096" t="s">
        <v>51</v>
      </c>
      <c r="F1096" s="6" t="str">
        <f t="shared" si="17"/>
        <v>2MC</v>
      </c>
      <c r="G1096" s="7">
        <v>46196</v>
      </c>
      <c r="H1096" s="8">
        <v>0.6791666666666667</v>
      </c>
      <c r="I1096" s="7">
        <v>46196</v>
      </c>
      <c r="J1096" s="1">
        <v>46196</v>
      </c>
      <c r="K1096" s="1">
        <v>46198</v>
      </c>
      <c r="L1096" t="s">
        <v>276</v>
      </c>
      <c r="M1096" t="s">
        <v>130</v>
      </c>
      <c r="N1096" t="s">
        <v>208</v>
      </c>
      <c r="O1096" t="s">
        <v>24</v>
      </c>
      <c r="P1096">
        <v>30434</v>
      </c>
      <c r="Q1096" t="s">
        <v>19</v>
      </c>
      <c r="R1096">
        <v>44197</v>
      </c>
      <c r="S1096" t="str">
        <f>VLOOKUP(L1096&amp;TEXT(I1096,"mmmm")&amp;YEAR(I1096),'[1]Detalle C-Fecha'!$D$2:$E$15921,2,FALSE)</f>
        <v>CCUDyAZA</v>
      </c>
    </row>
    <row r="1097" spans="1:19" x14ac:dyDescent="0.3">
      <c r="A1097">
        <v>36218</v>
      </c>
      <c r="B1097" t="s">
        <v>28</v>
      </c>
      <c r="C1097" t="s">
        <v>15</v>
      </c>
      <c r="D1097" t="s">
        <v>16</v>
      </c>
      <c r="E1097" t="s">
        <v>53</v>
      </c>
      <c r="F1097" s="6" t="str">
        <f t="shared" si="17"/>
        <v>3MC</v>
      </c>
      <c r="G1097" s="7">
        <v>46196</v>
      </c>
      <c r="H1097" s="8">
        <v>0.6791666666666667</v>
      </c>
      <c r="I1097" s="7">
        <v>46196</v>
      </c>
      <c r="J1097" s="1">
        <v>46196</v>
      </c>
      <c r="K1097" s="1">
        <v>46198</v>
      </c>
      <c r="L1097" t="s">
        <v>276</v>
      </c>
      <c r="M1097" t="s">
        <v>130</v>
      </c>
      <c r="N1097" t="s">
        <v>208</v>
      </c>
      <c r="O1097" t="s">
        <v>24</v>
      </c>
      <c r="P1097">
        <v>30435</v>
      </c>
      <c r="Q1097" t="s">
        <v>19</v>
      </c>
      <c r="R1097">
        <v>44173</v>
      </c>
      <c r="S1097" t="str">
        <f>VLOOKUP(L1097&amp;TEXT(I1097,"mmmm")&amp;YEAR(I1097),'[1]Detalle C-Fecha'!$D$2:$E$15921,2,FALSE)</f>
        <v>CCUDyAZA</v>
      </c>
    </row>
    <row r="1098" spans="1:19" x14ac:dyDescent="0.3">
      <c r="A1098">
        <v>36218</v>
      </c>
      <c r="B1098" t="s">
        <v>28</v>
      </c>
      <c r="C1098" t="s">
        <v>15</v>
      </c>
      <c r="D1098" t="s">
        <v>16</v>
      </c>
      <c r="E1098" t="s">
        <v>53</v>
      </c>
      <c r="F1098" s="6" t="str">
        <f t="shared" si="17"/>
        <v>3MC</v>
      </c>
      <c r="G1098" s="7">
        <v>46196</v>
      </c>
      <c r="H1098" s="8">
        <v>0.6791666666666667</v>
      </c>
      <c r="I1098" s="7">
        <v>46196</v>
      </c>
      <c r="J1098" s="1">
        <v>46196</v>
      </c>
      <c r="K1098" s="1">
        <v>46198</v>
      </c>
      <c r="L1098" t="s">
        <v>276</v>
      </c>
      <c r="M1098" t="s">
        <v>130</v>
      </c>
      <c r="N1098" t="s">
        <v>208</v>
      </c>
      <c r="O1098" t="s">
        <v>24</v>
      </c>
      <c r="P1098">
        <v>30435</v>
      </c>
      <c r="Q1098" t="s">
        <v>19</v>
      </c>
      <c r="R1098">
        <v>44197</v>
      </c>
      <c r="S1098" t="str">
        <f>VLOOKUP(L1098&amp;TEXT(I1098,"mmmm")&amp;YEAR(I1098),'[1]Detalle C-Fecha'!$D$2:$E$15921,2,FALSE)</f>
        <v>CCUDyAZA</v>
      </c>
    </row>
    <row r="1099" spans="1:19" x14ac:dyDescent="0.3">
      <c r="A1099">
        <v>36219</v>
      </c>
      <c r="B1099" t="s">
        <v>28</v>
      </c>
      <c r="C1099" t="s">
        <v>15</v>
      </c>
      <c r="D1099" t="s">
        <v>16</v>
      </c>
      <c r="E1099" t="s">
        <v>52</v>
      </c>
      <c r="F1099" s="6" t="str">
        <f t="shared" si="17"/>
        <v>6MC</v>
      </c>
      <c r="G1099" s="7">
        <v>46196</v>
      </c>
      <c r="H1099" s="8">
        <v>0.6791666666666667</v>
      </c>
      <c r="I1099" s="7">
        <v>46196</v>
      </c>
      <c r="J1099" s="1">
        <v>46196</v>
      </c>
      <c r="K1099" s="1">
        <v>46198</v>
      </c>
      <c r="L1099" t="s">
        <v>276</v>
      </c>
      <c r="M1099" t="s">
        <v>130</v>
      </c>
      <c r="N1099" t="s">
        <v>208</v>
      </c>
      <c r="O1099" t="s">
        <v>24</v>
      </c>
      <c r="P1099">
        <v>30436</v>
      </c>
      <c r="Q1099" t="s">
        <v>19</v>
      </c>
      <c r="R1099">
        <v>44174</v>
      </c>
      <c r="S1099" t="str">
        <f>VLOOKUP(L1099&amp;TEXT(I1099,"mmmm")&amp;YEAR(I1099),'[1]Detalle C-Fecha'!$D$2:$E$15921,2,FALSE)</f>
        <v>CCUDyAZA</v>
      </c>
    </row>
    <row r="1100" spans="1:19" x14ac:dyDescent="0.3">
      <c r="A1100">
        <v>36219</v>
      </c>
      <c r="B1100" t="s">
        <v>28</v>
      </c>
      <c r="C1100" t="s">
        <v>15</v>
      </c>
      <c r="D1100" t="s">
        <v>16</v>
      </c>
      <c r="E1100" t="s">
        <v>52</v>
      </c>
      <c r="F1100" s="6" t="str">
        <f t="shared" si="17"/>
        <v>6MC</v>
      </c>
      <c r="G1100" s="7">
        <v>46196</v>
      </c>
      <c r="H1100" s="8">
        <v>0.6791666666666667</v>
      </c>
      <c r="I1100" s="7">
        <v>46196</v>
      </c>
      <c r="J1100" s="1">
        <v>46196</v>
      </c>
      <c r="K1100" s="1">
        <v>46198</v>
      </c>
      <c r="L1100" t="s">
        <v>276</v>
      </c>
      <c r="M1100" t="s">
        <v>130</v>
      </c>
      <c r="N1100" t="s">
        <v>208</v>
      </c>
      <c r="O1100" t="s">
        <v>24</v>
      </c>
      <c r="P1100">
        <v>30436</v>
      </c>
      <c r="Q1100" t="s">
        <v>19</v>
      </c>
      <c r="R1100">
        <v>44197</v>
      </c>
      <c r="S1100" t="str">
        <f>VLOOKUP(L1100&amp;TEXT(I1100,"mmmm")&amp;YEAR(I1100),'[1]Detalle C-Fecha'!$D$2:$E$15921,2,FALSE)</f>
        <v>CCUDyAZA</v>
      </c>
    </row>
    <row r="1101" spans="1:19" x14ac:dyDescent="0.3">
      <c r="A1101">
        <v>36222</v>
      </c>
      <c r="B1101" t="s">
        <v>28</v>
      </c>
      <c r="C1101" t="s">
        <v>15</v>
      </c>
      <c r="D1101" t="s">
        <v>16</v>
      </c>
      <c r="E1101" t="s">
        <v>51</v>
      </c>
      <c r="F1101" s="6" t="str">
        <f t="shared" si="17"/>
        <v>2MC</v>
      </c>
      <c r="G1101" s="7">
        <v>46196</v>
      </c>
      <c r="H1101" s="8">
        <v>0.7944444444444444</v>
      </c>
      <c r="I1101" s="7">
        <v>46196</v>
      </c>
      <c r="J1101" s="1">
        <v>46196</v>
      </c>
      <c r="K1101" s="1">
        <v>46198</v>
      </c>
      <c r="L1101" t="s">
        <v>277</v>
      </c>
      <c r="M1101" t="s">
        <v>130</v>
      </c>
      <c r="N1101" t="s">
        <v>208</v>
      </c>
      <c r="O1101" t="s">
        <v>24</v>
      </c>
      <c r="P1101">
        <v>30444</v>
      </c>
      <c r="Q1101" t="s">
        <v>19</v>
      </c>
      <c r="R1101">
        <v>44176</v>
      </c>
      <c r="S1101" t="str">
        <f>VLOOKUP(L1101&amp;TEXT(I1101,"mmmm")&amp;YEAR(I1101),'[1]Detalle C-Fecha'!$D$2:$E$15921,2,FALSE)</f>
        <v>CCUDyAZA</v>
      </c>
    </row>
    <row r="1102" spans="1:19" x14ac:dyDescent="0.3">
      <c r="A1102">
        <v>36222</v>
      </c>
      <c r="B1102" t="s">
        <v>28</v>
      </c>
      <c r="C1102" t="s">
        <v>15</v>
      </c>
      <c r="D1102" t="s">
        <v>16</v>
      </c>
      <c r="E1102" t="s">
        <v>51</v>
      </c>
      <c r="F1102" s="6" t="str">
        <f t="shared" si="17"/>
        <v>2MC</v>
      </c>
      <c r="G1102" s="7">
        <v>46196</v>
      </c>
      <c r="H1102" s="8">
        <v>0.7944444444444444</v>
      </c>
      <c r="I1102" s="7">
        <v>46196</v>
      </c>
      <c r="J1102" s="1">
        <v>46196</v>
      </c>
      <c r="K1102" s="1">
        <v>46198</v>
      </c>
      <c r="L1102" t="s">
        <v>277</v>
      </c>
      <c r="M1102" t="s">
        <v>130</v>
      </c>
      <c r="N1102" t="s">
        <v>208</v>
      </c>
      <c r="O1102" t="s">
        <v>24</v>
      </c>
      <c r="P1102">
        <v>30444</v>
      </c>
      <c r="Q1102" t="s">
        <v>19</v>
      </c>
      <c r="R1102">
        <v>44197</v>
      </c>
      <c r="S1102" t="str">
        <f>VLOOKUP(L1102&amp;TEXT(I1102,"mmmm")&amp;YEAR(I1102),'[1]Detalle C-Fecha'!$D$2:$E$15921,2,FALSE)</f>
        <v>CCUDyAZA</v>
      </c>
    </row>
    <row r="1103" spans="1:19" x14ac:dyDescent="0.3">
      <c r="A1103">
        <v>36223</v>
      </c>
      <c r="B1103" t="s">
        <v>28</v>
      </c>
      <c r="C1103" t="s">
        <v>15</v>
      </c>
      <c r="D1103" t="s">
        <v>16</v>
      </c>
      <c r="E1103" t="s">
        <v>53</v>
      </c>
      <c r="F1103" s="6" t="str">
        <f t="shared" si="17"/>
        <v>3MC</v>
      </c>
      <c r="G1103" s="7">
        <v>46196</v>
      </c>
      <c r="H1103" s="8">
        <v>0.7944444444444444</v>
      </c>
      <c r="I1103" s="7">
        <v>46196</v>
      </c>
      <c r="J1103" s="1">
        <v>46196</v>
      </c>
      <c r="K1103" s="1">
        <v>46196</v>
      </c>
      <c r="L1103" t="s">
        <v>277</v>
      </c>
      <c r="M1103" t="s">
        <v>130</v>
      </c>
      <c r="N1103" t="s">
        <v>208</v>
      </c>
      <c r="O1103" t="s">
        <v>24</v>
      </c>
      <c r="P1103">
        <v>30443</v>
      </c>
      <c r="Q1103" t="s">
        <v>19</v>
      </c>
      <c r="R1103">
        <v>44665</v>
      </c>
      <c r="S1103" t="str">
        <f>VLOOKUP(L1103&amp;TEXT(I1103,"mmmm")&amp;YEAR(I1103),'[1]Detalle C-Fecha'!$D$2:$E$15921,2,FALSE)</f>
        <v>CCUDyAZA</v>
      </c>
    </row>
    <row r="1104" spans="1:19" x14ac:dyDescent="0.3">
      <c r="A1104">
        <v>36223</v>
      </c>
      <c r="B1104" t="s">
        <v>28</v>
      </c>
      <c r="C1104" t="s">
        <v>15</v>
      </c>
      <c r="D1104" t="s">
        <v>16</v>
      </c>
      <c r="E1104" t="s">
        <v>53</v>
      </c>
      <c r="F1104" s="6" t="str">
        <f t="shared" si="17"/>
        <v>3MC</v>
      </c>
      <c r="G1104" s="7">
        <v>46196</v>
      </c>
      <c r="H1104" s="8">
        <v>0.7944444444444444</v>
      </c>
      <c r="I1104" s="7">
        <v>46196</v>
      </c>
      <c r="J1104" s="1">
        <v>46196</v>
      </c>
      <c r="K1104" s="1">
        <v>46196</v>
      </c>
      <c r="L1104" t="s">
        <v>277</v>
      </c>
      <c r="M1104" t="s">
        <v>130</v>
      </c>
      <c r="N1104" t="s">
        <v>208</v>
      </c>
      <c r="O1104" t="s">
        <v>24</v>
      </c>
      <c r="P1104">
        <v>30443</v>
      </c>
      <c r="Q1104" t="s">
        <v>19</v>
      </c>
      <c r="R1104">
        <v>44582</v>
      </c>
      <c r="S1104" t="str">
        <f>VLOOKUP(L1104&amp;TEXT(I1104,"mmmm")&amp;YEAR(I1104),'[1]Detalle C-Fecha'!$D$2:$E$15921,2,FALSE)</f>
        <v>CCUDyAZA</v>
      </c>
    </row>
    <row r="1105" spans="1:19" x14ac:dyDescent="0.3">
      <c r="A1105">
        <v>36224</v>
      </c>
      <c r="B1105" t="s">
        <v>28</v>
      </c>
      <c r="C1105" t="s">
        <v>15</v>
      </c>
      <c r="D1105" t="s">
        <v>16</v>
      </c>
      <c r="E1105" t="s">
        <v>52</v>
      </c>
      <c r="F1105" s="6" t="str">
        <f t="shared" si="17"/>
        <v>6MC</v>
      </c>
      <c r="G1105" s="7">
        <v>46196</v>
      </c>
      <c r="H1105" s="8">
        <v>0.7944444444444444</v>
      </c>
      <c r="I1105" s="7">
        <v>46196</v>
      </c>
      <c r="J1105" s="1">
        <v>46196</v>
      </c>
      <c r="K1105" s="1">
        <v>46203</v>
      </c>
      <c r="L1105" t="s">
        <v>277</v>
      </c>
      <c r="M1105" t="s">
        <v>130</v>
      </c>
      <c r="N1105" t="s">
        <v>208</v>
      </c>
      <c r="O1105" t="s">
        <v>24</v>
      </c>
      <c r="P1105">
        <v>30442</v>
      </c>
      <c r="Q1105" t="s">
        <v>19</v>
      </c>
      <c r="R1105">
        <v>44665</v>
      </c>
      <c r="S1105" t="str">
        <f>VLOOKUP(L1105&amp;TEXT(I1105,"mmmm")&amp;YEAR(I1105),'[1]Detalle C-Fecha'!$D$2:$E$15921,2,FALSE)</f>
        <v>CCUDyAZA</v>
      </c>
    </row>
    <row r="1106" spans="1:19" x14ac:dyDescent="0.3">
      <c r="A1106">
        <v>36224</v>
      </c>
      <c r="B1106" t="s">
        <v>28</v>
      </c>
      <c r="C1106" t="s">
        <v>15</v>
      </c>
      <c r="D1106" t="s">
        <v>16</v>
      </c>
      <c r="E1106" t="s">
        <v>52</v>
      </c>
      <c r="F1106" s="6" t="str">
        <f t="shared" si="17"/>
        <v>6MC</v>
      </c>
      <c r="G1106" s="7">
        <v>46196</v>
      </c>
      <c r="H1106" s="8">
        <v>0.7944444444444444</v>
      </c>
      <c r="I1106" s="7">
        <v>46196</v>
      </c>
      <c r="J1106" s="1">
        <v>46196</v>
      </c>
      <c r="K1106" s="1">
        <v>46203</v>
      </c>
      <c r="L1106" t="s">
        <v>277</v>
      </c>
      <c r="M1106" t="s">
        <v>130</v>
      </c>
      <c r="N1106" t="s">
        <v>208</v>
      </c>
      <c r="O1106" t="s">
        <v>24</v>
      </c>
      <c r="P1106">
        <v>30442</v>
      </c>
      <c r="Q1106" t="s">
        <v>19</v>
      </c>
      <c r="R1106">
        <v>44583</v>
      </c>
      <c r="S1106" t="str">
        <f>VLOOKUP(L1106&amp;TEXT(I1106,"mmmm")&amp;YEAR(I1106),'[1]Detalle C-Fecha'!$D$2:$E$15921,2,FALSE)</f>
        <v>CCUDyAZA</v>
      </c>
    </row>
    <row r="1107" spans="1:19" x14ac:dyDescent="0.3">
      <c r="A1107">
        <v>36237</v>
      </c>
      <c r="B1107" t="s">
        <v>28</v>
      </c>
      <c r="C1107" t="s">
        <v>15</v>
      </c>
      <c r="D1107" t="s">
        <v>16</v>
      </c>
      <c r="E1107" t="s">
        <v>51</v>
      </c>
      <c r="F1107" s="6" t="str">
        <f t="shared" si="17"/>
        <v>2MC</v>
      </c>
      <c r="G1107" s="7">
        <v>46197</v>
      </c>
      <c r="H1107" s="8">
        <v>0.63541666666666663</v>
      </c>
      <c r="I1107" s="7">
        <v>46197</v>
      </c>
      <c r="J1107" s="1">
        <v>46197</v>
      </c>
      <c r="K1107" s="1">
        <v>46197</v>
      </c>
      <c r="L1107" t="s">
        <v>278</v>
      </c>
      <c r="M1107" t="s">
        <v>161</v>
      </c>
      <c r="N1107" t="s">
        <v>31</v>
      </c>
      <c r="O1107" t="s">
        <v>25</v>
      </c>
      <c r="P1107">
        <v>30457</v>
      </c>
      <c r="Q1107" t="s">
        <v>19</v>
      </c>
      <c r="R1107">
        <v>44543</v>
      </c>
      <c r="S1107" t="str">
        <f>VLOOKUP(L1107&amp;TEXT(I1107,"mmmm")&amp;YEAR(I1107),'[1]Detalle C-Fecha'!$D$2:$E$15921,2,FALSE)</f>
        <v>SUC_SRA - Sucursal San Rafael</v>
      </c>
    </row>
    <row r="1108" spans="1:19" x14ac:dyDescent="0.3">
      <c r="A1108">
        <v>36237</v>
      </c>
      <c r="B1108" t="s">
        <v>28</v>
      </c>
      <c r="C1108" t="s">
        <v>15</v>
      </c>
      <c r="D1108" t="s">
        <v>16</v>
      </c>
      <c r="E1108" t="s">
        <v>51</v>
      </c>
      <c r="F1108" s="6" t="str">
        <f t="shared" si="17"/>
        <v>2MC</v>
      </c>
      <c r="G1108" s="7">
        <v>46197</v>
      </c>
      <c r="H1108" s="8">
        <v>0.63541666666666663</v>
      </c>
      <c r="I1108" s="7">
        <v>46197</v>
      </c>
      <c r="J1108" s="1">
        <v>46197</v>
      </c>
      <c r="K1108" s="1">
        <v>46197</v>
      </c>
      <c r="L1108" t="s">
        <v>278</v>
      </c>
      <c r="M1108" t="s">
        <v>161</v>
      </c>
      <c r="N1108" t="s">
        <v>31</v>
      </c>
      <c r="O1108" t="s">
        <v>25</v>
      </c>
      <c r="P1108">
        <v>30457</v>
      </c>
      <c r="Q1108" t="s">
        <v>19</v>
      </c>
      <c r="R1108">
        <v>44544</v>
      </c>
      <c r="S1108" t="str">
        <f>VLOOKUP(L1108&amp;TEXT(I1108,"mmmm")&amp;YEAR(I1108),'[1]Detalle C-Fecha'!$D$2:$E$15921,2,FALSE)</f>
        <v>SUC_SRA - Sucursal San Rafael</v>
      </c>
    </row>
    <row r="1109" spans="1:19" x14ac:dyDescent="0.3">
      <c r="A1109">
        <v>36238</v>
      </c>
      <c r="B1109" t="s">
        <v>28</v>
      </c>
      <c r="C1109" t="s">
        <v>15</v>
      </c>
      <c r="D1109" t="s">
        <v>16</v>
      </c>
      <c r="E1109" t="s">
        <v>53</v>
      </c>
      <c r="F1109" s="6" t="str">
        <f t="shared" si="17"/>
        <v>3MC</v>
      </c>
      <c r="G1109" s="7">
        <v>46197</v>
      </c>
      <c r="H1109" s="8">
        <v>0.63541666666666663</v>
      </c>
      <c r="I1109" s="7">
        <v>46197</v>
      </c>
      <c r="J1109" s="1">
        <v>46197</v>
      </c>
      <c r="K1109" s="1">
        <v>46197</v>
      </c>
      <c r="L1109" t="s">
        <v>278</v>
      </c>
      <c r="M1109" t="s">
        <v>161</v>
      </c>
      <c r="N1109" t="s">
        <v>31</v>
      </c>
      <c r="O1109" t="s">
        <v>25</v>
      </c>
      <c r="P1109">
        <v>30458</v>
      </c>
      <c r="Q1109" t="s">
        <v>19</v>
      </c>
      <c r="R1109">
        <v>44545</v>
      </c>
      <c r="S1109" t="str">
        <f>VLOOKUP(L1109&amp;TEXT(I1109,"mmmm")&amp;YEAR(I1109),'[1]Detalle C-Fecha'!$D$2:$E$15921,2,FALSE)</f>
        <v>SUC_SRA - Sucursal San Rafael</v>
      </c>
    </row>
    <row r="1110" spans="1:19" x14ac:dyDescent="0.3">
      <c r="A1110">
        <v>36238</v>
      </c>
      <c r="B1110" t="s">
        <v>28</v>
      </c>
      <c r="C1110" t="s">
        <v>15</v>
      </c>
      <c r="D1110" t="s">
        <v>16</v>
      </c>
      <c r="E1110" t="s">
        <v>53</v>
      </c>
      <c r="F1110" s="6" t="str">
        <f t="shared" si="17"/>
        <v>3MC</v>
      </c>
      <c r="G1110" s="7">
        <v>46197</v>
      </c>
      <c r="H1110" s="8">
        <v>0.63541666666666663</v>
      </c>
      <c r="I1110" s="7">
        <v>46197</v>
      </c>
      <c r="J1110" s="1">
        <v>46197</v>
      </c>
      <c r="K1110" s="1">
        <v>46197</v>
      </c>
      <c r="L1110" t="s">
        <v>278</v>
      </c>
      <c r="M1110" t="s">
        <v>161</v>
      </c>
      <c r="N1110" t="s">
        <v>31</v>
      </c>
      <c r="O1110" t="s">
        <v>25</v>
      </c>
      <c r="P1110">
        <v>30458</v>
      </c>
      <c r="Q1110" t="s">
        <v>19</v>
      </c>
      <c r="R1110">
        <v>44546</v>
      </c>
      <c r="S1110" t="str">
        <f>VLOOKUP(L1110&amp;TEXT(I1110,"mmmm")&amp;YEAR(I1110),'[1]Detalle C-Fecha'!$D$2:$E$15921,2,FALSE)</f>
        <v>SUC_SRA - Sucursal San Rafael</v>
      </c>
    </row>
    <row r="1111" spans="1:19" x14ac:dyDescent="0.3">
      <c r="A1111">
        <v>36239</v>
      </c>
      <c r="B1111" t="s">
        <v>28</v>
      </c>
      <c r="C1111" t="s">
        <v>15</v>
      </c>
      <c r="D1111" t="s">
        <v>16</v>
      </c>
      <c r="E1111" t="s">
        <v>52</v>
      </c>
      <c r="F1111" s="6" t="str">
        <f t="shared" si="17"/>
        <v>6MC</v>
      </c>
      <c r="G1111" s="7">
        <v>46197</v>
      </c>
      <c r="H1111" s="8">
        <v>0.63541666666666663</v>
      </c>
      <c r="I1111" s="7">
        <v>46197</v>
      </c>
      <c r="J1111" s="1">
        <v>46197</v>
      </c>
      <c r="K1111" s="1">
        <v>46197</v>
      </c>
      <c r="L1111" t="s">
        <v>278</v>
      </c>
      <c r="M1111" t="s">
        <v>161</v>
      </c>
      <c r="N1111" t="s">
        <v>31</v>
      </c>
      <c r="O1111" t="s">
        <v>25</v>
      </c>
      <c r="P1111">
        <v>30459</v>
      </c>
      <c r="Q1111" t="s">
        <v>19</v>
      </c>
      <c r="R1111">
        <v>44547</v>
      </c>
      <c r="S1111" t="str">
        <f>VLOOKUP(L1111&amp;TEXT(I1111,"mmmm")&amp;YEAR(I1111),'[1]Detalle C-Fecha'!$D$2:$E$15921,2,FALSE)</f>
        <v>SUC_SRA - Sucursal San Rafael</v>
      </c>
    </row>
    <row r="1112" spans="1:19" x14ac:dyDescent="0.3">
      <c r="A1112">
        <v>36239</v>
      </c>
      <c r="B1112" t="s">
        <v>28</v>
      </c>
      <c r="C1112" t="s">
        <v>15</v>
      </c>
      <c r="D1112" t="s">
        <v>16</v>
      </c>
      <c r="E1112" t="s">
        <v>52</v>
      </c>
      <c r="F1112" s="6" t="str">
        <f t="shared" si="17"/>
        <v>6MC</v>
      </c>
      <c r="G1112" s="7">
        <v>46197</v>
      </c>
      <c r="H1112" s="8">
        <v>0.63541666666666663</v>
      </c>
      <c r="I1112" s="7">
        <v>46197</v>
      </c>
      <c r="J1112" s="1">
        <v>46197</v>
      </c>
      <c r="K1112" s="1">
        <v>46197</v>
      </c>
      <c r="L1112" t="s">
        <v>278</v>
      </c>
      <c r="M1112" t="s">
        <v>161</v>
      </c>
      <c r="N1112" t="s">
        <v>31</v>
      </c>
      <c r="O1112" t="s">
        <v>25</v>
      </c>
      <c r="P1112">
        <v>30459</v>
      </c>
      <c r="Q1112" t="s">
        <v>19</v>
      </c>
      <c r="R1112">
        <v>44548</v>
      </c>
      <c r="S1112" t="str">
        <f>VLOOKUP(L1112&amp;TEXT(I1112,"mmmm")&amp;YEAR(I1112),'[1]Detalle C-Fecha'!$D$2:$E$15921,2,FALSE)</f>
        <v>SUC_SRA - Sucursal San Rafael</v>
      </c>
    </row>
    <row r="1113" spans="1:19" x14ac:dyDescent="0.3">
      <c r="A1113">
        <v>36240</v>
      </c>
      <c r="B1113" t="s">
        <v>28</v>
      </c>
      <c r="C1113" t="s">
        <v>15</v>
      </c>
      <c r="D1113" t="s">
        <v>16</v>
      </c>
      <c r="E1113" t="s">
        <v>110</v>
      </c>
      <c r="F1113" s="6" t="str">
        <f t="shared" si="17"/>
        <v>5MU</v>
      </c>
      <c r="G1113" s="7">
        <v>46197</v>
      </c>
      <c r="H1113" s="8">
        <v>0.63541666666666663</v>
      </c>
      <c r="I1113" s="7">
        <v>46197</v>
      </c>
      <c r="J1113" s="1">
        <v>46197</v>
      </c>
      <c r="K1113" s="1">
        <v>46197</v>
      </c>
      <c r="L1113" t="s">
        <v>278</v>
      </c>
      <c r="M1113" t="s">
        <v>161</v>
      </c>
      <c r="N1113" t="s">
        <v>31</v>
      </c>
      <c r="O1113" t="s">
        <v>25</v>
      </c>
      <c r="P1113">
        <v>30460</v>
      </c>
      <c r="Q1113" t="s">
        <v>19</v>
      </c>
      <c r="R1113">
        <v>44549</v>
      </c>
      <c r="S1113" t="str">
        <f>VLOOKUP(L1113&amp;TEXT(I1113,"mmmm")&amp;YEAR(I1113),'[1]Detalle C-Fecha'!$D$2:$E$15921,2,FALSE)</f>
        <v>SUC_SRA - Sucursal San Rafael</v>
      </c>
    </row>
    <row r="1114" spans="1:19" x14ac:dyDescent="0.3">
      <c r="A1114">
        <v>36240</v>
      </c>
      <c r="B1114" t="s">
        <v>28</v>
      </c>
      <c r="C1114" t="s">
        <v>15</v>
      </c>
      <c r="D1114" t="s">
        <v>16</v>
      </c>
      <c r="E1114" t="s">
        <v>110</v>
      </c>
      <c r="F1114" s="6" t="str">
        <f t="shared" si="17"/>
        <v>5MU</v>
      </c>
      <c r="G1114" s="7">
        <v>46197</v>
      </c>
      <c r="H1114" s="8">
        <v>0.63541666666666663</v>
      </c>
      <c r="I1114" s="7">
        <v>46197</v>
      </c>
      <c r="J1114" s="1">
        <v>46197</v>
      </c>
      <c r="K1114" s="1">
        <v>46197</v>
      </c>
      <c r="L1114" t="s">
        <v>278</v>
      </c>
      <c r="M1114" t="s">
        <v>161</v>
      </c>
      <c r="N1114" t="s">
        <v>31</v>
      </c>
      <c r="O1114" t="s">
        <v>25</v>
      </c>
      <c r="P1114">
        <v>30460</v>
      </c>
      <c r="Q1114" t="s">
        <v>19</v>
      </c>
      <c r="R1114">
        <v>44550</v>
      </c>
      <c r="S1114" t="str">
        <f>VLOOKUP(L1114&amp;TEXT(I1114,"mmmm")&amp;YEAR(I1114),'[1]Detalle C-Fecha'!$D$2:$E$15921,2,FALSE)</f>
        <v>SUC_SRA - Sucursal San Rafael</v>
      </c>
    </row>
    <row r="1115" spans="1:19" x14ac:dyDescent="0.3">
      <c r="A1115">
        <v>36244</v>
      </c>
      <c r="B1115" t="s">
        <v>28</v>
      </c>
      <c r="C1115" t="s">
        <v>15</v>
      </c>
      <c r="D1115" t="s">
        <v>16</v>
      </c>
      <c r="E1115" t="s">
        <v>51</v>
      </c>
      <c r="F1115" s="6" t="str">
        <f t="shared" si="17"/>
        <v>2MC</v>
      </c>
      <c r="G1115" s="7">
        <v>46197</v>
      </c>
      <c r="H1115" s="8">
        <v>0.66597222222222219</v>
      </c>
      <c r="I1115" s="7">
        <v>46197</v>
      </c>
      <c r="J1115" s="1">
        <v>46197</v>
      </c>
      <c r="K1115" s="1">
        <v>46198</v>
      </c>
      <c r="L1115" t="s">
        <v>279</v>
      </c>
      <c r="M1115" t="s">
        <v>163</v>
      </c>
      <c r="N1115" t="s">
        <v>208</v>
      </c>
      <c r="O1115" t="s">
        <v>24</v>
      </c>
      <c r="P1115">
        <v>30465</v>
      </c>
      <c r="Q1115" t="s">
        <v>19</v>
      </c>
      <c r="R1115">
        <v>44182</v>
      </c>
      <c r="S1115" t="str">
        <f>VLOOKUP(L1115&amp;TEXT(I1115,"mmmm")&amp;YEAR(I1115),'[1]Detalle C-Fecha'!$D$2:$E$15921,2,FALSE)</f>
        <v>CCUDyAZA</v>
      </c>
    </row>
    <row r="1116" spans="1:19" x14ac:dyDescent="0.3">
      <c r="A1116">
        <v>36244</v>
      </c>
      <c r="B1116" t="s">
        <v>28</v>
      </c>
      <c r="C1116" t="s">
        <v>15</v>
      </c>
      <c r="D1116" t="s">
        <v>16</v>
      </c>
      <c r="E1116" t="s">
        <v>51</v>
      </c>
      <c r="F1116" s="6" t="str">
        <f t="shared" si="17"/>
        <v>2MC</v>
      </c>
      <c r="G1116" s="7">
        <v>46197</v>
      </c>
      <c r="H1116" s="8">
        <v>0.66597222222222219</v>
      </c>
      <c r="I1116" s="7">
        <v>46197</v>
      </c>
      <c r="J1116" s="1">
        <v>46197</v>
      </c>
      <c r="K1116" s="1">
        <v>46198</v>
      </c>
      <c r="L1116" t="s">
        <v>279</v>
      </c>
      <c r="M1116" t="s">
        <v>163</v>
      </c>
      <c r="N1116" t="s">
        <v>208</v>
      </c>
      <c r="O1116" t="s">
        <v>24</v>
      </c>
      <c r="P1116">
        <v>30465</v>
      </c>
      <c r="Q1116" t="s">
        <v>19</v>
      </c>
      <c r="R1116">
        <v>44197</v>
      </c>
      <c r="S1116" t="str">
        <f>VLOOKUP(L1116&amp;TEXT(I1116,"mmmm")&amp;YEAR(I1116),'[1]Detalle C-Fecha'!$D$2:$E$15921,2,FALSE)</f>
        <v>CCUDyAZA</v>
      </c>
    </row>
    <row r="1117" spans="1:19" x14ac:dyDescent="0.3">
      <c r="A1117">
        <v>36245</v>
      </c>
      <c r="B1117" t="s">
        <v>28</v>
      </c>
      <c r="C1117" t="s">
        <v>15</v>
      </c>
      <c r="D1117" t="s">
        <v>16</v>
      </c>
      <c r="E1117" t="s">
        <v>53</v>
      </c>
      <c r="F1117" s="6" t="str">
        <f t="shared" si="17"/>
        <v>3MC</v>
      </c>
      <c r="G1117" s="7">
        <v>46197</v>
      </c>
      <c r="H1117" s="8">
        <v>0.66597222222222219</v>
      </c>
      <c r="I1117" s="7">
        <v>46197</v>
      </c>
      <c r="J1117" s="1">
        <v>46197</v>
      </c>
      <c r="K1117" s="1">
        <v>46198</v>
      </c>
      <c r="L1117" t="s">
        <v>279</v>
      </c>
      <c r="M1117" t="s">
        <v>163</v>
      </c>
      <c r="N1117" t="s">
        <v>208</v>
      </c>
      <c r="O1117" t="s">
        <v>24</v>
      </c>
      <c r="P1117">
        <v>30467</v>
      </c>
      <c r="Q1117" t="s">
        <v>19</v>
      </c>
      <c r="R1117">
        <v>44183</v>
      </c>
      <c r="S1117" t="str">
        <f>VLOOKUP(L1117&amp;TEXT(I1117,"mmmm")&amp;YEAR(I1117),'[1]Detalle C-Fecha'!$D$2:$E$15921,2,FALSE)</f>
        <v>CCUDyAZA</v>
      </c>
    </row>
    <row r="1118" spans="1:19" x14ac:dyDescent="0.3">
      <c r="A1118">
        <v>36245</v>
      </c>
      <c r="B1118" t="s">
        <v>28</v>
      </c>
      <c r="C1118" t="s">
        <v>15</v>
      </c>
      <c r="D1118" t="s">
        <v>16</v>
      </c>
      <c r="E1118" t="s">
        <v>53</v>
      </c>
      <c r="F1118" s="6" t="str">
        <f t="shared" si="17"/>
        <v>3MC</v>
      </c>
      <c r="G1118" s="7">
        <v>46197</v>
      </c>
      <c r="H1118" s="8">
        <v>0.66597222222222219</v>
      </c>
      <c r="I1118" s="7">
        <v>46197</v>
      </c>
      <c r="J1118" s="1">
        <v>46197</v>
      </c>
      <c r="K1118" s="1">
        <v>46198</v>
      </c>
      <c r="L1118" t="s">
        <v>279</v>
      </c>
      <c r="M1118" t="s">
        <v>163</v>
      </c>
      <c r="N1118" t="s">
        <v>208</v>
      </c>
      <c r="O1118" t="s">
        <v>24</v>
      </c>
      <c r="P1118">
        <v>30467</v>
      </c>
      <c r="Q1118" t="s">
        <v>19</v>
      </c>
      <c r="R1118">
        <v>44197</v>
      </c>
      <c r="S1118" t="str">
        <f>VLOOKUP(L1118&amp;TEXT(I1118,"mmmm")&amp;YEAR(I1118),'[1]Detalle C-Fecha'!$D$2:$E$15921,2,FALSE)</f>
        <v>CCUDyAZA</v>
      </c>
    </row>
    <row r="1119" spans="1:19" x14ac:dyDescent="0.3">
      <c r="A1119">
        <v>36246</v>
      </c>
      <c r="B1119" t="s">
        <v>28</v>
      </c>
      <c r="C1119" t="s">
        <v>15</v>
      </c>
      <c r="D1119" t="s">
        <v>16</v>
      </c>
      <c r="E1119" t="s">
        <v>52</v>
      </c>
      <c r="F1119" s="6" t="str">
        <f t="shared" si="17"/>
        <v>6MC</v>
      </c>
      <c r="G1119" s="7">
        <v>46197</v>
      </c>
      <c r="H1119" s="8">
        <v>0.66597222222222219</v>
      </c>
      <c r="I1119" s="7">
        <v>46197</v>
      </c>
      <c r="J1119" s="1">
        <v>46197</v>
      </c>
      <c r="K1119" s="1">
        <v>46198</v>
      </c>
      <c r="L1119" t="s">
        <v>279</v>
      </c>
      <c r="M1119" t="s">
        <v>163</v>
      </c>
      <c r="N1119" t="s">
        <v>208</v>
      </c>
      <c r="O1119" t="s">
        <v>24</v>
      </c>
      <c r="P1119">
        <v>30468</v>
      </c>
      <c r="Q1119" t="s">
        <v>19</v>
      </c>
      <c r="R1119">
        <v>44184</v>
      </c>
      <c r="S1119" t="str">
        <f>VLOOKUP(L1119&amp;TEXT(I1119,"mmmm")&amp;YEAR(I1119),'[1]Detalle C-Fecha'!$D$2:$E$15921,2,FALSE)</f>
        <v>CCUDyAZA</v>
      </c>
    </row>
    <row r="1120" spans="1:19" x14ac:dyDescent="0.3">
      <c r="A1120">
        <v>36246</v>
      </c>
      <c r="B1120" t="s">
        <v>28</v>
      </c>
      <c r="C1120" t="s">
        <v>15</v>
      </c>
      <c r="D1120" t="s">
        <v>16</v>
      </c>
      <c r="E1120" t="s">
        <v>52</v>
      </c>
      <c r="F1120" s="6" t="str">
        <f t="shared" si="17"/>
        <v>6MC</v>
      </c>
      <c r="G1120" s="7">
        <v>46197</v>
      </c>
      <c r="H1120" s="8">
        <v>0.66597222222222219</v>
      </c>
      <c r="I1120" s="7">
        <v>46197</v>
      </c>
      <c r="J1120" s="1">
        <v>46197</v>
      </c>
      <c r="K1120" s="1">
        <v>46198</v>
      </c>
      <c r="L1120" t="s">
        <v>279</v>
      </c>
      <c r="M1120" t="s">
        <v>163</v>
      </c>
      <c r="N1120" t="s">
        <v>208</v>
      </c>
      <c r="O1120" t="s">
        <v>24</v>
      </c>
      <c r="P1120">
        <v>30468</v>
      </c>
      <c r="Q1120" t="s">
        <v>19</v>
      </c>
      <c r="R1120">
        <v>44197</v>
      </c>
      <c r="S1120" t="str">
        <f>VLOOKUP(L1120&amp;TEXT(I1120,"mmmm")&amp;YEAR(I1120),'[1]Detalle C-Fecha'!$D$2:$E$15921,2,FALSE)</f>
        <v>CCUDyAZA</v>
      </c>
    </row>
    <row r="1121" spans="1:19" x14ac:dyDescent="0.3">
      <c r="A1121">
        <v>36305</v>
      </c>
      <c r="B1121" t="s">
        <v>28</v>
      </c>
      <c r="C1121" t="s">
        <v>15</v>
      </c>
      <c r="D1121" t="s">
        <v>16</v>
      </c>
      <c r="E1121" t="s">
        <v>35</v>
      </c>
      <c r="F1121" s="6" t="str">
        <f t="shared" si="17"/>
        <v>2ML</v>
      </c>
      <c r="G1121" s="7">
        <v>46198</v>
      </c>
      <c r="H1121" s="8">
        <v>0.38750000000000001</v>
      </c>
      <c r="I1121" s="7">
        <v>46198</v>
      </c>
      <c r="J1121" s="1">
        <v>46198</v>
      </c>
      <c r="K1121" s="1">
        <v>46198</v>
      </c>
      <c r="L1121" t="s">
        <v>29</v>
      </c>
      <c r="M1121" t="s">
        <v>142</v>
      </c>
      <c r="N1121" t="s">
        <v>31</v>
      </c>
      <c r="O1121" t="s">
        <v>25</v>
      </c>
      <c r="P1121">
        <v>30481</v>
      </c>
      <c r="Q1121" t="s">
        <v>19</v>
      </c>
      <c r="R1121">
        <v>44553</v>
      </c>
      <c r="S1121" t="str">
        <f>VLOOKUP(L1121&amp;TEXT(I1121,"mmmm")&amp;YEAR(I1121),'[1]Detalle C-Fecha'!$D$2:$E$15921,2,FALSE)</f>
        <v>Expreso - Servicios Troncales</v>
      </c>
    </row>
    <row r="1122" spans="1:19" x14ac:dyDescent="0.3">
      <c r="A1122">
        <v>36305</v>
      </c>
      <c r="B1122" t="s">
        <v>28</v>
      </c>
      <c r="C1122" t="s">
        <v>15</v>
      </c>
      <c r="D1122" t="s">
        <v>16</v>
      </c>
      <c r="E1122" t="s">
        <v>35</v>
      </c>
      <c r="F1122" s="6" t="str">
        <f t="shared" si="17"/>
        <v>2ML</v>
      </c>
      <c r="G1122" s="7">
        <v>46198</v>
      </c>
      <c r="H1122" s="8">
        <v>0.38750000000000001</v>
      </c>
      <c r="I1122" s="7">
        <v>46198</v>
      </c>
      <c r="J1122" s="1">
        <v>46198</v>
      </c>
      <c r="K1122" s="1">
        <v>46198</v>
      </c>
      <c r="L1122" t="s">
        <v>29</v>
      </c>
      <c r="M1122" t="s">
        <v>142</v>
      </c>
      <c r="N1122" t="s">
        <v>31</v>
      </c>
      <c r="O1122" t="s">
        <v>25</v>
      </c>
      <c r="P1122">
        <v>30481</v>
      </c>
      <c r="Q1122" t="s">
        <v>19</v>
      </c>
      <c r="R1122">
        <v>44554</v>
      </c>
      <c r="S1122" t="str">
        <f>VLOOKUP(L1122&amp;TEXT(I1122,"mmmm")&amp;YEAR(I1122),'[1]Detalle C-Fecha'!$D$2:$E$15921,2,FALSE)</f>
        <v>Expreso - Servicios Troncales</v>
      </c>
    </row>
    <row r="1123" spans="1:19" x14ac:dyDescent="0.3">
      <c r="A1123">
        <v>36306</v>
      </c>
      <c r="B1123" t="s">
        <v>28</v>
      </c>
      <c r="C1123" t="s">
        <v>15</v>
      </c>
      <c r="D1123" t="s">
        <v>16</v>
      </c>
      <c r="E1123" t="s">
        <v>47</v>
      </c>
      <c r="F1123" s="6" t="str">
        <f t="shared" si="17"/>
        <v>3ML</v>
      </c>
      <c r="G1123" s="7">
        <v>46198</v>
      </c>
      <c r="H1123" s="8">
        <v>0.38750000000000001</v>
      </c>
      <c r="I1123" s="7">
        <v>46198</v>
      </c>
      <c r="J1123" s="1">
        <v>46198</v>
      </c>
      <c r="K1123" s="1">
        <v>46198</v>
      </c>
      <c r="L1123" t="s">
        <v>29</v>
      </c>
      <c r="M1123" t="s">
        <v>142</v>
      </c>
      <c r="N1123" t="s">
        <v>31</v>
      </c>
      <c r="O1123" t="s">
        <v>25</v>
      </c>
      <c r="P1123">
        <v>30484</v>
      </c>
      <c r="Q1123" t="s">
        <v>19</v>
      </c>
      <c r="R1123">
        <v>44555</v>
      </c>
      <c r="S1123" t="str">
        <f>VLOOKUP(L1123&amp;TEXT(I1123,"mmmm")&amp;YEAR(I1123),'[1]Detalle C-Fecha'!$D$2:$E$15921,2,FALSE)</f>
        <v>Expreso - Servicios Troncales</v>
      </c>
    </row>
    <row r="1124" spans="1:19" x14ac:dyDescent="0.3">
      <c r="A1124">
        <v>36306</v>
      </c>
      <c r="B1124" t="s">
        <v>28</v>
      </c>
      <c r="C1124" t="s">
        <v>15</v>
      </c>
      <c r="D1124" t="s">
        <v>16</v>
      </c>
      <c r="E1124" t="s">
        <v>47</v>
      </c>
      <c r="F1124" s="6" t="str">
        <f t="shared" si="17"/>
        <v>3ML</v>
      </c>
      <c r="G1124" s="7">
        <v>46198</v>
      </c>
      <c r="H1124" s="8">
        <v>0.38750000000000001</v>
      </c>
      <c r="I1124" s="7">
        <v>46198</v>
      </c>
      <c r="J1124" s="1">
        <v>46198</v>
      </c>
      <c r="K1124" s="1">
        <v>46198</v>
      </c>
      <c r="L1124" t="s">
        <v>29</v>
      </c>
      <c r="M1124" t="s">
        <v>142</v>
      </c>
      <c r="N1124" t="s">
        <v>31</v>
      </c>
      <c r="O1124" t="s">
        <v>25</v>
      </c>
      <c r="P1124">
        <v>30484</v>
      </c>
      <c r="Q1124" t="s">
        <v>19</v>
      </c>
      <c r="R1124">
        <v>44556</v>
      </c>
      <c r="S1124" t="str">
        <f>VLOOKUP(L1124&amp;TEXT(I1124,"mmmm")&amp;YEAR(I1124),'[1]Detalle C-Fecha'!$D$2:$E$15921,2,FALSE)</f>
        <v>Expreso - Servicios Troncales</v>
      </c>
    </row>
    <row r="1125" spans="1:19" x14ac:dyDescent="0.3">
      <c r="A1125">
        <v>36363</v>
      </c>
      <c r="B1125" t="s">
        <v>28</v>
      </c>
      <c r="C1125" t="s">
        <v>15</v>
      </c>
      <c r="D1125" t="s">
        <v>16</v>
      </c>
      <c r="E1125" t="s">
        <v>51</v>
      </c>
      <c r="F1125" s="6" t="str">
        <f t="shared" si="17"/>
        <v>2MC</v>
      </c>
      <c r="G1125" s="7">
        <v>46199</v>
      </c>
      <c r="H1125" s="8">
        <v>0.49513888888888885</v>
      </c>
      <c r="I1125" s="7">
        <v>46199</v>
      </c>
      <c r="J1125" s="1"/>
      <c r="K1125" s="1">
        <v>46203</v>
      </c>
      <c r="L1125" t="s">
        <v>280</v>
      </c>
      <c r="M1125">
        <v>1318</v>
      </c>
      <c r="N1125" t="s">
        <v>208</v>
      </c>
      <c r="O1125" t="s">
        <v>27</v>
      </c>
      <c r="P1125">
        <v>30542</v>
      </c>
      <c r="Q1125" t="s">
        <v>19</v>
      </c>
      <c r="R1125">
        <v>44666</v>
      </c>
      <c r="S1125" t="str">
        <f>VLOOKUP(L1125&amp;TEXT(I1125,"mmmm")&amp;YEAR(I1125),'[1]Detalle C-Fecha'!$D$2:$E$15921,2,FALSE)</f>
        <v>Alfavinil SA</v>
      </c>
    </row>
    <row r="1126" spans="1:19" x14ac:dyDescent="0.3">
      <c r="A1126">
        <v>36363</v>
      </c>
      <c r="B1126" t="s">
        <v>28</v>
      </c>
      <c r="C1126" t="s">
        <v>15</v>
      </c>
      <c r="D1126" t="s">
        <v>16</v>
      </c>
      <c r="E1126" t="s">
        <v>51</v>
      </c>
      <c r="F1126" s="6" t="str">
        <f t="shared" si="17"/>
        <v>2MC</v>
      </c>
      <c r="G1126" s="7">
        <v>46199</v>
      </c>
      <c r="H1126" s="8">
        <v>0.49513888888888885</v>
      </c>
      <c r="I1126" s="7">
        <v>46199</v>
      </c>
      <c r="J1126" s="1"/>
      <c r="K1126" s="1">
        <v>46203</v>
      </c>
      <c r="L1126" t="s">
        <v>280</v>
      </c>
      <c r="M1126">
        <v>1318</v>
      </c>
      <c r="N1126" t="s">
        <v>208</v>
      </c>
      <c r="O1126" t="s">
        <v>27</v>
      </c>
      <c r="P1126">
        <v>30542</v>
      </c>
      <c r="Q1126" t="s">
        <v>19</v>
      </c>
      <c r="R1126">
        <v>44611</v>
      </c>
      <c r="S1126" t="str">
        <f>VLOOKUP(L1126&amp;TEXT(I1126,"mmmm")&amp;YEAR(I1126),'[1]Detalle C-Fecha'!$D$2:$E$15921,2,FALSE)</f>
        <v>Alfavinil SA</v>
      </c>
    </row>
    <row r="1127" spans="1:19" x14ac:dyDescent="0.3">
      <c r="A1127">
        <v>36364</v>
      </c>
      <c r="B1127" t="s">
        <v>28</v>
      </c>
      <c r="C1127" t="s">
        <v>15</v>
      </c>
      <c r="D1127" t="s">
        <v>16</v>
      </c>
      <c r="E1127" t="s">
        <v>53</v>
      </c>
      <c r="F1127" s="6" t="str">
        <f t="shared" si="17"/>
        <v>3MC</v>
      </c>
      <c r="G1127" s="7">
        <v>46199</v>
      </c>
      <c r="H1127" s="8">
        <v>0.49513888888888885</v>
      </c>
      <c r="I1127" s="7">
        <v>46199</v>
      </c>
      <c r="J1127" s="1"/>
      <c r="K1127" s="1">
        <v>46203</v>
      </c>
      <c r="L1127" t="s">
        <v>280</v>
      </c>
      <c r="M1127">
        <v>1318</v>
      </c>
      <c r="N1127" t="s">
        <v>208</v>
      </c>
      <c r="O1127" t="s">
        <v>27</v>
      </c>
      <c r="P1127">
        <v>30543</v>
      </c>
      <c r="Q1127" t="s">
        <v>19</v>
      </c>
      <c r="R1127">
        <v>44666</v>
      </c>
      <c r="S1127" t="str">
        <f>VLOOKUP(L1127&amp;TEXT(I1127,"mmmm")&amp;YEAR(I1127),'[1]Detalle C-Fecha'!$D$2:$E$15921,2,FALSE)</f>
        <v>Alfavinil SA</v>
      </c>
    </row>
    <row r="1128" spans="1:19" x14ac:dyDescent="0.3">
      <c r="A1128">
        <v>36364</v>
      </c>
      <c r="B1128" t="s">
        <v>28</v>
      </c>
      <c r="C1128" t="s">
        <v>15</v>
      </c>
      <c r="D1128" t="s">
        <v>16</v>
      </c>
      <c r="E1128" t="s">
        <v>53</v>
      </c>
      <c r="F1128" s="6" t="str">
        <f t="shared" si="17"/>
        <v>3MC</v>
      </c>
      <c r="G1128" s="7">
        <v>46199</v>
      </c>
      <c r="H1128" s="8">
        <v>0.49513888888888885</v>
      </c>
      <c r="I1128" s="7">
        <v>46199</v>
      </c>
      <c r="J1128" s="1"/>
      <c r="K1128" s="1">
        <v>46203</v>
      </c>
      <c r="L1128" t="s">
        <v>280</v>
      </c>
      <c r="M1128">
        <v>1318</v>
      </c>
      <c r="N1128" t="s">
        <v>208</v>
      </c>
      <c r="O1128" t="s">
        <v>27</v>
      </c>
      <c r="P1128">
        <v>30543</v>
      </c>
      <c r="Q1128" t="s">
        <v>19</v>
      </c>
      <c r="R1128">
        <v>44612</v>
      </c>
      <c r="S1128" t="str">
        <f>VLOOKUP(L1128&amp;TEXT(I1128,"mmmm")&amp;YEAR(I1128),'[1]Detalle C-Fecha'!$D$2:$E$15921,2,FALSE)</f>
        <v>Alfavinil SA</v>
      </c>
    </row>
    <row r="1129" spans="1:19" x14ac:dyDescent="0.3">
      <c r="A1129">
        <v>36365</v>
      </c>
      <c r="B1129" t="s">
        <v>28</v>
      </c>
      <c r="C1129" t="s">
        <v>15</v>
      </c>
      <c r="D1129" t="s">
        <v>16</v>
      </c>
      <c r="E1129" t="s">
        <v>52</v>
      </c>
      <c r="F1129" s="6" t="str">
        <f t="shared" si="17"/>
        <v>6MC</v>
      </c>
      <c r="G1129" s="7">
        <v>46199</v>
      </c>
      <c r="H1129" s="8">
        <v>0.49513888888888885</v>
      </c>
      <c r="I1129" s="7">
        <v>46199</v>
      </c>
      <c r="J1129" s="1"/>
      <c r="K1129" s="1">
        <v>46203</v>
      </c>
      <c r="L1129" t="s">
        <v>280</v>
      </c>
      <c r="M1129">
        <v>1318</v>
      </c>
      <c r="N1129" t="s">
        <v>208</v>
      </c>
      <c r="O1129" t="s">
        <v>27</v>
      </c>
      <c r="P1129">
        <v>30544</v>
      </c>
      <c r="Q1129" t="s">
        <v>19</v>
      </c>
      <c r="R1129">
        <v>44666</v>
      </c>
      <c r="S1129" t="str">
        <f>VLOOKUP(L1129&amp;TEXT(I1129,"mmmm")&amp;YEAR(I1129),'[1]Detalle C-Fecha'!$D$2:$E$15921,2,FALSE)</f>
        <v>Alfavinil SA</v>
      </c>
    </row>
    <row r="1130" spans="1:19" x14ac:dyDescent="0.3">
      <c r="A1130">
        <v>36365</v>
      </c>
      <c r="B1130" t="s">
        <v>28</v>
      </c>
      <c r="C1130" t="s">
        <v>15</v>
      </c>
      <c r="D1130" t="s">
        <v>16</v>
      </c>
      <c r="E1130" t="s">
        <v>52</v>
      </c>
      <c r="F1130" s="6" t="str">
        <f t="shared" si="17"/>
        <v>6MC</v>
      </c>
      <c r="G1130" s="7">
        <v>46199</v>
      </c>
      <c r="H1130" s="8">
        <v>0.49513888888888885</v>
      </c>
      <c r="I1130" s="7">
        <v>46199</v>
      </c>
      <c r="J1130" s="1"/>
      <c r="K1130" s="1">
        <v>46203</v>
      </c>
      <c r="L1130" t="s">
        <v>280</v>
      </c>
      <c r="M1130">
        <v>1318</v>
      </c>
      <c r="N1130" t="s">
        <v>208</v>
      </c>
      <c r="O1130" t="s">
        <v>27</v>
      </c>
      <c r="P1130">
        <v>30544</v>
      </c>
      <c r="Q1130" t="s">
        <v>19</v>
      </c>
      <c r="R1130">
        <v>44613</v>
      </c>
      <c r="S1130" t="str">
        <f>VLOOKUP(L1130&amp;TEXT(I1130,"mmmm")&amp;YEAR(I1130),'[1]Detalle C-Fecha'!$D$2:$E$15921,2,FALSE)</f>
        <v>Alfavinil SA</v>
      </c>
    </row>
    <row r="1131" spans="1:19" x14ac:dyDescent="0.3">
      <c r="A1131">
        <v>36366</v>
      </c>
      <c r="B1131" t="s">
        <v>28</v>
      </c>
      <c r="C1131" t="s">
        <v>15</v>
      </c>
      <c r="D1131" t="s">
        <v>16</v>
      </c>
      <c r="E1131" t="s">
        <v>35</v>
      </c>
      <c r="F1131" s="6" t="str">
        <f t="shared" si="17"/>
        <v>2ML</v>
      </c>
      <c r="G1131" s="7">
        <v>46199</v>
      </c>
      <c r="H1131" s="8">
        <v>0.53541666666666665</v>
      </c>
      <c r="I1131" s="7">
        <v>46199</v>
      </c>
      <c r="J1131" s="1">
        <v>46199</v>
      </c>
      <c r="K1131" s="1">
        <v>46199</v>
      </c>
      <c r="L1131" t="s">
        <v>206</v>
      </c>
      <c r="M1131" t="s">
        <v>149</v>
      </c>
      <c r="N1131" t="s">
        <v>31</v>
      </c>
      <c r="O1131" t="s">
        <v>25</v>
      </c>
      <c r="P1131">
        <v>30556</v>
      </c>
      <c r="Q1131" t="s">
        <v>19</v>
      </c>
      <c r="R1131">
        <v>44557</v>
      </c>
      <c r="S1131" t="str">
        <f>VLOOKUP(L1131&amp;TEXT(I1131,"mmmm")&amp;YEAR(I1131),'[1]Detalle C-Fecha'!$D$2:$E$15921,2,FALSE)</f>
        <v>Expreso - Servicios Troncales</v>
      </c>
    </row>
    <row r="1132" spans="1:19" x14ac:dyDescent="0.3">
      <c r="A1132">
        <v>36366</v>
      </c>
      <c r="B1132" t="s">
        <v>28</v>
      </c>
      <c r="C1132" t="s">
        <v>15</v>
      </c>
      <c r="D1132" t="s">
        <v>16</v>
      </c>
      <c r="E1132" t="s">
        <v>35</v>
      </c>
      <c r="F1132" s="6" t="str">
        <f t="shared" si="17"/>
        <v>2ML</v>
      </c>
      <c r="G1132" s="7">
        <v>46199</v>
      </c>
      <c r="H1132" s="8">
        <v>0.53541666666666665</v>
      </c>
      <c r="I1132" s="7">
        <v>46199</v>
      </c>
      <c r="J1132" s="1">
        <v>46199</v>
      </c>
      <c r="K1132" s="1">
        <v>46199</v>
      </c>
      <c r="L1132" t="s">
        <v>206</v>
      </c>
      <c r="M1132" t="s">
        <v>149</v>
      </c>
      <c r="N1132" t="s">
        <v>31</v>
      </c>
      <c r="O1132" t="s">
        <v>25</v>
      </c>
      <c r="P1132">
        <v>30556</v>
      </c>
      <c r="Q1132" t="s">
        <v>19</v>
      </c>
      <c r="R1132">
        <v>44558</v>
      </c>
      <c r="S1132" t="str">
        <f>VLOOKUP(L1132&amp;TEXT(I1132,"mmmm")&amp;YEAR(I1132),'[1]Detalle C-Fecha'!$D$2:$E$15921,2,FALSE)</f>
        <v>Expreso - Servicios Troncales</v>
      </c>
    </row>
    <row r="1133" spans="1:19" x14ac:dyDescent="0.3">
      <c r="A1133">
        <v>36367</v>
      </c>
      <c r="B1133" t="s">
        <v>28</v>
      </c>
      <c r="C1133" t="s">
        <v>15</v>
      </c>
      <c r="D1133" t="s">
        <v>16</v>
      </c>
      <c r="E1133" t="s">
        <v>47</v>
      </c>
      <c r="F1133" s="6" t="str">
        <f t="shared" si="17"/>
        <v>3ML</v>
      </c>
      <c r="G1133" s="7">
        <v>46199</v>
      </c>
      <c r="H1133" s="8">
        <v>0.53541666666666665</v>
      </c>
      <c r="I1133" s="7">
        <v>46199</v>
      </c>
      <c r="J1133" s="1">
        <v>46199</v>
      </c>
      <c r="K1133" s="1">
        <v>46199</v>
      </c>
      <c r="L1133" t="s">
        <v>206</v>
      </c>
      <c r="M1133" t="s">
        <v>149</v>
      </c>
      <c r="N1133" t="s">
        <v>31</v>
      </c>
      <c r="O1133" t="s">
        <v>25</v>
      </c>
      <c r="P1133">
        <v>30555</v>
      </c>
      <c r="Q1133" t="s">
        <v>19</v>
      </c>
      <c r="R1133">
        <v>44559</v>
      </c>
      <c r="S1133" t="str">
        <f>VLOOKUP(L1133&amp;TEXT(I1133,"mmmm")&amp;YEAR(I1133),'[1]Detalle C-Fecha'!$D$2:$E$15921,2,FALSE)</f>
        <v>Expreso - Servicios Troncales</v>
      </c>
    </row>
    <row r="1134" spans="1:19" x14ac:dyDescent="0.3">
      <c r="A1134">
        <v>36367</v>
      </c>
      <c r="B1134" t="s">
        <v>28</v>
      </c>
      <c r="C1134" t="s">
        <v>15</v>
      </c>
      <c r="D1134" t="s">
        <v>16</v>
      </c>
      <c r="E1134" t="s">
        <v>47</v>
      </c>
      <c r="F1134" s="6" t="str">
        <f t="shared" si="17"/>
        <v>3ML</v>
      </c>
      <c r="G1134" s="7">
        <v>46199</v>
      </c>
      <c r="H1134" s="8">
        <v>0.53541666666666665</v>
      </c>
      <c r="I1134" s="7">
        <v>46199</v>
      </c>
      <c r="J1134" s="1">
        <v>46199</v>
      </c>
      <c r="K1134" s="1">
        <v>46199</v>
      </c>
      <c r="L1134" t="s">
        <v>206</v>
      </c>
      <c r="M1134" t="s">
        <v>149</v>
      </c>
      <c r="N1134" t="s">
        <v>31</v>
      </c>
      <c r="O1134" t="s">
        <v>25</v>
      </c>
      <c r="P1134">
        <v>30555</v>
      </c>
      <c r="Q1134" t="s">
        <v>19</v>
      </c>
      <c r="R1134">
        <v>44560</v>
      </c>
      <c r="S1134" t="str">
        <f>VLOOKUP(L1134&amp;TEXT(I1134,"mmmm")&amp;YEAR(I1134),'[1]Detalle C-Fecha'!$D$2:$E$15921,2,FALSE)</f>
        <v>Expreso - Servicios Troncales</v>
      </c>
    </row>
    <row r="1135" spans="1:19" x14ac:dyDescent="0.3">
      <c r="A1135">
        <v>36368</v>
      </c>
      <c r="B1135" t="s">
        <v>28</v>
      </c>
      <c r="C1135" t="s">
        <v>15</v>
      </c>
      <c r="D1135" t="s">
        <v>16</v>
      </c>
      <c r="E1135" t="s">
        <v>137</v>
      </c>
      <c r="F1135" s="6" t="str">
        <f t="shared" si="17"/>
        <v>7ML</v>
      </c>
      <c r="G1135" s="7">
        <v>46199</v>
      </c>
      <c r="H1135" s="8">
        <v>0.53541666666666665</v>
      </c>
      <c r="I1135" s="7">
        <v>46199</v>
      </c>
      <c r="J1135" s="1">
        <v>46199</v>
      </c>
      <c r="K1135" s="1">
        <v>46199</v>
      </c>
      <c r="L1135" t="s">
        <v>206</v>
      </c>
      <c r="M1135" t="s">
        <v>149</v>
      </c>
      <c r="N1135" t="s">
        <v>31</v>
      </c>
      <c r="O1135" t="s">
        <v>25</v>
      </c>
      <c r="P1135">
        <v>30554</v>
      </c>
      <c r="Q1135" t="s">
        <v>19</v>
      </c>
      <c r="R1135">
        <v>44561</v>
      </c>
      <c r="S1135" t="str">
        <f>VLOOKUP(L1135&amp;TEXT(I1135,"mmmm")&amp;YEAR(I1135),'[1]Detalle C-Fecha'!$D$2:$E$15921,2,FALSE)</f>
        <v>Expreso - Servicios Troncales</v>
      </c>
    </row>
    <row r="1136" spans="1:19" x14ac:dyDescent="0.3">
      <c r="A1136">
        <v>36368</v>
      </c>
      <c r="B1136" t="s">
        <v>28</v>
      </c>
      <c r="C1136" t="s">
        <v>15</v>
      </c>
      <c r="D1136" t="s">
        <v>16</v>
      </c>
      <c r="E1136" t="s">
        <v>137</v>
      </c>
      <c r="F1136" s="6" t="str">
        <f t="shared" si="17"/>
        <v>7ML</v>
      </c>
      <c r="G1136" s="7">
        <v>46199</v>
      </c>
      <c r="H1136" s="8">
        <v>0.53541666666666665</v>
      </c>
      <c r="I1136" s="7">
        <v>46199</v>
      </c>
      <c r="J1136" s="1">
        <v>46199</v>
      </c>
      <c r="K1136" s="1">
        <v>46199</v>
      </c>
      <c r="L1136" t="s">
        <v>206</v>
      </c>
      <c r="M1136" t="s">
        <v>149</v>
      </c>
      <c r="N1136" t="s">
        <v>31</v>
      </c>
      <c r="O1136" t="s">
        <v>25</v>
      </c>
      <c r="P1136">
        <v>30554</v>
      </c>
      <c r="Q1136" t="s">
        <v>19</v>
      </c>
      <c r="R1136">
        <v>44562</v>
      </c>
      <c r="S1136" t="str">
        <f>VLOOKUP(L1136&amp;TEXT(I1136,"mmmm")&amp;YEAR(I1136),'[1]Detalle C-Fecha'!$D$2:$E$15921,2,FALSE)</f>
        <v>Expreso - Servicios Troncales</v>
      </c>
    </row>
    <row r="1137" spans="1:19" x14ac:dyDescent="0.3">
      <c r="A1137">
        <v>36369</v>
      </c>
      <c r="B1137" t="s">
        <v>28</v>
      </c>
      <c r="C1137" t="s">
        <v>15</v>
      </c>
      <c r="D1137" t="s">
        <v>16</v>
      </c>
      <c r="E1137" t="s">
        <v>216</v>
      </c>
      <c r="F1137" s="6" t="str">
        <f t="shared" si="17"/>
        <v>8ML</v>
      </c>
      <c r="G1137" s="7">
        <v>46199</v>
      </c>
      <c r="H1137" s="8">
        <v>0.53541666666666665</v>
      </c>
      <c r="I1137" s="7">
        <v>46199</v>
      </c>
      <c r="J1137" s="1">
        <v>46199</v>
      </c>
      <c r="K1137" s="1">
        <v>46199</v>
      </c>
      <c r="L1137" t="s">
        <v>206</v>
      </c>
      <c r="M1137" t="s">
        <v>149</v>
      </c>
      <c r="N1137" t="s">
        <v>31</v>
      </c>
      <c r="O1137" t="s">
        <v>25</v>
      </c>
      <c r="P1137">
        <v>30553</v>
      </c>
      <c r="Q1137" t="s">
        <v>19</v>
      </c>
      <c r="R1137">
        <v>44563</v>
      </c>
      <c r="S1137" t="str">
        <f>VLOOKUP(L1137&amp;TEXT(I1137,"mmmm")&amp;YEAR(I1137),'[1]Detalle C-Fecha'!$D$2:$E$15921,2,FALSE)</f>
        <v>Expreso - Servicios Troncales</v>
      </c>
    </row>
    <row r="1138" spans="1:19" x14ac:dyDescent="0.3">
      <c r="A1138">
        <v>36369</v>
      </c>
      <c r="B1138" t="s">
        <v>28</v>
      </c>
      <c r="C1138" t="s">
        <v>15</v>
      </c>
      <c r="D1138" t="s">
        <v>16</v>
      </c>
      <c r="E1138" t="s">
        <v>216</v>
      </c>
      <c r="F1138" s="6" t="str">
        <f t="shared" si="17"/>
        <v>8ML</v>
      </c>
      <c r="G1138" s="7">
        <v>46199</v>
      </c>
      <c r="H1138" s="8">
        <v>0.53541666666666665</v>
      </c>
      <c r="I1138" s="7">
        <v>46199</v>
      </c>
      <c r="J1138" s="1">
        <v>46199</v>
      </c>
      <c r="K1138" s="1">
        <v>46199</v>
      </c>
      <c r="L1138" t="s">
        <v>206</v>
      </c>
      <c r="M1138" t="s">
        <v>149</v>
      </c>
      <c r="N1138" t="s">
        <v>31</v>
      </c>
      <c r="O1138" t="s">
        <v>25</v>
      </c>
      <c r="P1138">
        <v>30553</v>
      </c>
      <c r="Q1138" t="s">
        <v>19</v>
      </c>
      <c r="R1138">
        <v>44564</v>
      </c>
      <c r="S1138" t="str">
        <f>VLOOKUP(L1138&amp;TEXT(I1138,"mmmm")&amp;YEAR(I1138),'[1]Detalle C-Fecha'!$D$2:$E$15921,2,FALSE)</f>
        <v>Expreso - Servicios Troncales</v>
      </c>
    </row>
    <row r="1139" spans="1:19" x14ac:dyDescent="0.3">
      <c r="A1139">
        <v>36370</v>
      </c>
      <c r="B1139" t="s">
        <v>28</v>
      </c>
      <c r="C1139" t="s">
        <v>15</v>
      </c>
      <c r="D1139" t="s">
        <v>16</v>
      </c>
      <c r="E1139" t="s">
        <v>110</v>
      </c>
      <c r="F1139" s="6" t="str">
        <f t="shared" si="17"/>
        <v>5MU</v>
      </c>
      <c r="G1139" s="7">
        <v>46199</v>
      </c>
      <c r="H1139" s="8">
        <v>0.53541666666666665</v>
      </c>
      <c r="I1139" s="7">
        <v>46199</v>
      </c>
      <c r="J1139" s="1">
        <v>46199</v>
      </c>
      <c r="K1139" s="1">
        <v>46199</v>
      </c>
      <c r="L1139" t="s">
        <v>206</v>
      </c>
      <c r="M1139" t="s">
        <v>149</v>
      </c>
      <c r="N1139" t="s">
        <v>31</v>
      </c>
      <c r="O1139" t="s">
        <v>25</v>
      </c>
      <c r="P1139">
        <v>30551</v>
      </c>
      <c r="Q1139" t="s">
        <v>19</v>
      </c>
      <c r="R1139">
        <v>44565</v>
      </c>
      <c r="S1139" t="str">
        <f>VLOOKUP(L1139&amp;TEXT(I1139,"mmmm")&amp;YEAR(I1139),'[1]Detalle C-Fecha'!$D$2:$E$15921,2,FALSE)</f>
        <v>Expreso - Servicios Troncales</v>
      </c>
    </row>
    <row r="1140" spans="1:19" x14ac:dyDescent="0.3">
      <c r="A1140">
        <v>36370</v>
      </c>
      <c r="B1140" t="s">
        <v>28</v>
      </c>
      <c r="C1140" t="s">
        <v>15</v>
      </c>
      <c r="D1140" t="s">
        <v>16</v>
      </c>
      <c r="E1140" t="s">
        <v>110</v>
      </c>
      <c r="F1140" s="6" t="str">
        <f t="shared" si="17"/>
        <v>5MU</v>
      </c>
      <c r="G1140" s="7">
        <v>46199</v>
      </c>
      <c r="H1140" s="8">
        <v>0.53541666666666665</v>
      </c>
      <c r="I1140" s="7">
        <v>46199</v>
      </c>
      <c r="J1140" s="1">
        <v>46199</v>
      </c>
      <c r="K1140" s="1">
        <v>46199</v>
      </c>
      <c r="L1140" t="s">
        <v>206</v>
      </c>
      <c r="M1140" t="s">
        <v>149</v>
      </c>
      <c r="N1140" t="s">
        <v>31</v>
      </c>
      <c r="O1140" t="s">
        <v>25</v>
      </c>
      <c r="P1140">
        <v>30551</v>
      </c>
      <c r="Q1140" t="s">
        <v>19</v>
      </c>
      <c r="R1140">
        <v>44566</v>
      </c>
      <c r="S1140" t="str">
        <f>VLOOKUP(L1140&amp;TEXT(I1140,"mmmm")&amp;YEAR(I1140),'[1]Detalle C-Fecha'!$D$2:$E$15921,2,FALSE)</f>
        <v>Expreso - Servicios Troncales</v>
      </c>
    </row>
    <row r="1141" spans="1:19" x14ac:dyDescent="0.3">
      <c r="A1141">
        <v>36474</v>
      </c>
      <c r="B1141" t="s">
        <v>28</v>
      </c>
      <c r="C1141" t="s">
        <v>15</v>
      </c>
      <c r="D1141" t="s">
        <v>16</v>
      </c>
      <c r="E1141" t="s">
        <v>115</v>
      </c>
      <c r="F1141" s="6" t="str">
        <f t="shared" si="17"/>
        <v>2ML</v>
      </c>
      <c r="G1141" s="7">
        <v>46200</v>
      </c>
      <c r="H1141" s="8">
        <v>0.40208333333333335</v>
      </c>
      <c r="I1141" s="7">
        <v>46200</v>
      </c>
      <c r="J1141" s="1">
        <v>46200</v>
      </c>
      <c r="K1141" s="1">
        <v>46200</v>
      </c>
      <c r="L1141" t="s">
        <v>104</v>
      </c>
      <c r="M1141" t="s">
        <v>129</v>
      </c>
      <c r="N1141" t="s">
        <v>208</v>
      </c>
      <c r="O1141" t="s">
        <v>24</v>
      </c>
      <c r="P1141">
        <v>30590</v>
      </c>
      <c r="Q1141" t="s">
        <v>19</v>
      </c>
      <c r="R1141">
        <v>44820</v>
      </c>
      <c r="S1141" t="str">
        <f>VLOOKUP(L1141&amp;TEXT(I1141,"mmmm")&amp;YEAR(I1141),'[1]Detalle C-Fecha'!$D$2:$E$15921,2,FALSE)</f>
        <v>ADA_CH - Danone Arg. S.A. - Chascomus</v>
      </c>
    </row>
    <row r="1142" spans="1:19" x14ac:dyDescent="0.3">
      <c r="A1142">
        <v>36474</v>
      </c>
      <c r="B1142" t="s">
        <v>28</v>
      </c>
      <c r="C1142" t="s">
        <v>15</v>
      </c>
      <c r="D1142" t="s">
        <v>16</v>
      </c>
      <c r="E1142" t="s">
        <v>115</v>
      </c>
      <c r="F1142" s="6" t="str">
        <f t="shared" si="17"/>
        <v>2ML</v>
      </c>
      <c r="G1142" s="7">
        <v>46200</v>
      </c>
      <c r="H1142" s="8">
        <v>0.40208333333333335</v>
      </c>
      <c r="I1142" s="7">
        <v>46200</v>
      </c>
      <c r="J1142" s="1">
        <v>46200</v>
      </c>
      <c r="K1142" s="1">
        <v>46200</v>
      </c>
      <c r="L1142" t="s">
        <v>104</v>
      </c>
      <c r="M1142" t="s">
        <v>129</v>
      </c>
      <c r="N1142" t="s">
        <v>208</v>
      </c>
      <c r="O1142" t="s">
        <v>24</v>
      </c>
      <c r="P1142">
        <v>30590</v>
      </c>
      <c r="Q1142" t="s">
        <v>19</v>
      </c>
      <c r="R1142">
        <v>44991</v>
      </c>
      <c r="S1142" t="str">
        <f>VLOOKUP(L1142&amp;TEXT(I1142,"mmmm")&amp;YEAR(I1142),'[1]Detalle C-Fecha'!$D$2:$E$15921,2,FALSE)</f>
        <v>ADA_CH - Danone Arg. S.A. - Chascomus</v>
      </c>
    </row>
    <row r="1143" spans="1:19" x14ac:dyDescent="0.3">
      <c r="A1143">
        <v>36475</v>
      </c>
      <c r="B1143" t="s">
        <v>28</v>
      </c>
      <c r="C1143" t="s">
        <v>15</v>
      </c>
      <c r="D1143" t="s">
        <v>16</v>
      </c>
      <c r="E1143" t="s">
        <v>116</v>
      </c>
      <c r="F1143" s="6" t="str">
        <f t="shared" si="17"/>
        <v>3ML</v>
      </c>
      <c r="G1143" s="7">
        <v>46200</v>
      </c>
      <c r="H1143" s="8">
        <v>0.40208333333333335</v>
      </c>
      <c r="I1143" s="7">
        <v>46200</v>
      </c>
      <c r="J1143" s="1">
        <v>46200</v>
      </c>
      <c r="K1143" s="1">
        <v>46200</v>
      </c>
      <c r="L1143" t="s">
        <v>104</v>
      </c>
      <c r="M1143" t="s">
        <v>129</v>
      </c>
      <c r="N1143" t="s">
        <v>208</v>
      </c>
      <c r="O1143" t="s">
        <v>24</v>
      </c>
      <c r="P1143">
        <v>30591</v>
      </c>
      <c r="Q1143" t="s">
        <v>19</v>
      </c>
      <c r="R1143">
        <v>44821</v>
      </c>
      <c r="S1143" t="str">
        <f>VLOOKUP(L1143&amp;TEXT(I1143,"mmmm")&amp;YEAR(I1143),'[1]Detalle C-Fecha'!$D$2:$E$15921,2,FALSE)</f>
        <v>ADA_CH - Danone Arg. S.A. - Chascomus</v>
      </c>
    </row>
    <row r="1144" spans="1:19" x14ac:dyDescent="0.3">
      <c r="A1144">
        <v>36475</v>
      </c>
      <c r="B1144" t="s">
        <v>28</v>
      </c>
      <c r="C1144" t="s">
        <v>15</v>
      </c>
      <c r="D1144" t="s">
        <v>16</v>
      </c>
      <c r="E1144" t="s">
        <v>116</v>
      </c>
      <c r="F1144" s="6" t="str">
        <f t="shared" si="17"/>
        <v>3ML</v>
      </c>
      <c r="G1144" s="7">
        <v>46200</v>
      </c>
      <c r="H1144" s="8">
        <v>0.40208333333333335</v>
      </c>
      <c r="I1144" s="7">
        <v>46200</v>
      </c>
      <c r="J1144" s="1">
        <v>46200</v>
      </c>
      <c r="K1144" s="1">
        <v>46200</v>
      </c>
      <c r="L1144" t="s">
        <v>104</v>
      </c>
      <c r="M1144" t="s">
        <v>129</v>
      </c>
      <c r="N1144" t="s">
        <v>208</v>
      </c>
      <c r="O1144" t="s">
        <v>24</v>
      </c>
      <c r="P1144">
        <v>30591</v>
      </c>
      <c r="Q1144" t="s">
        <v>19</v>
      </c>
      <c r="R1144">
        <v>44991</v>
      </c>
      <c r="S1144" t="str">
        <f>VLOOKUP(L1144&amp;TEXT(I1144,"mmmm")&amp;YEAR(I1144),'[1]Detalle C-Fecha'!$D$2:$E$15921,2,FALSE)</f>
        <v>ADA_CH - Danone Arg. S.A. - Chascomus</v>
      </c>
    </row>
    <row r="1145" spans="1:19" x14ac:dyDescent="0.3">
      <c r="A1145">
        <v>36476</v>
      </c>
      <c r="B1145" t="s">
        <v>28</v>
      </c>
      <c r="C1145" t="s">
        <v>15</v>
      </c>
      <c r="D1145" t="s">
        <v>16</v>
      </c>
      <c r="E1145" t="s">
        <v>117</v>
      </c>
      <c r="F1145" s="6" t="str">
        <f t="shared" si="17"/>
        <v>6ML</v>
      </c>
      <c r="G1145" s="7">
        <v>46200</v>
      </c>
      <c r="H1145" s="8">
        <v>0.40208333333333335</v>
      </c>
      <c r="I1145" s="7">
        <v>46200</v>
      </c>
      <c r="J1145" s="1">
        <v>46200</v>
      </c>
      <c r="K1145" s="1">
        <v>46200</v>
      </c>
      <c r="L1145" t="s">
        <v>104</v>
      </c>
      <c r="M1145" t="s">
        <v>129</v>
      </c>
      <c r="N1145" t="s">
        <v>208</v>
      </c>
      <c r="O1145" t="s">
        <v>24</v>
      </c>
      <c r="P1145">
        <v>30592</v>
      </c>
      <c r="Q1145" t="s">
        <v>19</v>
      </c>
      <c r="R1145">
        <v>44822</v>
      </c>
      <c r="S1145" t="str">
        <f>VLOOKUP(L1145&amp;TEXT(I1145,"mmmm")&amp;YEAR(I1145),'[1]Detalle C-Fecha'!$D$2:$E$15921,2,FALSE)</f>
        <v>ADA_CH - Danone Arg. S.A. - Chascomus</v>
      </c>
    </row>
    <row r="1146" spans="1:19" x14ac:dyDescent="0.3">
      <c r="A1146">
        <v>36476</v>
      </c>
      <c r="B1146" t="s">
        <v>28</v>
      </c>
      <c r="C1146" t="s">
        <v>15</v>
      </c>
      <c r="D1146" t="s">
        <v>16</v>
      </c>
      <c r="E1146" t="s">
        <v>117</v>
      </c>
      <c r="F1146" s="6" t="str">
        <f t="shared" si="17"/>
        <v>6ML</v>
      </c>
      <c r="G1146" s="7">
        <v>46200</v>
      </c>
      <c r="H1146" s="8">
        <v>0.40208333333333335</v>
      </c>
      <c r="I1146" s="7">
        <v>46200</v>
      </c>
      <c r="J1146" s="1">
        <v>46200</v>
      </c>
      <c r="K1146" s="1">
        <v>46200</v>
      </c>
      <c r="L1146" t="s">
        <v>104</v>
      </c>
      <c r="M1146" t="s">
        <v>129</v>
      </c>
      <c r="N1146" t="s">
        <v>208</v>
      </c>
      <c r="O1146" t="s">
        <v>24</v>
      </c>
      <c r="P1146">
        <v>30592</v>
      </c>
      <c r="Q1146" t="s">
        <v>19</v>
      </c>
      <c r="R1146">
        <v>44991</v>
      </c>
      <c r="S1146" t="str">
        <f>VLOOKUP(L1146&amp;TEXT(I1146,"mmmm")&amp;YEAR(I1146),'[1]Detalle C-Fecha'!$D$2:$E$15921,2,FALSE)</f>
        <v>ADA_CH - Danone Arg. S.A. - Chascomus</v>
      </c>
    </row>
    <row r="1147" spans="1:19" x14ac:dyDescent="0.3">
      <c r="A1147">
        <v>36477</v>
      </c>
      <c r="B1147" t="s">
        <v>28</v>
      </c>
      <c r="C1147" t="s">
        <v>15</v>
      </c>
      <c r="D1147" t="s">
        <v>16</v>
      </c>
      <c r="E1147" t="s">
        <v>137</v>
      </c>
      <c r="F1147" s="6" t="str">
        <f t="shared" si="17"/>
        <v>7ML</v>
      </c>
      <c r="G1147" s="7">
        <v>46200</v>
      </c>
      <c r="H1147" s="8">
        <v>0.40208333333333335</v>
      </c>
      <c r="I1147" s="7">
        <v>46200</v>
      </c>
      <c r="J1147" s="1">
        <v>46200</v>
      </c>
      <c r="K1147" s="1">
        <v>46200</v>
      </c>
      <c r="L1147" t="s">
        <v>104</v>
      </c>
      <c r="M1147" t="s">
        <v>129</v>
      </c>
      <c r="N1147" t="s">
        <v>208</v>
      </c>
      <c r="O1147" t="s">
        <v>24</v>
      </c>
      <c r="P1147">
        <v>30593</v>
      </c>
      <c r="Q1147" t="s">
        <v>19</v>
      </c>
      <c r="R1147">
        <v>44823</v>
      </c>
      <c r="S1147" t="str">
        <f>VLOOKUP(L1147&amp;TEXT(I1147,"mmmm")&amp;YEAR(I1147),'[1]Detalle C-Fecha'!$D$2:$E$15921,2,FALSE)</f>
        <v>ADA_CH - Danone Arg. S.A. - Chascomus</v>
      </c>
    </row>
    <row r="1148" spans="1:19" x14ac:dyDescent="0.3">
      <c r="A1148">
        <v>36477</v>
      </c>
      <c r="B1148" t="s">
        <v>28</v>
      </c>
      <c r="C1148" t="s">
        <v>15</v>
      </c>
      <c r="D1148" t="s">
        <v>16</v>
      </c>
      <c r="E1148" t="s">
        <v>137</v>
      </c>
      <c r="F1148" s="6" t="str">
        <f t="shared" si="17"/>
        <v>7ML</v>
      </c>
      <c r="G1148" s="7">
        <v>46200</v>
      </c>
      <c r="H1148" s="8">
        <v>0.40208333333333335</v>
      </c>
      <c r="I1148" s="7">
        <v>46200</v>
      </c>
      <c r="J1148" s="1">
        <v>46200</v>
      </c>
      <c r="K1148" s="1">
        <v>46200</v>
      </c>
      <c r="L1148" t="s">
        <v>104</v>
      </c>
      <c r="M1148" t="s">
        <v>129</v>
      </c>
      <c r="N1148" t="s">
        <v>208</v>
      </c>
      <c r="O1148" t="s">
        <v>24</v>
      </c>
      <c r="P1148">
        <v>30593</v>
      </c>
      <c r="Q1148" t="s">
        <v>19</v>
      </c>
      <c r="R1148">
        <v>44991</v>
      </c>
      <c r="S1148" t="str">
        <f>VLOOKUP(L1148&amp;TEXT(I1148,"mmmm")&amp;YEAR(I1148),'[1]Detalle C-Fecha'!$D$2:$E$15921,2,FALSE)</f>
        <v>ADA_CH - Danone Arg. S.A. - Chascomus</v>
      </c>
    </row>
    <row r="1149" spans="1:19" x14ac:dyDescent="0.3">
      <c r="A1149">
        <v>36513</v>
      </c>
      <c r="B1149" t="s">
        <v>28</v>
      </c>
      <c r="C1149" t="s">
        <v>15</v>
      </c>
      <c r="D1149" t="s">
        <v>16</v>
      </c>
      <c r="E1149" t="s">
        <v>108</v>
      </c>
      <c r="F1149" s="6" t="str">
        <f t="shared" si="17"/>
        <v>2MU</v>
      </c>
      <c r="G1149" s="7">
        <v>46203</v>
      </c>
      <c r="H1149" s="8">
        <v>0.50138888888888888</v>
      </c>
      <c r="I1149" s="7">
        <v>46197</v>
      </c>
      <c r="J1149" s="1">
        <v>46197</v>
      </c>
      <c r="K1149" s="1">
        <v>46197</v>
      </c>
      <c r="L1149" t="s">
        <v>281</v>
      </c>
      <c r="M1149" t="s">
        <v>161</v>
      </c>
      <c r="N1149" t="s">
        <v>17</v>
      </c>
      <c r="O1149" t="s">
        <v>25</v>
      </c>
      <c r="P1149">
        <v>30631</v>
      </c>
      <c r="Q1149" t="s">
        <v>19</v>
      </c>
      <c r="R1149">
        <v>44435</v>
      </c>
      <c r="S1149" t="str">
        <f>VLOOKUP(L1149&amp;TEXT(I1149,"mmmm")&amp;YEAR(I1149),'[1]Detalle C-Fecha'!$D$2:$E$15921,2,FALSE)</f>
        <v>SUC_SLU - Sucursal San Luis</v>
      </c>
    </row>
    <row r="1150" spans="1:19" x14ac:dyDescent="0.3">
      <c r="A1150">
        <v>36513</v>
      </c>
      <c r="B1150" t="s">
        <v>28</v>
      </c>
      <c r="C1150" t="s">
        <v>15</v>
      </c>
      <c r="D1150" t="s">
        <v>16</v>
      </c>
      <c r="E1150" t="s">
        <v>108</v>
      </c>
      <c r="F1150" s="6" t="str">
        <f t="shared" si="17"/>
        <v>2MU</v>
      </c>
      <c r="G1150" s="7">
        <v>46203</v>
      </c>
      <c r="H1150" s="8">
        <v>0.50138888888888888</v>
      </c>
      <c r="I1150" s="7">
        <v>46197</v>
      </c>
      <c r="J1150" s="1">
        <v>46197</v>
      </c>
      <c r="K1150" s="1">
        <v>46197</v>
      </c>
      <c r="L1150" t="s">
        <v>281</v>
      </c>
      <c r="M1150" t="s">
        <v>161</v>
      </c>
      <c r="N1150" t="s">
        <v>17</v>
      </c>
      <c r="O1150" t="s">
        <v>25</v>
      </c>
      <c r="P1150">
        <v>30631</v>
      </c>
      <c r="Q1150" t="s">
        <v>19</v>
      </c>
      <c r="R1150">
        <v>44436</v>
      </c>
      <c r="S1150" t="str">
        <f>VLOOKUP(L1150&amp;TEXT(I1150,"mmmm")&amp;YEAR(I1150),'[1]Detalle C-Fecha'!$D$2:$E$15921,2,FALSE)</f>
        <v>SUC_SLU - Sucursal San Luis</v>
      </c>
    </row>
    <row r="1151" spans="1:19" x14ac:dyDescent="0.3">
      <c r="A1151">
        <v>36514</v>
      </c>
      <c r="B1151" t="s">
        <v>28</v>
      </c>
      <c r="C1151" t="s">
        <v>15</v>
      </c>
      <c r="D1151" t="s">
        <v>16</v>
      </c>
      <c r="E1151" t="s">
        <v>109</v>
      </c>
      <c r="F1151" s="6" t="str">
        <f t="shared" ref="F1151:F1214" si="18">MID(E1151,1,3)</f>
        <v>3MU</v>
      </c>
      <c r="G1151" s="7">
        <v>46203</v>
      </c>
      <c r="H1151" s="8">
        <v>0.50138888888888888</v>
      </c>
      <c r="I1151" s="7">
        <v>46197</v>
      </c>
      <c r="J1151" s="1">
        <v>46197</v>
      </c>
      <c r="K1151" s="1">
        <v>46197</v>
      </c>
      <c r="L1151" t="s">
        <v>281</v>
      </c>
      <c r="M1151" t="s">
        <v>161</v>
      </c>
      <c r="N1151" t="s">
        <v>17</v>
      </c>
      <c r="O1151" t="s">
        <v>25</v>
      </c>
      <c r="P1151">
        <v>30632</v>
      </c>
      <c r="Q1151" t="s">
        <v>19</v>
      </c>
      <c r="R1151">
        <v>44437</v>
      </c>
      <c r="S1151" t="str">
        <f>VLOOKUP(L1151&amp;TEXT(I1151,"mmmm")&amp;YEAR(I1151),'[1]Detalle C-Fecha'!$D$2:$E$15921,2,FALSE)</f>
        <v>SUC_SLU - Sucursal San Luis</v>
      </c>
    </row>
    <row r="1152" spans="1:19" x14ac:dyDescent="0.3">
      <c r="A1152">
        <v>36514</v>
      </c>
      <c r="B1152" t="s">
        <v>28</v>
      </c>
      <c r="C1152" t="s">
        <v>15</v>
      </c>
      <c r="D1152" t="s">
        <v>16</v>
      </c>
      <c r="E1152" t="s">
        <v>109</v>
      </c>
      <c r="F1152" s="6" t="str">
        <f t="shared" si="18"/>
        <v>3MU</v>
      </c>
      <c r="G1152" s="7">
        <v>46203</v>
      </c>
      <c r="H1152" s="8">
        <v>0.50138888888888888</v>
      </c>
      <c r="I1152" s="7">
        <v>46197</v>
      </c>
      <c r="J1152" s="1">
        <v>46197</v>
      </c>
      <c r="K1152" s="1">
        <v>46197</v>
      </c>
      <c r="L1152" t="s">
        <v>281</v>
      </c>
      <c r="M1152" t="s">
        <v>161</v>
      </c>
      <c r="N1152" t="s">
        <v>17</v>
      </c>
      <c r="O1152" t="s">
        <v>25</v>
      </c>
      <c r="P1152">
        <v>30632</v>
      </c>
      <c r="Q1152" t="s">
        <v>19</v>
      </c>
      <c r="R1152">
        <v>44438</v>
      </c>
      <c r="S1152" t="str">
        <f>VLOOKUP(L1152&amp;TEXT(I1152,"mmmm")&amp;YEAR(I1152),'[1]Detalle C-Fecha'!$D$2:$E$15921,2,FALSE)</f>
        <v>SUC_SLU - Sucursal San Luis</v>
      </c>
    </row>
    <row r="1153" spans="1:19" x14ac:dyDescent="0.3">
      <c r="A1153">
        <v>36515</v>
      </c>
      <c r="B1153" t="s">
        <v>28</v>
      </c>
      <c r="C1153" t="s">
        <v>15</v>
      </c>
      <c r="D1153" t="s">
        <v>16</v>
      </c>
      <c r="E1153" t="s">
        <v>107</v>
      </c>
      <c r="F1153" s="6" t="str">
        <f t="shared" si="18"/>
        <v>4MU</v>
      </c>
      <c r="G1153" s="7">
        <v>46203</v>
      </c>
      <c r="H1153" s="8">
        <v>0.50138888888888888</v>
      </c>
      <c r="I1153" s="7">
        <v>46197</v>
      </c>
      <c r="J1153" s="1">
        <v>46197</v>
      </c>
      <c r="K1153" s="1">
        <v>46197</v>
      </c>
      <c r="L1153" t="s">
        <v>281</v>
      </c>
      <c r="M1153" t="s">
        <v>161</v>
      </c>
      <c r="N1153" t="s">
        <v>17</v>
      </c>
      <c r="O1153" t="s">
        <v>25</v>
      </c>
      <c r="P1153">
        <v>30633</v>
      </c>
      <c r="Q1153" t="s">
        <v>19</v>
      </c>
      <c r="R1153">
        <v>44439</v>
      </c>
      <c r="S1153" t="str">
        <f>VLOOKUP(L1153&amp;TEXT(I1153,"mmmm")&amp;YEAR(I1153),'[1]Detalle C-Fecha'!$D$2:$E$15921,2,FALSE)</f>
        <v>SUC_SLU - Sucursal San Luis</v>
      </c>
    </row>
    <row r="1154" spans="1:19" x14ac:dyDescent="0.3">
      <c r="A1154">
        <v>36515</v>
      </c>
      <c r="B1154" t="s">
        <v>28</v>
      </c>
      <c r="C1154" t="s">
        <v>15</v>
      </c>
      <c r="D1154" t="s">
        <v>16</v>
      </c>
      <c r="E1154" t="s">
        <v>107</v>
      </c>
      <c r="F1154" s="6" t="str">
        <f t="shared" si="18"/>
        <v>4MU</v>
      </c>
      <c r="G1154" s="7">
        <v>46203</v>
      </c>
      <c r="H1154" s="8">
        <v>0.50138888888888888</v>
      </c>
      <c r="I1154" s="7">
        <v>46197</v>
      </c>
      <c r="J1154" s="1">
        <v>46197</v>
      </c>
      <c r="K1154" s="1">
        <v>46197</v>
      </c>
      <c r="L1154" t="s">
        <v>281</v>
      </c>
      <c r="M1154" t="s">
        <v>161</v>
      </c>
      <c r="N1154" t="s">
        <v>17</v>
      </c>
      <c r="O1154" t="s">
        <v>25</v>
      </c>
      <c r="P1154">
        <v>30633</v>
      </c>
      <c r="Q1154" t="s">
        <v>19</v>
      </c>
      <c r="R1154">
        <v>44440</v>
      </c>
      <c r="S1154" t="str">
        <f>VLOOKUP(L1154&amp;TEXT(I1154,"mmmm")&amp;YEAR(I1154),'[1]Detalle C-Fecha'!$D$2:$E$15921,2,FALSE)</f>
        <v>SUC_SLU - Sucursal San Luis</v>
      </c>
    </row>
    <row r="1155" spans="1:19" x14ac:dyDescent="0.3">
      <c r="A1155">
        <v>36516</v>
      </c>
      <c r="B1155" t="s">
        <v>28</v>
      </c>
      <c r="C1155" t="s">
        <v>15</v>
      </c>
      <c r="D1155" t="s">
        <v>16</v>
      </c>
      <c r="E1155" t="s">
        <v>35</v>
      </c>
      <c r="F1155" s="6" t="str">
        <f t="shared" si="18"/>
        <v>2ML</v>
      </c>
      <c r="G1155" s="7">
        <v>46203</v>
      </c>
      <c r="H1155" s="8">
        <v>0.50138888888888888</v>
      </c>
      <c r="I1155" s="7">
        <v>46197</v>
      </c>
      <c r="J1155" s="1">
        <v>46197</v>
      </c>
      <c r="K1155" s="1">
        <v>46197</v>
      </c>
      <c r="L1155" t="s">
        <v>282</v>
      </c>
      <c r="M1155">
        <v>1633</v>
      </c>
      <c r="N1155" t="s">
        <v>17</v>
      </c>
      <c r="O1155" t="s">
        <v>25</v>
      </c>
      <c r="P1155">
        <v>30634</v>
      </c>
      <c r="Q1155" t="s">
        <v>19</v>
      </c>
      <c r="R1155">
        <v>44441</v>
      </c>
      <c r="S1155" t="str">
        <f>VLOOKUP(L1155&amp;TEXT(I1155,"mmmm")&amp;YEAR(I1155),'[1]Detalle C-Fecha'!$D$2:$E$15921,2,FALSE)</f>
        <v>Expreso - Servicios Troncales</v>
      </c>
    </row>
    <row r="1156" spans="1:19" x14ac:dyDescent="0.3">
      <c r="A1156">
        <v>36516</v>
      </c>
      <c r="B1156" t="s">
        <v>28</v>
      </c>
      <c r="C1156" t="s">
        <v>15</v>
      </c>
      <c r="D1156" t="s">
        <v>16</v>
      </c>
      <c r="E1156" t="s">
        <v>35</v>
      </c>
      <c r="F1156" s="6" t="str">
        <f t="shared" si="18"/>
        <v>2ML</v>
      </c>
      <c r="G1156" s="7">
        <v>46203</v>
      </c>
      <c r="H1156" s="8">
        <v>0.50138888888888888</v>
      </c>
      <c r="I1156" s="7">
        <v>46197</v>
      </c>
      <c r="J1156" s="1">
        <v>46197</v>
      </c>
      <c r="K1156" s="1">
        <v>46197</v>
      </c>
      <c r="L1156" t="s">
        <v>282</v>
      </c>
      <c r="M1156">
        <v>1633</v>
      </c>
      <c r="N1156" t="s">
        <v>17</v>
      </c>
      <c r="O1156" t="s">
        <v>25</v>
      </c>
      <c r="P1156">
        <v>30634</v>
      </c>
      <c r="Q1156" t="s">
        <v>19</v>
      </c>
      <c r="R1156">
        <v>44442</v>
      </c>
      <c r="S1156" t="str">
        <f>VLOOKUP(L1156&amp;TEXT(I1156,"mmmm")&amp;YEAR(I1156),'[1]Detalle C-Fecha'!$D$2:$E$15921,2,FALSE)</f>
        <v>Expreso - Servicios Troncales</v>
      </c>
    </row>
    <row r="1157" spans="1:19" x14ac:dyDescent="0.3">
      <c r="A1157">
        <v>36517</v>
      </c>
      <c r="B1157" t="s">
        <v>28</v>
      </c>
      <c r="C1157" t="s">
        <v>15</v>
      </c>
      <c r="D1157" t="s">
        <v>16</v>
      </c>
      <c r="E1157" t="s">
        <v>47</v>
      </c>
      <c r="F1157" s="6" t="str">
        <f t="shared" si="18"/>
        <v>3ML</v>
      </c>
      <c r="G1157" s="7">
        <v>46203</v>
      </c>
      <c r="H1157" s="8">
        <v>0.50138888888888888</v>
      </c>
      <c r="I1157" s="7">
        <v>46197</v>
      </c>
      <c r="J1157" s="1">
        <v>46197</v>
      </c>
      <c r="K1157" s="1">
        <v>46197</v>
      </c>
      <c r="L1157" t="s">
        <v>282</v>
      </c>
      <c r="M1157">
        <v>1633</v>
      </c>
      <c r="N1157" t="s">
        <v>17</v>
      </c>
      <c r="O1157" t="s">
        <v>25</v>
      </c>
      <c r="P1157">
        <v>30635</v>
      </c>
      <c r="Q1157" t="s">
        <v>19</v>
      </c>
      <c r="R1157">
        <v>44445</v>
      </c>
      <c r="S1157" t="str">
        <f>VLOOKUP(L1157&amp;TEXT(I1157,"mmmm")&amp;YEAR(I1157),'[1]Detalle C-Fecha'!$D$2:$E$15921,2,FALSE)</f>
        <v>Expreso - Servicios Troncales</v>
      </c>
    </row>
    <row r="1158" spans="1:19" x14ac:dyDescent="0.3">
      <c r="A1158">
        <v>36517</v>
      </c>
      <c r="B1158" t="s">
        <v>28</v>
      </c>
      <c r="C1158" t="s">
        <v>15</v>
      </c>
      <c r="D1158" t="s">
        <v>16</v>
      </c>
      <c r="E1158" t="s">
        <v>47</v>
      </c>
      <c r="F1158" s="6" t="str">
        <f t="shared" si="18"/>
        <v>3ML</v>
      </c>
      <c r="G1158" s="7">
        <v>46203</v>
      </c>
      <c r="H1158" s="8">
        <v>0.50138888888888888</v>
      </c>
      <c r="I1158" s="7">
        <v>46197</v>
      </c>
      <c r="J1158" s="1">
        <v>46197</v>
      </c>
      <c r="K1158" s="1">
        <v>46197</v>
      </c>
      <c r="L1158" t="s">
        <v>282</v>
      </c>
      <c r="M1158">
        <v>1633</v>
      </c>
      <c r="N1158" t="s">
        <v>17</v>
      </c>
      <c r="O1158" t="s">
        <v>25</v>
      </c>
      <c r="P1158">
        <v>30635</v>
      </c>
      <c r="Q1158" t="s">
        <v>19</v>
      </c>
      <c r="R1158">
        <v>44446</v>
      </c>
      <c r="S1158" t="str">
        <f>VLOOKUP(L1158&amp;TEXT(I1158,"mmmm")&amp;YEAR(I1158),'[1]Detalle C-Fecha'!$D$2:$E$15921,2,FALSE)</f>
        <v>Expreso - Servicios Troncales</v>
      </c>
    </row>
    <row r="1159" spans="1:19" x14ac:dyDescent="0.3">
      <c r="A1159">
        <v>36518</v>
      </c>
      <c r="B1159" t="s">
        <v>28</v>
      </c>
      <c r="C1159" t="s">
        <v>15</v>
      </c>
      <c r="D1159" t="s">
        <v>16</v>
      </c>
      <c r="E1159" t="s">
        <v>46</v>
      </c>
      <c r="F1159" s="6" t="str">
        <f t="shared" si="18"/>
        <v>6ML</v>
      </c>
      <c r="G1159" s="7">
        <v>46203</v>
      </c>
      <c r="H1159" s="8">
        <v>0.50138888888888888</v>
      </c>
      <c r="I1159" s="7">
        <v>46197</v>
      </c>
      <c r="J1159" s="1">
        <v>46197</v>
      </c>
      <c r="K1159" s="1">
        <v>46197</v>
      </c>
      <c r="L1159" t="s">
        <v>282</v>
      </c>
      <c r="M1159">
        <v>1633</v>
      </c>
      <c r="N1159" t="s">
        <v>17</v>
      </c>
      <c r="O1159" t="s">
        <v>25</v>
      </c>
      <c r="P1159">
        <v>30636</v>
      </c>
      <c r="Q1159" t="s">
        <v>19</v>
      </c>
      <c r="R1159">
        <v>44443</v>
      </c>
      <c r="S1159" t="str">
        <f>VLOOKUP(L1159&amp;TEXT(I1159,"mmmm")&amp;YEAR(I1159),'[1]Detalle C-Fecha'!$D$2:$E$15921,2,FALSE)</f>
        <v>Expreso - Servicios Troncales</v>
      </c>
    </row>
    <row r="1160" spans="1:19" x14ac:dyDescent="0.3">
      <c r="A1160">
        <v>36518</v>
      </c>
      <c r="B1160" t="s">
        <v>28</v>
      </c>
      <c r="C1160" t="s">
        <v>15</v>
      </c>
      <c r="D1160" t="s">
        <v>16</v>
      </c>
      <c r="E1160" t="s">
        <v>46</v>
      </c>
      <c r="F1160" s="6" t="str">
        <f t="shared" si="18"/>
        <v>6ML</v>
      </c>
      <c r="G1160" s="7">
        <v>46203</v>
      </c>
      <c r="H1160" s="8">
        <v>0.50138888888888888</v>
      </c>
      <c r="I1160" s="7">
        <v>46197</v>
      </c>
      <c r="J1160" s="1">
        <v>46197</v>
      </c>
      <c r="K1160" s="1">
        <v>46197</v>
      </c>
      <c r="L1160" t="s">
        <v>282</v>
      </c>
      <c r="M1160">
        <v>1633</v>
      </c>
      <c r="N1160" t="s">
        <v>17</v>
      </c>
      <c r="O1160" t="s">
        <v>25</v>
      </c>
      <c r="P1160">
        <v>30636</v>
      </c>
      <c r="Q1160" t="s">
        <v>19</v>
      </c>
      <c r="R1160">
        <v>44444</v>
      </c>
      <c r="S1160" t="str">
        <f>VLOOKUP(L1160&amp;TEXT(I1160,"mmmm")&amp;YEAR(I1160),'[1]Detalle C-Fecha'!$D$2:$E$15921,2,FALSE)</f>
        <v>Expreso - Servicios Troncales</v>
      </c>
    </row>
    <row r="1161" spans="1:19" x14ac:dyDescent="0.3">
      <c r="A1161">
        <v>36530</v>
      </c>
      <c r="B1161" t="s">
        <v>28</v>
      </c>
      <c r="C1161" t="s">
        <v>15</v>
      </c>
      <c r="D1161" t="s">
        <v>16</v>
      </c>
      <c r="E1161" t="s">
        <v>109</v>
      </c>
      <c r="F1161" s="6" t="str">
        <f t="shared" si="18"/>
        <v>3MU</v>
      </c>
      <c r="G1161" s="7">
        <v>46203</v>
      </c>
      <c r="H1161" s="8">
        <v>0.64097222222222217</v>
      </c>
      <c r="I1161" s="7">
        <v>46200</v>
      </c>
      <c r="J1161" s="1">
        <v>46200</v>
      </c>
      <c r="K1161" s="1">
        <v>46200</v>
      </c>
      <c r="L1161" t="s">
        <v>160</v>
      </c>
      <c r="M1161" t="s">
        <v>161</v>
      </c>
      <c r="N1161" t="s">
        <v>17</v>
      </c>
      <c r="O1161" t="s">
        <v>25</v>
      </c>
      <c r="P1161">
        <v>30685</v>
      </c>
      <c r="Q1161" t="s">
        <v>19</v>
      </c>
      <c r="R1161">
        <v>44501</v>
      </c>
      <c r="S1161" t="str">
        <f>VLOOKUP(L1161&amp;TEXT(I1161,"mmmm")&amp;YEAR(I1161),'[1]Detalle C-Fecha'!$D$2:$E$15921,2,FALSE)</f>
        <v>SUC_MEN - Sucursal Mendoza</v>
      </c>
    </row>
    <row r="1162" spans="1:19" x14ac:dyDescent="0.3">
      <c r="A1162">
        <v>36530</v>
      </c>
      <c r="B1162" t="s">
        <v>28</v>
      </c>
      <c r="C1162" t="s">
        <v>15</v>
      </c>
      <c r="D1162" t="s">
        <v>16</v>
      </c>
      <c r="E1162" t="s">
        <v>109</v>
      </c>
      <c r="F1162" s="6" t="str">
        <f t="shared" si="18"/>
        <v>3MU</v>
      </c>
      <c r="G1162" s="7">
        <v>46203</v>
      </c>
      <c r="H1162" s="8">
        <v>0.64097222222222217</v>
      </c>
      <c r="I1162" s="7">
        <v>46200</v>
      </c>
      <c r="J1162" s="1">
        <v>46200</v>
      </c>
      <c r="K1162" s="1">
        <v>46200</v>
      </c>
      <c r="L1162" t="s">
        <v>160</v>
      </c>
      <c r="M1162" t="s">
        <v>161</v>
      </c>
      <c r="N1162" t="s">
        <v>17</v>
      </c>
      <c r="O1162" t="s">
        <v>25</v>
      </c>
      <c r="P1162">
        <v>30685</v>
      </c>
      <c r="Q1162" t="s">
        <v>19</v>
      </c>
      <c r="R1162">
        <v>44502</v>
      </c>
      <c r="S1162" t="str">
        <f>VLOOKUP(L1162&amp;TEXT(I1162,"mmmm")&amp;YEAR(I1162),'[1]Detalle C-Fecha'!$D$2:$E$15921,2,FALSE)</f>
        <v>SUC_MEN - Sucursal Mendoza</v>
      </c>
    </row>
    <row r="1163" spans="1:19" x14ac:dyDescent="0.3">
      <c r="A1163">
        <v>36531</v>
      </c>
      <c r="B1163" t="s">
        <v>28</v>
      </c>
      <c r="C1163" t="s">
        <v>15</v>
      </c>
      <c r="D1163" t="s">
        <v>16</v>
      </c>
      <c r="E1163" t="s">
        <v>107</v>
      </c>
      <c r="F1163" s="6" t="str">
        <f t="shared" si="18"/>
        <v>4MU</v>
      </c>
      <c r="G1163" s="7">
        <v>46203</v>
      </c>
      <c r="H1163" s="8">
        <v>0.64097222222222217</v>
      </c>
      <c r="I1163" s="7">
        <v>46200</v>
      </c>
      <c r="J1163" s="1">
        <v>46200</v>
      </c>
      <c r="K1163" s="1">
        <v>46200</v>
      </c>
      <c r="L1163" t="s">
        <v>160</v>
      </c>
      <c r="M1163" t="s">
        <v>161</v>
      </c>
      <c r="N1163" t="s">
        <v>17</v>
      </c>
      <c r="O1163" t="s">
        <v>25</v>
      </c>
      <c r="P1163">
        <v>30684</v>
      </c>
      <c r="Q1163" t="s">
        <v>19</v>
      </c>
      <c r="R1163">
        <v>44499</v>
      </c>
      <c r="S1163" t="str">
        <f>VLOOKUP(L1163&amp;TEXT(I1163,"mmmm")&amp;YEAR(I1163),'[1]Detalle C-Fecha'!$D$2:$E$15921,2,FALSE)</f>
        <v>SUC_MEN - Sucursal Mendoza</v>
      </c>
    </row>
    <row r="1164" spans="1:19" x14ac:dyDescent="0.3">
      <c r="A1164">
        <v>36531</v>
      </c>
      <c r="B1164" t="s">
        <v>28</v>
      </c>
      <c r="C1164" t="s">
        <v>15</v>
      </c>
      <c r="D1164" t="s">
        <v>16</v>
      </c>
      <c r="E1164" t="s">
        <v>107</v>
      </c>
      <c r="F1164" s="6" t="str">
        <f t="shared" si="18"/>
        <v>4MU</v>
      </c>
      <c r="G1164" s="7">
        <v>46203</v>
      </c>
      <c r="H1164" s="8">
        <v>0.64097222222222217</v>
      </c>
      <c r="I1164" s="7">
        <v>46200</v>
      </c>
      <c r="J1164" s="1">
        <v>46200</v>
      </c>
      <c r="K1164" s="1">
        <v>46200</v>
      </c>
      <c r="L1164" t="s">
        <v>160</v>
      </c>
      <c r="M1164" t="s">
        <v>161</v>
      </c>
      <c r="N1164" t="s">
        <v>17</v>
      </c>
      <c r="O1164" t="s">
        <v>25</v>
      </c>
      <c r="P1164">
        <v>30684</v>
      </c>
      <c r="Q1164" t="s">
        <v>19</v>
      </c>
      <c r="R1164">
        <v>44500</v>
      </c>
      <c r="S1164" t="str">
        <f>VLOOKUP(L1164&amp;TEXT(I1164,"mmmm")&amp;YEAR(I1164),'[1]Detalle C-Fecha'!$D$2:$E$15921,2,FALSE)</f>
        <v>SUC_MEN - Sucursal Mendoza</v>
      </c>
    </row>
    <row r="1165" spans="1:19" x14ac:dyDescent="0.3">
      <c r="A1165">
        <v>36532</v>
      </c>
      <c r="B1165" t="s">
        <v>28</v>
      </c>
      <c r="C1165" t="s">
        <v>15</v>
      </c>
      <c r="D1165" t="s">
        <v>16</v>
      </c>
      <c r="E1165" t="s">
        <v>110</v>
      </c>
      <c r="F1165" s="6" t="str">
        <f t="shared" si="18"/>
        <v>5MU</v>
      </c>
      <c r="G1165" s="7">
        <v>46203</v>
      </c>
      <c r="H1165" s="8">
        <v>0.65208333333333335</v>
      </c>
      <c r="I1165" s="7">
        <v>46200</v>
      </c>
      <c r="J1165" s="1">
        <v>46200</v>
      </c>
      <c r="K1165" s="1">
        <v>46200</v>
      </c>
      <c r="L1165" t="s">
        <v>160</v>
      </c>
      <c r="M1165" t="s">
        <v>161</v>
      </c>
      <c r="N1165" t="s">
        <v>17</v>
      </c>
      <c r="O1165" t="s">
        <v>25</v>
      </c>
      <c r="P1165">
        <v>30687</v>
      </c>
      <c r="Q1165" t="s">
        <v>19</v>
      </c>
      <c r="R1165">
        <v>44497</v>
      </c>
      <c r="S1165" t="str">
        <f>VLOOKUP(L1165&amp;TEXT(I1165,"mmmm")&amp;YEAR(I1165),'[1]Detalle C-Fecha'!$D$2:$E$15921,2,FALSE)</f>
        <v>SUC_MEN - Sucursal Mendoza</v>
      </c>
    </row>
    <row r="1166" spans="1:19" x14ac:dyDescent="0.3">
      <c r="A1166">
        <v>36532</v>
      </c>
      <c r="B1166" t="s">
        <v>28</v>
      </c>
      <c r="C1166" t="s">
        <v>15</v>
      </c>
      <c r="D1166" t="s">
        <v>16</v>
      </c>
      <c r="E1166" t="s">
        <v>110</v>
      </c>
      <c r="F1166" s="6" t="str">
        <f t="shared" si="18"/>
        <v>5MU</v>
      </c>
      <c r="G1166" s="7">
        <v>46203</v>
      </c>
      <c r="H1166" s="8">
        <v>0.65208333333333335</v>
      </c>
      <c r="I1166" s="7">
        <v>46200</v>
      </c>
      <c r="J1166" s="1">
        <v>46200</v>
      </c>
      <c r="K1166" s="1">
        <v>46200</v>
      </c>
      <c r="L1166" t="s">
        <v>160</v>
      </c>
      <c r="M1166" t="s">
        <v>161</v>
      </c>
      <c r="N1166" t="s">
        <v>17</v>
      </c>
      <c r="O1166" t="s">
        <v>25</v>
      </c>
      <c r="P1166">
        <v>30687</v>
      </c>
      <c r="Q1166" t="s">
        <v>19</v>
      </c>
      <c r="R1166">
        <v>44498</v>
      </c>
      <c r="S1166" t="str">
        <f>VLOOKUP(L1166&amp;TEXT(I1166,"mmmm")&amp;YEAR(I1166),'[1]Detalle C-Fecha'!$D$2:$E$15921,2,FALSE)</f>
        <v>SUC_MEN - Sucursal Mendoza</v>
      </c>
    </row>
    <row r="1167" spans="1:19" x14ac:dyDescent="0.3">
      <c r="A1167">
        <v>36636</v>
      </c>
      <c r="B1167" t="s">
        <v>28</v>
      </c>
      <c r="C1167" t="s">
        <v>15</v>
      </c>
      <c r="D1167" t="s">
        <v>16</v>
      </c>
      <c r="E1167" t="s">
        <v>115</v>
      </c>
      <c r="F1167" s="6" t="str">
        <f t="shared" si="18"/>
        <v>2ML</v>
      </c>
      <c r="G1167" s="7">
        <v>46204</v>
      </c>
      <c r="H1167" s="8">
        <v>0.33402777777777781</v>
      </c>
      <c r="I1167" s="7">
        <v>46204</v>
      </c>
      <c r="J1167" s="1"/>
      <c r="K1167" s="1">
        <v>46213</v>
      </c>
      <c r="L1167" t="s">
        <v>69</v>
      </c>
      <c r="M1167" t="s">
        <v>129</v>
      </c>
      <c r="N1167" t="s">
        <v>208</v>
      </c>
      <c r="O1167" t="s">
        <v>24</v>
      </c>
      <c r="P1167">
        <v>30708</v>
      </c>
      <c r="Q1167" t="s">
        <v>19</v>
      </c>
      <c r="R1167">
        <v>44991</v>
      </c>
      <c r="S1167" t="str">
        <f>VLOOKUP(L1167&amp;TEXT(I1167,"mmmm")&amp;YEAR(I1167),'[1]Detalle C-Fecha'!$D$2:$E$15921,2,FALSE)</f>
        <v>ADA_CH - Danone Arg. S.A. - Chascomus</v>
      </c>
    </row>
    <row r="1168" spans="1:19" x14ac:dyDescent="0.3">
      <c r="A1168">
        <v>36636</v>
      </c>
      <c r="B1168" t="s">
        <v>28</v>
      </c>
      <c r="C1168" t="s">
        <v>15</v>
      </c>
      <c r="D1168" t="s">
        <v>16</v>
      </c>
      <c r="E1168" t="s">
        <v>115</v>
      </c>
      <c r="F1168" s="6" t="str">
        <f t="shared" si="18"/>
        <v>2ML</v>
      </c>
      <c r="G1168" s="7">
        <v>46204</v>
      </c>
      <c r="H1168" s="8">
        <v>0.33402777777777781</v>
      </c>
      <c r="I1168" s="7">
        <v>46204</v>
      </c>
      <c r="J1168" s="1"/>
      <c r="K1168" s="1">
        <v>46213</v>
      </c>
      <c r="L1168" t="s">
        <v>69</v>
      </c>
      <c r="M1168" t="s">
        <v>129</v>
      </c>
      <c r="N1168" t="s">
        <v>208</v>
      </c>
      <c r="O1168" t="s">
        <v>24</v>
      </c>
      <c r="P1168">
        <v>30708</v>
      </c>
      <c r="Q1168" t="s">
        <v>19</v>
      </c>
      <c r="R1168">
        <v>44942</v>
      </c>
      <c r="S1168" t="str">
        <f>VLOOKUP(L1168&amp;TEXT(I1168,"mmmm")&amp;YEAR(I1168),'[1]Detalle C-Fecha'!$D$2:$E$15921,2,FALSE)</f>
        <v>ADA_CH - Danone Arg. S.A. - Chascomus</v>
      </c>
    </row>
    <row r="1169" spans="1:19" x14ac:dyDescent="0.3">
      <c r="A1169">
        <v>36669</v>
      </c>
      <c r="B1169" t="s">
        <v>28</v>
      </c>
      <c r="C1169" t="s">
        <v>15</v>
      </c>
      <c r="D1169" t="s">
        <v>16</v>
      </c>
      <c r="E1169" t="s">
        <v>51</v>
      </c>
      <c r="F1169" s="6" t="str">
        <f t="shared" si="18"/>
        <v>2MC</v>
      </c>
      <c r="G1169" s="7">
        <v>46205</v>
      </c>
      <c r="H1169" s="8">
        <v>0.5131944444444444</v>
      </c>
      <c r="I1169" s="7">
        <v>46205</v>
      </c>
      <c r="J1169" s="1"/>
      <c r="K1169" s="1">
        <v>46213</v>
      </c>
      <c r="L1169" t="s">
        <v>283</v>
      </c>
      <c r="M1169" t="s">
        <v>178</v>
      </c>
      <c r="N1169" t="s">
        <v>208</v>
      </c>
      <c r="O1169" t="s">
        <v>27</v>
      </c>
      <c r="P1169">
        <v>30732</v>
      </c>
      <c r="Q1169" t="s">
        <v>19</v>
      </c>
      <c r="R1169">
        <v>44946</v>
      </c>
      <c r="S1169" t="str">
        <f>VLOOKUP(L1169&amp;TEXT(I1169,"mmmm")&amp;YEAR(I1169),'[1]Detalle C-Fecha'!$D$2:$E$15921,2,FALSE)</f>
        <v>Topacio</v>
      </c>
    </row>
    <row r="1170" spans="1:19" x14ac:dyDescent="0.3">
      <c r="A1170">
        <v>36669</v>
      </c>
      <c r="B1170" t="s">
        <v>28</v>
      </c>
      <c r="C1170" t="s">
        <v>15</v>
      </c>
      <c r="D1170" t="s">
        <v>16</v>
      </c>
      <c r="E1170" t="s">
        <v>51</v>
      </c>
      <c r="F1170" s="6" t="str">
        <f t="shared" si="18"/>
        <v>2MC</v>
      </c>
      <c r="G1170" s="7">
        <v>46205</v>
      </c>
      <c r="H1170" s="8">
        <v>0.5131944444444444</v>
      </c>
      <c r="I1170" s="7">
        <v>46205</v>
      </c>
      <c r="J1170" s="1"/>
      <c r="K1170" s="1">
        <v>46213</v>
      </c>
      <c r="L1170" t="s">
        <v>283</v>
      </c>
      <c r="M1170" t="s">
        <v>178</v>
      </c>
      <c r="N1170" t="s">
        <v>208</v>
      </c>
      <c r="O1170" t="s">
        <v>27</v>
      </c>
      <c r="P1170">
        <v>30732</v>
      </c>
      <c r="Q1170" t="s">
        <v>19</v>
      </c>
      <c r="R1170">
        <v>44995</v>
      </c>
      <c r="S1170" t="str">
        <f>VLOOKUP(L1170&amp;TEXT(I1170,"mmmm")&amp;YEAR(I1170),'[1]Detalle C-Fecha'!$D$2:$E$15921,2,FALSE)</f>
        <v>Topacio</v>
      </c>
    </row>
    <row r="1171" spans="1:19" x14ac:dyDescent="0.3">
      <c r="A1171">
        <v>36674</v>
      </c>
      <c r="B1171" t="s">
        <v>28</v>
      </c>
      <c r="C1171" t="s">
        <v>15</v>
      </c>
      <c r="D1171" t="s">
        <v>23</v>
      </c>
      <c r="E1171" t="s">
        <v>35</v>
      </c>
      <c r="F1171" s="6" t="str">
        <f t="shared" si="18"/>
        <v>2ML</v>
      </c>
      <c r="G1171" s="7">
        <v>46205</v>
      </c>
      <c r="H1171" s="8">
        <v>0.5229166666666667</v>
      </c>
      <c r="I1171" s="7">
        <v>46205</v>
      </c>
      <c r="J1171" s="1"/>
      <c r="K1171" s="1">
        <v>46213</v>
      </c>
      <c r="L1171" t="s">
        <v>284</v>
      </c>
      <c r="M1171" t="s">
        <v>126</v>
      </c>
      <c r="N1171" t="s">
        <v>208</v>
      </c>
      <c r="O1171" t="s">
        <v>27</v>
      </c>
      <c r="P1171">
        <v>30737</v>
      </c>
      <c r="Q1171" t="s">
        <v>123</v>
      </c>
      <c r="S1171" t="str">
        <f>VLOOKUP(L1171&amp;TEXT(I1171,"mmmm")&amp;YEAR(I1171),'[1]Detalle C-Fecha'!$D$2:$E$15921,2,FALSE)</f>
        <v>Unilever - Unilever de Arg. S.A.</v>
      </c>
    </row>
    <row r="1172" spans="1:19" x14ac:dyDescent="0.3">
      <c r="A1172">
        <v>36690</v>
      </c>
      <c r="B1172" t="s">
        <v>28</v>
      </c>
      <c r="C1172" t="s">
        <v>15</v>
      </c>
      <c r="D1172" t="s">
        <v>23</v>
      </c>
      <c r="E1172" t="s">
        <v>113</v>
      </c>
      <c r="F1172" s="6" t="str">
        <f t="shared" si="18"/>
        <v>2MC</v>
      </c>
      <c r="G1172" s="7">
        <v>46205</v>
      </c>
      <c r="H1172" s="8">
        <v>0.77361111111111114</v>
      </c>
      <c r="I1172" s="7">
        <v>46205</v>
      </c>
      <c r="J1172" s="1">
        <v>46205</v>
      </c>
      <c r="K1172" s="1">
        <v>46213</v>
      </c>
      <c r="L1172" t="s">
        <v>285</v>
      </c>
      <c r="M1172" t="s">
        <v>128</v>
      </c>
      <c r="N1172" t="s">
        <v>208</v>
      </c>
      <c r="O1172" t="s">
        <v>18</v>
      </c>
      <c r="P1172">
        <v>30751</v>
      </c>
      <c r="Q1172" t="s">
        <v>123</v>
      </c>
      <c r="S1172" t="str">
        <f>VLOOKUP(L1172&amp;TEXT(I1172,"mmmm")&amp;YEAR(I1172),'[1]Detalle C-Fecha'!$D$2:$E$15921,2,FALSE)</f>
        <v>CMQ_TTE - QUILMES TTE</v>
      </c>
    </row>
    <row r="1173" spans="1:19" x14ac:dyDescent="0.3">
      <c r="A1173">
        <v>36699</v>
      </c>
      <c r="B1173" t="s">
        <v>28</v>
      </c>
      <c r="C1173" t="s">
        <v>15</v>
      </c>
      <c r="D1173" t="s">
        <v>23</v>
      </c>
      <c r="E1173" t="s">
        <v>51</v>
      </c>
      <c r="F1173" s="6" t="str">
        <f t="shared" si="18"/>
        <v>2MC</v>
      </c>
      <c r="G1173" s="7">
        <v>46206</v>
      </c>
      <c r="H1173" s="8">
        <v>0.39305555555555555</v>
      </c>
      <c r="I1173" s="7">
        <v>46206</v>
      </c>
      <c r="J1173" s="1"/>
      <c r="K1173" s="1">
        <v>46213</v>
      </c>
      <c r="L1173" t="s">
        <v>286</v>
      </c>
      <c r="M1173">
        <v>1620</v>
      </c>
      <c r="N1173" t="s">
        <v>208</v>
      </c>
      <c r="O1173" t="s">
        <v>27</v>
      </c>
      <c r="P1173">
        <v>30759</v>
      </c>
      <c r="Q1173" t="s">
        <v>123</v>
      </c>
      <c r="S1173" t="str">
        <f>VLOOKUP(L1173&amp;TEXT(I1173,"mmmm")&amp;YEAR(I1173),'[1]Detalle C-Fecha'!$D$2:$E$15921,2,FALSE)</f>
        <v>Molca</v>
      </c>
    </row>
    <row r="1174" spans="1:19" x14ac:dyDescent="0.3">
      <c r="A1174">
        <v>36891</v>
      </c>
      <c r="B1174" t="s">
        <v>28</v>
      </c>
      <c r="C1174" t="s">
        <v>15</v>
      </c>
      <c r="D1174" t="s">
        <v>23</v>
      </c>
      <c r="E1174" t="s">
        <v>115</v>
      </c>
      <c r="F1174" s="6" t="str">
        <f t="shared" si="18"/>
        <v>2ML</v>
      </c>
      <c r="G1174" s="7">
        <v>46209</v>
      </c>
      <c r="H1174" s="8">
        <v>0.37847222222222227</v>
      </c>
      <c r="I1174" s="7">
        <v>46209</v>
      </c>
      <c r="J1174" s="1"/>
      <c r="K1174" s="1">
        <v>46213</v>
      </c>
      <c r="L1174" t="s">
        <v>64</v>
      </c>
      <c r="M1174" t="s">
        <v>129</v>
      </c>
      <c r="N1174" s="9" t="s">
        <v>208</v>
      </c>
      <c r="O1174" t="s">
        <v>24</v>
      </c>
      <c r="P1174">
        <v>30842</v>
      </c>
      <c r="Q1174" t="s">
        <v>123</v>
      </c>
      <c r="S1174" t="str">
        <f>VLOOKUP(L1174&amp;TEXT(I1174,"mmmm")&amp;YEAR(I1174),'[1]Detalle C-Fecha'!$D$2:$E$15921,2,FALSE)</f>
        <v>ADA_CH - Danone Arg. S.A. - Chascomus</v>
      </c>
    </row>
    <row r="1175" spans="1:19" x14ac:dyDescent="0.3">
      <c r="A1175">
        <v>37038</v>
      </c>
      <c r="B1175" t="s">
        <v>28</v>
      </c>
      <c r="C1175" t="s">
        <v>15</v>
      </c>
      <c r="D1175" t="s">
        <v>16</v>
      </c>
      <c r="E1175" t="s">
        <v>51</v>
      </c>
      <c r="F1175" s="6" t="str">
        <f t="shared" si="18"/>
        <v>2MC</v>
      </c>
      <c r="G1175" s="7">
        <v>46210</v>
      </c>
      <c r="H1175" s="8">
        <v>0.82152777777777775</v>
      </c>
      <c r="I1175" s="7">
        <v>46210</v>
      </c>
      <c r="J1175" s="1">
        <v>46210</v>
      </c>
      <c r="K1175" s="1">
        <v>46210</v>
      </c>
      <c r="L1175" t="s">
        <v>287</v>
      </c>
      <c r="M1175" t="s">
        <v>128</v>
      </c>
      <c r="N1175" s="9" t="s">
        <v>208</v>
      </c>
      <c r="O1175" t="s">
        <v>18</v>
      </c>
      <c r="P1175">
        <v>30926</v>
      </c>
      <c r="Q1175" t="s">
        <v>19</v>
      </c>
      <c r="R1175">
        <v>44990</v>
      </c>
      <c r="S1175" t="str">
        <f>VLOOKUP(L1175&amp;TEXT(I1175,"mmmm")&amp;YEAR(I1175),'[1]Detalle C-Fecha'!$D$2:$E$15921,2,FALSE)</f>
        <v>CMQ_TTE - QUILMES TTE</v>
      </c>
    </row>
    <row r="1176" spans="1:19" x14ac:dyDescent="0.3">
      <c r="A1176">
        <v>37038</v>
      </c>
      <c r="B1176" t="s">
        <v>28</v>
      </c>
      <c r="C1176" t="s">
        <v>15</v>
      </c>
      <c r="D1176" t="s">
        <v>16</v>
      </c>
      <c r="E1176" t="s">
        <v>51</v>
      </c>
      <c r="F1176" s="6" t="str">
        <f t="shared" si="18"/>
        <v>2MC</v>
      </c>
      <c r="G1176" s="7">
        <v>46210</v>
      </c>
      <c r="H1176" s="8">
        <v>0.82152777777777775</v>
      </c>
      <c r="I1176" s="7">
        <v>46210</v>
      </c>
      <c r="J1176" s="1">
        <v>46210</v>
      </c>
      <c r="K1176" s="1">
        <v>46210</v>
      </c>
      <c r="L1176" t="s">
        <v>287</v>
      </c>
      <c r="M1176" t="s">
        <v>128</v>
      </c>
      <c r="N1176" s="9" t="s">
        <v>208</v>
      </c>
      <c r="O1176" t="s">
        <v>18</v>
      </c>
      <c r="P1176">
        <v>30926</v>
      </c>
      <c r="Q1176" t="s">
        <v>19</v>
      </c>
      <c r="R1176">
        <v>44974</v>
      </c>
      <c r="S1176" t="str">
        <f>VLOOKUP(L1176&amp;TEXT(I1176,"mmmm")&amp;YEAR(I1176),'[1]Detalle C-Fecha'!$D$2:$E$15921,2,FALSE)</f>
        <v>CMQ_TTE - QUILMES TTE</v>
      </c>
    </row>
    <row r="1177" spans="1:19" x14ac:dyDescent="0.3">
      <c r="A1177">
        <v>37051</v>
      </c>
      <c r="B1177" t="s">
        <v>28</v>
      </c>
      <c r="C1177" t="s">
        <v>15</v>
      </c>
      <c r="D1177" t="s">
        <v>16</v>
      </c>
      <c r="E1177" t="s">
        <v>35</v>
      </c>
      <c r="F1177" s="6" t="str">
        <f t="shared" si="18"/>
        <v>2ML</v>
      </c>
      <c r="G1177" s="7">
        <v>46211</v>
      </c>
      <c r="H1177" s="8">
        <v>0.3611111111111111</v>
      </c>
      <c r="I1177" s="7">
        <v>46211</v>
      </c>
      <c r="J1177" s="1">
        <v>46211</v>
      </c>
      <c r="K1177" s="1">
        <v>46211</v>
      </c>
      <c r="L1177" t="s">
        <v>288</v>
      </c>
      <c r="M1177" t="s">
        <v>146</v>
      </c>
      <c r="N1177" s="9" t="s">
        <v>208</v>
      </c>
      <c r="O1177" t="s">
        <v>27</v>
      </c>
      <c r="P1177">
        <v>30938</v>
      </c>
      <c r="Q1177" t="s">
        <v>19</v>
      </c>
      <c r="R1177">
        <v>44980</v>
      </c>
      <c r="S1177" t="str">
        <f>VLOOKUP(L1177&amp;TEXT(I1177,"mmmm")&amp;YEAR(I1177),'[1]Detalle C-Fecha'!$D$2:$E$15921,2,FALSE)</f>
        <v>Arcor S.A.I.C.</v>
      </c>
    </row>
    <row r="1178" spans="1:19" x14ac:dyDescent="0.3">
      <c r="A1178">
        <v>37051</v>
      </c>
      <c r="B1178" t="s">
        <v>28</v>
      </c>
      <c r="C1178" t="s">
        <v>15</v>
      </c>
      <c r="D1178" t="s">
        <v>16</v>
      </c>
      <c r="E1178" t="s">
        <v>35</v>
      </c>
      <c r="F1178" s="6" t="str">
        <f t="shared" si="18"/>
        <v>2ML</v>
      </c>
      <c r="G1178" s="7">
        <v>46211</v>
      </c>
      <c r="H1178" s="8">
        <v>0.3611111111111111</v>
      </c>
      <c r="I1178" s="7">
        <v>46211</v>
      </c>
      <c r="J1178" s="1">
        <v>46211</v>
      </c>
      <c r="K1178" s="1">
        <v>46211</v>
      </c>
      <c r="L1178" t="s">
        <v>288</v>
      </c>
      <c r="M1178" t="s">
        <v>146</v>
      </c>
      <c r="N1178" s="9" t="s">
        <v>208</v>
      </c>
      <c r="O1178" t="s">
        <v>27</v>
      </c>
      <c r="P1178">
        <v>30938</v>
      </c>
      <c r="Q1178" t="s">
        <v>19</v>
      </c>
      <c r="R1178">
        <v>44995</v>
      </c>
      <c r="S1178" t="str">
        <f>VLOOKUP(L1178&amp;TEXT(I1178,"mmmm")&amp;YEAR(I1178),'[1]Detalle C-Fecha'!$D$2:$E$15921,2,FALSE)</f>
        <v>Arcor S.A.I.C.</v>
      </c>
    </row>
    <row r="1179" spans="1:19" x14ac:dyDescent="0.3">
      <c r="A1179">
        <v>37217</v>
      </c>
      <c r="B1179" t="s">
        <v>28</v>
      </c>
      <c r="C1179" t="s">
        <v>124</v>
      </c>
      <c r="D1179" t="s">
        <v>23</v>
      </c>
      <c r="E1179" t="s">
        <v>35</v>
      </c>
      <c r="F1179" s="6" t="str">
        <f t="shared" si="18"/>
        <v>2ML</v>
      </c>
      <c r="G1179" s="1">
        <v>46216</v>
      </c>
      <c r="H1179" s="13">
        <v>0.37083333333333335</v>
      </c>
      <c r="I1179" s="1">
        <v>46216</v>
      </c>
      <c r="J1179" s="1"/>
      <c r="K1179" s="1"/>
      <c r="L1179" t="s">
        <v>181</v>
      </c>
      <c r="M1179" t="s">
        <v>126</v>
      </c>
      <c r="N1179" t="s">
        <v>208</v>
      </c>
      <c r="O1179" t="s">
        <v>25</v>
      </c>
      <c r="P1179">
        <v>31025</v>
      </c>
      <c r="Q1179" t="s">
        <v>123</v>
      </c>
      <c r="S1179" t="str">
        <f>VLOOKUP(L1179&amp;TEXT(I1179,"mmmm")&amp;YEAR(I1179),'[1]Detalle C-Fecha'!$D$2:$E$15921,2,FALSE)</f>
        <v>Expreso - Servicios Troncales</v>
      </c>
    </row>
    <row r="1180" spans="1:19" x14ac:dyDescent="0.3">
      <c r="A1180">
        <v>37230</v>
      </c>
      <c r="B1180" t="s">
        <v>28</v>
      </c>
      <c r="C1180" t="s">
        <v>15</v>
      </c>
      <c r="D1180" t="s">
        <v>16</v>
      </c>
      <c r="E1180" t="s">
        <v>118</v>
      </c>
      <c r="F1180" s="6" t="str">
        <f t="shared" si="18"/>
        <v>2ML</v>
      </c>
      <c r="G1180" s="1">
        <v>46216</v>
      </c>
      <c r="H1180" s="13">
        <v>0.5493055555555556</v>
      </c>
      <c r="I1180" s="1">
        <v>46216</v>
      </c>
      <c r="J1180" s="1">
        <v>46217</v>
      </c>
      <c r="K1180" s="1">
        <v>46217</v>
      </c>
      <c r="L1180" t="s">
        <v>56</v>
      </c>
      <c r="M1180" t="s">
        <v>142</v>
      </c>
      <c r="N1180" t="s">
        <v>17</v>
      </c>
      <c r="O1180" t="s">
        <v>25</v>
      </c>
      <c r="P1180">
        <v>31036</v>
      </c>
      <c r="Q1180" t="s">
        <v>19</v>
      </c>
      <c r="R1180">
        <v>44949</v>
      </c>
      <c r="S1180" t="str">
        <f>VLOOKUP(L1180&amp;TEXT(I1180,"mmmm")&amp;YEAR(I1180),'[1]Detalle C-Fecha'!$D$2:$E$15921,2,FALSE)</f>
        <v>Expreso - Servicios Troncales</v>
      </c>
    </row>
    <row r="1181" spans="1:19" x14ac:dyDescent="0.3">
      <c r="A1181">
        <v>37230</v>
      </c>
      <c r="B1181" t="s">
        <v>28</v>
      </c>
      <c r="C1181" t="s">
        <v>15</v>
      </c>
      <c r="D1181" t="s">
        <v>16</v>
      </c>
      <c r="E1181" t="s">
        <v>118</v>
      </c>
      <c r="F1181" s="6" t="str">
        <f t="shared" si="18"/>
        <v>2ML</v>
      </c>
      <c r="G1181" s="1">
        <v>46216</v>
      </c>
      <c r="H1181" s="13">
        <v>0.5493055555555556</v>
      </c>
      <c r="I1181" s="1">
        <v>46216</v>
      </c>
      <c r="J1181" s="1">
        <v>46217</v>
      </c>
      <c r="K1181" s="1">
        <v>46217</v>
      </c>
      <c r="L1181" t="s">
        <v>56</v>
      </c>
      <c r="M1181" t="s">
        <v>142</v>
      </c>
      <c r="N1181" t="s">
        <v>17</v>
      </c>
      <c r="O1181" t="s">
        <v>25</v>
      </c>
      <c r="P1181">
        <v>31036</v>
      </c>
      <c r="Q1181" t="s">
        <v>19</v>
      </c>
      <c r="R1181">
        <v>44950</v>
      </c>
      <c r="S1181" t="str">
        <f>VLOOKUP(L1181&amp;TEXT(I1181,"mmmm")&amp;YEAR(I1181),'[1]Detalle C-Fecha'!$D$2:$E$15921,2,FALSE)</f>
        <v>Expreso - Servicios Troncales</v>
      </c>
    </row>
    <row r="1182" spans="1:19" x14ac:dyDescent="0.3">
      <c r="A1182">
        <v>37250</v>
      </c>
      <c r="B1182" t="s">
        <v>28</v>
      </c>
      <c r="C1182" t="s">
        <v>15</v>
      </c>
      <c r="D1182" t="s">
        <v>23</v>
      </c>
      <c r="E1182" t="s">
        <v>113</v>
      </c>
      <c r="F1182" s="6" t="str">
        <f t="shared" si="18"/>
        <v>2MC</v>
      </c>
      <c r="G1182" s="1">
        <v>46216</v>
      </c>
      <c r="H1182" s="13">
        <v>0.68194444444444446</v>
      </c>
      <c r="I1182" s="1">
        <v>46216</v>
      </c>
      <c r="J1182" s="1">
        <v>46216</v>
      </c>
      <c r="K1182" s="1">
        <v>46216</v>
      </c>
      <c r="L1182" t="s">
        <v>289</v>
      </c>
      <c r="M1182" t="s">
        <v>290</v>
      </c>
      <c r="N1182" t="s">
        <v>208</v>
      </c>
      <c r="O1182" t="s">
        <v>27</v>
      </c>
      <c r="P1182">
        <v>31046</v>
      </c>
      <c r="Q1182" t="s">
        <v>123</v>
      </c>
      <c r="S1182" t="str">
        <f>VLOOKUP(L1182&amp;TEXT(I1182,"mmmm")&amp;YEAR(I1182),'[1]Detalle C-Fecha'!$D$2:$E$15921,2,FALSE)</f>
        <v>CCUCoAZA</v>
      </c>
    </row>
    <row r="1183" spans="1:19" x14ac:dyDescent="0.3">
      <c r="A1183">
        <v>37256</v>
      </c>
      <c r="B1183" t="s">
        <v>28</v>
      </c>
      <c r="C1183" t="s">
        <v>15</v>
      </c>
      <c r="D1183" t="s">
        <v>23</v>
      </c>
      <c r="E1183" t="s">
        <v>51</v>
      </c>
      <c r="F1183" s="6" t="str">
        <f t="shared" si="18"/>
        <v>2MC</v>
      </c>
      <c r="G1183" s="1">
        <v>46217</v>
      </c>
      <c r="H1183" s="13">
        <v>0.4381944444444445</v>
      </c>
      <c r="I1183" s="1">
        <v>46217</v>
      </c>
      <c r="J1183" s="1">
        <v>46217</v>
      </c>
      <c r="K1183" s="1">
        <v>46217</v>
      </c>
      <c r="L1183" t="s">
        <v>291</v>
      </c>
      <c r="M1183">
        <v>710</v>
      </c>
      <c r="N1183" t="s">
        <v>31</v>
      </c>
      <c r="O1183" t="s">
        <v>25</v>
      </c>
      <c r="P1183">
        <v>31050</v>
      </c>
      <c r="Q1183" t="s">
        <v>123</v>
      </c>
      <c r="S1183" t="str">
        <f>VLOOKUP(L1183&amp;TEXT(I1183,"mmmm")&amp;YEAR(I1183),'[1]Detalle C-Fecha'!$D$2:$E$15921,2,FALSE)</f>
        <v>SUC_GAL - Sucursal General Alvear</v>
      </c>
    </row>
    <row r="1184" spans="1:19" x14ac:dyDescent="0.3">
      <c r="A1184">
        <v>37283</v>
      </c>
      <c r="B1184" t="s">
        <v>28</v>
      </c>
      <c r="C1184" t="s">
        <v>15</v>
      </c>
      <c r="D1184" t="s">
        <v>23</v>
      </c>
      <c r="E1184" t="s">
        <v>51</v>
      </c>
      <c r="F1184" s="6" t="str">
        <f t="shared" si="18"/>
        <v>2MC</v>
      </c>
      <c r="G1184" s="1">
        <v>46217</v>
      </c>
      <c r="H1184" s="13">
        <v>0.79722222222222217</v>
      </c>
      <c r="I1184" s="1">
        <v>46217</v>
      </c>
      <c r="J1184" s="1">
        <v>46217</v>
      </c>
      <c r="K1184" s="1">
        <v>46217</v>
      </c>
      <c r="L1184" t="s">
        <v>292</v>
      </c>
      <c r="M1184" t="s">
        <v>293</v>
      </c>
      <c r="N1184" t="s">
        <v>208</v>
      </c>
      <c r="O1184" t="s">
        <v>18</v>
      </c>
      <c r="P1184">
        <v>31073</v>
      </c>
      <c r="Q1184" t="s">
        <v>123</v>
      </c>
      <c r="S1184" t="str">
        <f>VLOOKUP(L1184&amp;TEXT(I1184,"mmmm")&amp;YEAR(I1184),'[1]Detalle C-Fecha'!$D$2:$E$15921,2,FALSE)</f>
        <v>CMQ_TTE - QUILMES TTE</v>
      </c>
    </row>
    <row r="1185" spans="1:19" x14ac:dyDescent="0.3">
      <c r="A1185">
        <v>37467</v>
      </c>
      <c r="B1185" t="s">
        <v>28</v>
      </c>
      <c r="C1185" t="s">
        <v>124</v>
      </c>
      <c r="D1185" t="s">
        <v>23</v>
      </c>
      <c r="E1185" t="s">
        <v>115</v>
      </c>
      <c r="F1185" s="6" t="str">
        <f t="shared" si="18"/>
        <v>2ML</v>
      </c>
      <c r="G1185" s="1">
        <v>46220</v>
      </c>
      <c r="H1185" s="13">
        <v>0.5625</v>
      </c>
      <c r="I1185" s="1">
        <v>46220</v>
      </c>
      <c r="J1185" s="1"/>
      <c r="K1185" s="1"/>
      <c r="L1185" t="s">
        <v>55</v>
      </c>
      <c r="M1185" t="s">
        <v>131</v>
      </c>
      <c r="N1185" t="s">
        <v>208</v>
      </c>
      <c r="O1185" t="s">
        <v>25</v>
      </c>
      <c r="P1185">
        <v>31202</v>
      </c>
      <c r="Q1185" t="s">
        <v>123</v>
      </c>
      <c r="S1185" t="str">
        <f>VLOOKUP(L1185&amp;TEXT(I1185,"mmmm")&amp;YEAR(I1185),'[1]Detalle C-Fecha'!$D$2:$E$15921,2,FALSE)</f>
        <v>Expreso - Servicios Troncales</v>
      </c>
    </row>
    <row r="1186" spans="1:19" x14ac:dyDescent="0.3">
      <c r="A1186">
        <v>37515</v>
      </c>
      <c r="B1186" t="s">
        <v>28</v>
      </c>
      <c r="C1186" t="s">
        <v>15</v>
      </c>
      <c r="D1186" t="s">
        <v>16</v>
      </c>
      <c r="E1186" t="s">
        <v>121</v>
      </c>
      <c r="F1186" s="6" t="str">
        <f t="shared" si="18"/>
        <v>2MC</v>
      </c>
      <c r="G1186" s="1">
        <v>46224</v>
      </c>
      <c r="H1186" s="13">
        <v>0.45069444444444445</v>
      </c>
      <c r="I1186" s="1">
        <v>46219</v>
      </c>
      <c r="J1186" s="1">
        <v>46219</v>
      </c>
      <c r="K1186" s="1">
        <v>46219</v>
      </c>
      <c r="L1186" t="s">
        <v>294</v>
      </c>
      <c r="M1186">
        <v>1624</v>
      </c>
      <c r="N1186" t="s">
        <v>17</v>
      </c>
      <c r="O1186" t="s">
        <v>24</v>
      </c>
      <c r="P1186">
        <v>31276</v>
      </c>
      <c r="Q1186" t="s">
        <v>19</v>
      </c>
      <c r="R1186">
        <v>45120</v>
      </c>
      <c r="S1186" t="str">
        <f>VLOOKUP(L1186&amp;TEXT(I1186,"mmmm")&amp;YEAR(I1186),'[1]Detalle C-Fecha'!$D$2:$E$15921,2,FALSE)</f>
        <v>CENCO_SJ - Cencosud SA - San Juan</v>
      </c>
    </row>
    <row r="1187" spans="1:19" x14ac:dyDescent="0.3">
      <c r="A1187">
        <v>37515</v>
      </c>
      <c r="B1187" t="s">
        <v>28</v>
      </c>
      <c r="C1187" t="s">
        <v>15</v>
      </c>
      <c r="D1187" t="s">
        <v>16</v>
      </c>
      <c r="E1187" t="s">
        <v>121</v>
      </c>
      <c r="F1187" s="6" t="str">
        <f t="shared" si="18"/>
        <v>2MC</v>
      </c>
      <c r="G1187" s="1">
        <v>46224</v>
      </c>
      <c r="H1187" s="13">
        <v>0.45069444444444445</v>
      </c>
      <c r="I1187" s="1">
        <v>46219</v>
      </c>
      <c r="J1187" s="1">
        <v>46219</v>
      </c>
      <c r="K1187" s="1">
        <v>46219</v>
      </c>
      <c r="L1187" t="s">
        <v>294</v>
      </c>
      <c r="M1187">
        <v>1624</v>
      </c>
      <c r="N1187" t="s">
        <v>17</v>
      </c>
      <c r="O1187" t="s">
        <v>24</v>
      </c>
      <c r="P1187">
        <v>31276</v>
      </c>
      <c r="Q1187" t="s">
        <v>19</v>
      </c>
      <c r="R1187">
        <v>45121</v>
      </c>
      <c r="S1187" t="str">
        <f>VLOOKUP(L1187&amp;TEXT(I1187,"mmmm")&amp;YEAR(I1187),'[1]Detalle C-Fecha'!$D$2:$E$15921,2,FALSE)</f>
        <v>CENCO_SJ - Cencosud SA - San Juan</v>
      </c>
    </row>
    <row r="1188" spans="1:19" x14ac:dyDescent="0.3">
      <c r="A1188">
        <v>37524</v>
      </c>
      <c r="B1188" t="s">
        <v>28</v>
      </c>
      <c r="C1188" t="s">
        <v>15</v>
      </c>
      <c r="D1188" t="s">
        <v>16</v>
      </c>
      <c r="E1188" t="s">
        <v>118</v>
      </c>
      <c r="F1188" s="6" t="str">
        <f t="shared" si="18"/>
        <v>2ML</v>
      </c>
      <c r="G1188" s="1">
        <v>46224</v>
      </c>
      <c r="H1188" s="13">
        <v>0.4861111111111111</v>
      </c>
      <c r="I1188" s="1">
        <v>46223</v>
      </c>
      <c r="J1188" s="1">
        <v>46223</v>
      </c>
      <c r="K1188" s="1">
        <v>46223</v>
      </c>
      <c r="L1188" t="s">
        <v>166</v>
      </c>
      <c r="M1188" t="s">
        <v>142</v>
      </c>
      <c r="N1188" t="s">
        <v>17</v>
      </c>
      <c r="O1188" t="s">
        <v>25</v>
      </c>
      <c r="P1188">
        <v>31302</v>
      </c>
      <c r="Q1188" t="s">
        <v>19</v>
      </c>
      <c r="R1188">
        <v>45124</v>
      </c>
      <c r="S1188" t="str">
        <f>VLOOKUP(L1188&amp;TEXT(I1188,"mmmm")&amp;YEAR(I1188),'[1]Detalle C-Fecha'!$D$2:$E$15921,2,FALSE)</f>
        <v>Expreso - Servicios Troncales</v>
      </c>
    </row>
    <row r="1189" spans="1:19" x14ac:dyDescent="0.3">
      <c r="A1189">
        <v>37524</v>
      </c>
      <c r="B1189" t="s">
        <v>28</v>
      </c>
      <c r="C1189" t="s">
        <v>15</v>
      </c>
      <c r="D1189" t="s">
        <v>16</v>
      </c>
      <c r="E1189" t="s">
        <v>118</v>
      </c>
      <c r="F1189" s="6" t="str">
        <f t="shared" si="18"/>
        <v>2ML</v>
      </c>
      <c r="G1189" s="1">
        <v>46224</v>
      </c>
      <c r="H1189" s="13">
        <v>0.4861111111111111</v>
      </c>
      <c r="I1189" s="1">
        <v>46223</v>
      </c>
      <c r="J1189" s="1">
        <v>46223</v>
      </c>
      <c r="K1189" s="1">
        <v>46223</v>
      </c>
      <c r="L1189" t="s">
        <v>166</v>
      </c>
      <c r="M1189" t="s">
        <v>142</v>
      </c>
      <c r="N1189" t="s">
        <v>17</v>
      </c>
      <c r="O1189" t="s">
        <v>25</v>
      </c>
      <c r="P1189">
        <v>31302</v>
      </c>
      <c r="Q1189" t="s">
        <v>19</v>
      </c>
      <c r="R1189">
        <v>45125</v>
      </c>
      <c r="S1189" t="str">
        <f>VLOOKUP(L1189&amp;TEXT(I1189,"mmmm")&amp;YEAR(I1189),'[1]Detalle C-Fecha'!$D$2:$E$15921,2,FALSE)</f>
        <v>Expreso - Servicios Troncales</v>
      </c>
    </row>
    <row r="1190" spans="1:19" x14ac:dyDescent="0.3">
      <c r="A1190">
        <v>37543</v>
      </c>
      <c r="B1190" t="s">
        <v>28</v>
      </c>
      <c r="C1190" t="s">
        <v>15</v>
      </c>
      <c r="D1190" t="s">
        <v>16</v>
      </c>
      <c r="E1190" t="s">
        <v>35</v>
      </c>
      <c r="F1190" s="6" t="str">
        <f t="shared" si="18"/>
        <v>2ML</v>
      </c>
      <c r="G1190" s="1">
        <v>46224</v>
      </c>
      <c r="H1190" s="13">
        <v>0.59027777777777779</v>
      </c>
      <c r="I1190" s="1">
        <v>46224</v>
      </c>
      <c r="J1190" s="1">
        <v>46224</v>
      </c>
      <c r="K1190" s="1">
        <v>46224</v>
      </c>
      <c r="L1190" t="s">
        <v>61</v>
      </c>
      <c r="M1190" t="s">
        <v>204</v>
      </c>
      <c r="N1190" t="s">
        <v>31</v>
      </c>
      <c r="O1190" t="s">
        <v>25</v>
      </c>
      <c r="P1190">
        <v>31234</v>
      </c>
      <c r="Q1190" t="s">
        <v>19</v>
      </c>
      <c r="R1190">
        <v>45098</v>
      </c>
      <c r="S1190" t="str">
        <f>VLOOKUP(L1190&amp;TEXT(I1190,"mmmm")&amp;YEAR(I1190),'[1]Detalle C-Fecha'!$D$2:$E$15921,2,FALSE)</f>
        <v>Expreso - Servicios Troncales</v>
      </c>
    </row>
    <row r="1191" spans="1:19" x14ac:dyDescent="0.3">
      <c r="A1191">
        <v>37543</v>
      </c>
      <c r="B1191" t="s">
        <v>28</v>
      </c>
      <c r="C1191" t="s">
        <v>15</v>
      </c>
      <c r="D1191" t="s">
        <v>16</v>
      </c>
      <c r="E1191" t="s">
        <v>35</v>
      </c>
      <c r="F1191" s="6" t="str">
        <f t="shared" si="18"/>
        <v>2ML</v>
      </c>
      <c r="G1191" s="1">
        <v>46224</v>
      </c>
      <c r="H1191" s="13">
        <v>0.59027777777777779</v>
      </c>
      <c r="I1191" s="1">
        <v>46224</v>
      </c>
      <c r="J1191" s="1">
        <v>46224</v>
      </c>
      <c r="K1191" s="1">
        <v>46224</v>
      </c>
      <c r="L1191" t="s">
        <v>61</v>
      </c>
      <c r="M1191" t="s">
        <v>204</v>
      </c>
      <c r="N1191" t="s">
        <v>31</v>
      </c>
      <c r="O1191" t="s">
        <v>25</v>
      </c>
      <c r="P1191">
        <v>31234</v>
      </c>
      <c r="Q1191" t="s">
        <v>19</v>
      </c>
      <c r="R1191">
        <v>45099</v>
      </c>
      <c r="S1191" t="str">
        <f>VLOOKUP(L1191&amp;TEXT(I1191,"mmmm")&amp;YEAR(I1191),'[1]Detalle C-Fecha'!$D$2:$E$15921,2,FALSE)</f>
        <v>Expreso - Servicios Troncales</v>
      </c>
    </row>
    <row r="1192" spans="1:19" x14ac:dyDescent="0.3">
      <c r="A1192">
        <v>37759</v>
      </c>
      <c r="B1192" t="s">
        <v>28</v>
      </c>
      <c r="C1192" t="s">
        <v>15</v>
      </c>
      <c r="D1192" t="s">
        <v>16</v>
      </c>
      <c r="E1192" t="s">
        <v>35</v>
      </c>
      <c r="F1192" s="6" t="str">
        <f t="shared" si="18"/>
        <v>2ML</v>
      </c>
      <c r="G1192" s="1">
        <v>46225</v>
      </c>
      <c r="H1192" s="13">
        <v>0.42569444444444443</v>
      </c>
      <c r="I1192" s="1">
        <v>46225</v>
      </c>
      <c r="J1192" s="1">
        <v>46225</v>
      </c>
      <c r="K1192" s="1">
        <v>46225</v>
      </c>
      <c r="L1192" t="s">
        <v>219</v>
      </c>
      <c r="M1192" t="s">
        <v>126</v>
      </c>
      <c r="N1192" t="s">
        <v>31</v>
      </c>
      <c r="O1192" t="s">
        <v>25</v>
      </c>
      <c r="P1192">
        <v>31373</v>
      </c>
      <c r="Q1192" t="s">
        <v>19</v>
      </c>
      <c r="R1192">
        <v>45086</v>
      </c>
      <c r="S1192" t="str">
        <f>VLOOKUP(L1192&amp;TEXT(I1192,"mmmm")&amp;YEAR(I1192),'[1]Detalle C-Fecha'!$D$2:$E$15921,2,FALSE)</f>
        <v>Expreso - Servicios Troncales</v>
      </c>
    </row>
    <row r="1193" spans="1:19" x14ac:dyDescent="0.3">
      <c r="A1193">
        <v>37759</v>
      </c>
      <c r="B1193" t="s">
        <v>28</v>
      </c>
      <c r="C1193" t="s">
        <v>15</v>
      </c>
      <c r="D1193" t="s">
        <v>16</v>
      </c>
      <c r="E1193" t="s">
        <v>35</v>
      </c>
      <c r="F1193" s="6" t="str">
        <f t="shared" si="18"/>
        <v>2ML</v>
      </c>
      <c r="G1193" s="1">
        <v>46225</v>
      </c>
      <c r="H1193" s="13">
        <v>0.42569444444444443</v>
      </c>
      <c r="I1193" s="1">
        <v>46225</v>
      </c>
      <c r="J1193" s="1">
        <v>46225</v>
      </c>
      <c r="K1193" s="1">
        <v>46225</v>
      </c>
      <c r="L1193" t="s">
        <v>219</v>
      </c>
      <c r="M1193" t="s">
        <v>126</v>
      </c>
      <c r="N1193" t="s">
        <v>31</v>
      </c>
      <c r="O1193" t="s">
        <v>25</v>
      </c>
      <c r="P1193">
        <v>31373</v>
      </c>
      <c r="Q1193" t="s">
        <v>19</v>
      </c>
      <c r="R1193">
        <v>45087</v>
      </c>
      <c r="S1193" t="str">
        <f>VLOOKUP(L1193&amp;TEXT(I1193,"mmmm")&amp;YEAR(I1193),'[1]Detalle C-Fecha'!$D$2:$E$15921,2,FALSE)</f>
        <v>Expreso - Servicios Troncales</v>
      </c>
    </row>
    <row r="1194" spans="1:19" x14ac:dyDescent="0.3">
      <c r="A1194">
        <v>37791</v>
      </c>
      <c r="B1194" t="s">
        <v>28</v>
      </c>
      <c r="C1194" t="s">
        <v>15</v>
      </c>
      <c r="D1194" t="s">
        <v>16</v>
      </c>
      <c r="E1194" t="s">
        <v>35</v>
      </c>
      <c r="F1194" s="6" t="str">
        <f t="shared" si="18"/>
        <v>2ML</v>
      </c>
      <c r="G1194" s="1">
        <v>46226</v>
      </c>
      <c r="H1194" s="13">
        <v>0.64513888888888882</v>
      </c>
      <c r="I1194" s="1">
        <v>46225</v>
      </c>
      <c r="J1194" s="1">
        <v>46225</v>
      </c>
      <c r="K1194" s="1">
        <v>46225</v>
      </c>
      <c r="L1194" t="s">
        <v>296</v>
      </c>
      <c r="M1194" t="s">
        <v>163</v>
      </c>
      <c r="N1194" t="s">
        <v>17</v>
      </c>
      <c r="O1194" t="s">
        <v>25</v>
      </c>
      <c r="P1194">
        <v>31403</v>
      </c>
      <c r="Q1194" t="s">
        <v>19</v>
      </c>
      <c r="R1194">
        <v>45134</v>
      </c>
      <c r="S1194" t="str">
        <f>VLOOKUP(L1194&amp;TEXT(I1194,"mmmm")&amp;YEAR(I1194),'[1]Detalle C-Fecha'!$D$2:$E$15921,2,FALSE)</f>
        <v>Expreso - Servicios Troncales</v>
      </c>
    </row>
    <row r="1195" spans="1:19" x14ac:dyDescent="0.3">
      <c r="A1195">
        <v>37791</v>
      </c>
      <c r="B1195" t="s">
        <v>28</v>
      </c>
      <c r="C1195" t="s">
        <v>15</v>
      </c>
      <c r="D1195" t="s">
        <v>16</v>
      </c>
      <c r="E1195" t="s">
        <v>35</v>
      </c>
      <c r="F1195" s="6" t="str">
        <f t="shared" si="18"/>
        <v>2ML</v>
      </c>
      <c r="G1195" s="1">
        <v>46226</v>
      </c>
      <c r="H1195" s="13">
        <v>0.64513888888888882</v>
      </c>
      <c r="I1195" s="1">
        <v>46225</v>
      </c>
      <c r="J1195" s="1">
        <v>46225</v>
      </c>
      <c r="K1195" s="1">
        <v>46225</v>
      </c>
      <c r="L1195" t="s">
        <v>296</v>
      </c>
      <c r="M1195" t="s">
        <v>163</v>
      </c>
      <c r="N1195" t="s">
        <v>17</v>
      </c>
      <c r="O1195" t="s">
        <v>25</v>
      </c>
      <c r="P1195">
        <v>31403</v>
      </c>
      <c r="Q1195" t="s">
        <v>19</v>
      </c>
      <c r="R1195">
        <v>45135</v>
      </c>
      <c r="S1195" t="str">
        <f>VLOOKUP(L1195&amp;TEXT(I1195,"mmmm")&amp;YEAR(I1195),'[1]Detalle C-Fecha'!$D$2:$E$15921,2,FALSE)</f>
        <v>Expreso - Servicios Troncales</v>
      </c>
    </row>
    <row r="1196" spans="1:19" x14ac:dyDescent="0.3">
      <c r="A1196">
        <v>37799</v>
      </c>
      <c r="B1196" t="s">
        <v>28</v>
      </c>
      <c r="C1196" t="s">
        <v>15</v>
      </c>
      <c r="D1196" t="s">
        <v>16</v>
      </c>
      <c r="E1196" t="s">
        <v>51</v>
      </c>
      <c r="F1196" s="6" t="str">
        <f t="shared" si="18"/>
        <v>2MC</v>
      </c>
      <c r="G1196" s="1">
        <v>46226</v>
      </c>
      <c r="H1196" s="13">
        <v>0.67499999999999993</v>
      </c>
      <c r="I1196" s="1">
        <v>46226</v>
      </c>
      <c r="J1196" s="1">
        <v>46226</v>
      </c>
      <c r="K1196" s="1">
        <v>46226</v>
      </c>
      <c r="L1196" t="s">
        <v>297</v>
      </c>
      <c r="M1196">
        <v>1624</v>
      </c>
      <c r="N1196" t="s">
        <v>17</v>
      </c>
      <c r="O1196" t="s">
        <v>24</v>
      </c>
      <c r="P1196">
        <v>31408</v>
      </c>
      <c r="Q1196" t="s">
        <v>19</v>
      </c>
      <c r="R1196">
        <v>45188</v>
      </c>
      <c r="S1196" t="str">
        <f>VLOOKUP(L1196&amp;TEXT(I1196,"mmmm")&amp;YEAR(I1196),'[1]Detalle C-Fecha'!$D$2:$E$15921,2,FALSE)</f>
        <v>Sin Operación</v>
      </c>
    </row>
    <row r="1197" spans="1:19" x14ac:dyDescent="0.3">
      <c r="A1197">
        <v>37799</v>
      </c>
      <c r="B1197" t="s">
        <v>28</v>
      </c>
      <c r="C1197" t="s">
        <v>15</v>
      </c>
      <c r="D1197" t="s">
        <v>16</v>
      </c>
      <c r="E1197" t="s">
        <v>51</v>
      </c>
      <c r="F1197" s="6" t="str">
        <f t="shared" si="18"/>
        <v>2MC</v>
      </c>
      <c r="G1197" s="1">
        <v>46226</v>
      </c>
      <c r="H1197" s="13">
        <v>0.67499999999999993</v>
      </c>
      <c r="I1197" s="1">
        <v>46226</v>
      </c>
      <c r="J1197" s="1">
        <v>46226</v>
      </c>
      <c r="K1197" s="1">
        <v>46226</v>
      </c>
      <c r="L1197" t="s">
        <v>297</v>
      </c>
      <c r="M1197">
        <v>1624</v>
      </c>
      <c r="N1197" t="s">
        <v>17</v>
      </c>
      <c r="O1197" t="s">
        <v>24</v>
      </c>
      <c r="P1197">
        <v>31408</v>
      </c>
      <c r="Q1197" t="s">
        <v>19</v>
      </c>
      <c r="R1197">
        <v>45189</v>
      </c>
      <c r="S1197" t="str">
        <f>VLOOKUP(L1197&amp;TEXT(I1197,"mmmm")&amp;YEAR(I1197),'[1]Detalle C-Fecha'!$D$2:$E$15921,2,FALSE)</f>
        <v>Sin Operación</v>
      </c>
    </row>
    <row r="1198" spans="1:19" x14ac:dyDescent="0.3">
      <c r="A1198">
        <v>37804</v>
      </c>
      <c r="B1198" t="s">
        <v>28</v>
      </c>
      <c r="C1198" t="s">
        <v>15</v>
      </c>
      <c r="D1198" t="s">
        <v>16</v>
      </c>
      <c r="E1198" t="s">
        <v>118</v>
      </c>
      <c r="F1198" s="6" t="str">
        <f t="shared" si="18"/>
        <v>2ML</v>
      </c>
      <c r="G1198" s="1">
        <v>46226</v>
      </c>
      <c r="H1198" s="13">
        <v>0.68958333333333333</v>
      </c>
      <c r="I1198" s="1">
        <v>46226</v>
      </c>
      <c r="J1198" s="1">
        <v>46226</v>
      </c>
      <c r="K1198" s="1">
        <v>46226</v>
      </c>
      <c r="L1198" t="s">
        <v>65</v>
      </c>
      <c r="M1198" t="s">
        <v>142</v>
      </c>
      <c r="N1198" t="s">
        <v>17</v>
      </c>
      <c r="O1198" t="s">
        <v>25</v>
      </c>
      <c r="P1198">
        <v>31413</v>
      </c>
      <c r="Q1198" t="s">
        <v>19</v>
      </c>
      <c r="R1198">
        <v>45176</v>
      </c>
      <c r="S1198" t="str">
        <f>VLOOKUP(L1198&amp;TEXT(I1198,"mmmm")&amp;YEAR(I1198),'[1]Detalle C-Fecha'!$D$2:$E$15921,2,FALSE)</f>
        <v>Expreso - Servicios Troncales</v>
      </c>
    </row>
    <row r="1199" spans="1:19" x14ac:dyDescent="0.3">
      <c r="A1199">
        <v>37804</v>
      </c>
      <c r="B1199" t="s">
        <v>28</v>
      </c>
      <c r="C1199" t="s">
        <v>15</v>
      </c>
      <c r="D1199" t="s">
        <v>16</v>
      </c>
      <c r="E1199" t="s">
        <v>118</v>
      </c>
      <c r="F1199" s="6" t="str">
        <f t="shared" si="18"/>
        <v>2ML</v>
      </c>
      <c r="G1199" s="1">
        <v>46226</v>
      </c>
      <c r="H1199" s="13">
        <v>0.68958333333333333</v>
      </c>
      <c r="I1199" s="1">
        <v>46226</v>
      </c>
      <c r="J1199" s="1">
        <v>46226</v>
      </c>
      <c r="K1199" s="1">
        <v>46226</v>
      </c>
      <c r="L1199" t="s">
        <v>65</v>
      </c>
      <c r="M1199" t="s">
        <v>142</v>
      </c>
      <c r="N1199" t="s">
        <v>17</v>
      </c>
      <c r="O1199" t="s">
        <v>25</v>
      </c>
      <c r="P1199">
        <v>31413</v>
      </c>
      <c r="Q1199" t="s">
        <v>19</v>
      </c>
      <c r="R1199">
        <v>45177</v>
      </c>
      <c r="S1199" t="str">
        <f>VLOOKUP(L1199&amp;TEXT(I1199,"mmmm")&amp;YEAR(I1199),'[1]Detalle C-Fecha'!$D$2:$E$15921,2,FALSE)</f>
        <v>Expreso - Servicios Troncales</v>
      </c>
    </row>
    <row r="1200" spans="1:19" x14ac:dyDescent="0.3">
      <c r="A1200">
        <v>37865</v>
      </c>
      <c r="B1200" t="s">
        <v>28</v>
      </c>
      <c r="C1200" t="s">
        <v>124</v>
      </c>
      <c r="D1200" t="s">
        <v>23</v>
      </c>
      <c r="E1200" t="s">
        <v>51</v>
      </c>
      <c r="F1200" s="6" t="str">
        <f t="shared" si="18"/>
        <v>2MC</v>
      </c>
      <c r="G1200" s="7">
        <v>46230</v>
      </c>
      <c r="H1200" s="8">
        <v>0.49374999999999997</v>
      </c>
      <c r="I1200" s="7">
        <v>46230</v>
      </c>
      <c r="J1200" s="1"/>
      <c r="K1200" s="1"/>
      <c r="L1200" t="s">
        <v>194</v>
      </c>
      <c r="M1200" t="s">
        <v>163</v>
      </c>
      <c r="N1200" s="9" t="s">
        <v>17</v>
      </c>
      <c r="O1200" t="s">
        <v>24</v>
      </c>
      <c r="P1200">
        <v>31463</v>
      </c>
      <c r="Q1200" t="s">
        <v>123</v>
      </c>
      <c r="S1200" t="str">
        <f>VLOOKUP(L1200&amp;TEXT(I1200,"mmmm")&amp;YEAR(I1200),'[1]Detalle C-Fecha'!$D$2:$E$15921,2,FALSE)</f>
        <v>CENCOMLD - Cencosud SA - Mendoza</v>
      </c>
    </row>
    <row r="1201" spans="1:19" x14ac:dyDescent="0.3">
      <c r="A1201">
        <v>37870</v>
      </c>
      <c r="B1201" t="s">
        <v>28</v>
      </c>
      <c r="C1201" t="s">
        <v>15</v>
      </c>
      <c r="D1201" t="s">
        <v>16</v>
      </c>
      <c r="E1201" t="s">
        <v>35</v>
      </c>
      <c r="F1201" s="6" t="str">
        <f t="shared" si="18"/>
        <v>2ML</v>
      </c>
      <c r="G1201" s="7">
        <v>46230</v>
      </c>
      <c r="H1201" s="8">
        <v>0.51250000000000007</v>
      </c>
      <c r="I1201" s="7">
        <v>46214</v>
      </c>
      <c r="J1201" s="1">
        <v>46214</v>
      </c>
      <c r="K1201" s="1">
        <v>46214</v>
      </c>
      <c r="L1201" t="s">
        <v>173</v>
      </c>
      <c r="M1201" t="s">
        <v>146</v>
      </c>
      <c r="N1201" s="9" t="s">
        <v>17</v>
      </c>
      <c r="O1201" t="s">
        <v>24</v>
      </c>
      <c r="P1201">
        <v>31468</v>
      </c>
      <c r="Q1201" t="s">
        <v>19</v>
      </c>
      <c r="R1201">
        <v>45115</v>
      </c>
      <c r="S1201" t="str">
        <f>VLOOKUP(L1201&amp;TEXT(I1201,"mmmm")&amp;YEAR(I1201),'[1]Detalle C-Fecha'!$D$2:$E$15921,2,FALSE)</f>
        <v>CENCOMLD - Cencosud SA - Mendoza</v>
      </c>
    </row>
    <row r="1202" spans="1:19" x14ac:dyDescent="0.3">
      <c r="A1202">
        <v>37870</v>
      </c>
      <c r="B1202" t="s">
        <v>28</v>
      </c>
      <c r="C1202" t="s">
        <v>15</v>
      </c>
      <c r="D1202" t="s">
        <v>16</v>
      </c>
      <c r="E1202" t="s">
        <v>35</v>
      </c>
      <c r="F1202" s="6" t="str">
        <f t="shared" si="18"/>
        <v>2ML</v>
      </c>
      <c r="G1202" s="7">
        <v>46230</v>
      </c>
      <c r="H1202" s="8">
        <v>0.51250000000000007</v>
      </c>
      <c r="I1202" s="7">
        <v>46214</v>
      </c>
      <c r="J1202" s="1">
        <v>46214</v>
      </c>
      <c r="K1202" s="1">
        <v>46214</v>
      </c>
      <c r="L1202" t="s">
        <v>173</v>
      </c>
      <c r="M1202" t="s">
        <v>146</v>
      </c>
      <c r="N1202" s="9" t="s">
        <v>17</v>
      </c>
      <c r="O1202" t="s">
        <v>24</v>
      </c>
      <c r="P1202">
        <v>31468</v>
      </c>
      <c r="Q1202" t="s">
        <v>19</v>
      </c>
      <c r="R1202">
        <v>45116</v>
      </c>
      <c r="S1202" t="str">
        <f>VLOOKUP(L1202&amp;TEXT(I1202,"mmmm")&amp;YEAR(I1202),'[1]Detalle C-Fecha'!$D$2:$E$15921,2,FALSE)</f>
        <v>CENCOMLD - Cencosud SA - Mendoza</v>
      </c>
    </row>
    <row r="1203" spans="1:19" x14ac:dyDescent="0.3">
      <c r="A1203">
        <v>38120</v>
      </c>
      <c r="B1203" t="s">
        <v>28</v>
      </c>
      <c r="C1203" t="s">
        <v>124</v>
      </c>
      <c r="D1203" t="s">
        <v>23</v>
      </c>
      <c r="E1203" t="s">
        <v>51</v>
      </c>
      <c r="F1203" s="6" t="str">
        <f t="shared" si="18"/>
        <v>2MC</v>
      </c>
      <c r="G1203" s="7">
        <v>46231</v>
      </c>
      <c r="H1203" s="8">
        <v>0.74861111111111101</v>
      </c>
      <c r="I1203" s="7">
        <v>46231</v>
      </c>
      <c r="J1203" s="1">
        <v>46231</v>
      </c>
      <c r="K1203" s="1">
        <v>46231</v>
      </c>
      <c r="L1203" t="s">
        <v>295</v>
      </c>
      <c r="M1203" t="s">
        <v>290</v>
      </c>
      <c r="N1203" s="9" t="s">
        <v>208</v>
      </c>
      <c r="O1203" t="s">
        <v>27</v>
      </c>
      <c r="P1203">
        <v>31597</v>
      </c>
      <c r="Q1203" t="s">
        <v>123</v>
      </c>
      <c r="S1203" t="str">
        <f>VLOOKUP(L1203&amp;TEXT(I1203,"mmmm")&amp;YEAR(I1203),'[1]Detalle C-Fecha'!$D$2:$E$15921,2,FALSE)</f>
        <v>CCUCoAZA</v>
      </c>
    </row>
    <row r="1204" spans="1:19" x14ac:dyDescent="0.3">
      <c r="A1204">
        <v>38128</v>
      </c>
      <c r="B1204" t="s">
        <v>28</v>
      </c>
      <c r="C1204" t="s">
        <v>124</v>
      </c>
      <c r="D1204" t="s">
        <v>23</v>
      </c>
      <c r="E1204" t="s">
        <v>35</v>
      </c>
      <c r="F1204" s="6" t="str">
        <f t="shared" si="18"/>
        <v>2ML</v>
      </c>
      <c r="G1204" s="7">
        <v>46232</v>
      </c>
      <c r="H1204" s="8">
        <v>0.4055555555555555</v>
      </c>
      <c r="I1204" s="7">
        <v>46232</v>
      </c>
      <c r="J1204" s="1">
        <v>46232</v>
      </c>
      <c r="K1204" s="1">
        <v>46232</v>
      </c>
      <c r="L1204" t="s">
        <v>240</v>
      </c>
      <c r="M1204" t="s">
        <v>142</v>
      </c>
      <c r="N1204" s="9" t="s">
        <v>31</v>
      </c>
      <c r="O1204" t="s">
        <v>25</v>
      </c>
      <c r="P1204">
        <v>31604</v>
      </c>
      <c r="Q1204" t="s">
        <v>123</v>
      </c>
      <c r="S1204" t="str">
        <f>VLOOKUP(L1204&amp;TEXT(I1204,"mmmm")&amp;YEAR(I1204),'[1]Detalle C-Fecha'!$D$2:$E$15921,2,FALSE)</f>
        <v>Expreso - Servicios Troncales</v>
      </c>
    </row>
    <row r="1205" spans="1:19" x14ac:dyDescent="0.3">
      <c r="A1205">
        <v>38170</v>
      </c>
      <c r="B1205" t="s">
        <v>28</v>
      </c>
      <c r="C1205" t="s">
        <v>124</v>
      </c>
      <c r="D1205" t="s">
        <v>23</v>
      </c>
      <c r="E1205" t="s">
        <v>115</v>
      </c>
      <c r="F1205" s="6" t="str">
        <f t="shared" si="18"/>
        <v>2ML</v>
      </c>
      <c r="G1205" s="7">
        <v>46232</v>
      </c>
      <c r="H1205" s="8">
        <v>0.66736111111111107</v>
      </c>
      <c r="I1205" s="7">
        <v>46232</v>
      </c>
      <c r="J1205" s="1"/>
      <c r="K1205" s="1"/>
      <c r="L1205" t="s">
        <v>73</v>
      </c>
      <c r="M1205" t="s">
        <v>204</v>
      </c>
      <c r="N1205" s="9" t="s">
        <v>17</v>
      </c>
      <c r="O1205" t="s">
        <v>25</v>
      </c>
      <c r="P1205">
        <v>31624</v>
      </c>
      <c r="Q1205" t="s">
        <v>123</v>
      </c>
      <c r="S1205" t="str">
        <f>VLOOKUP(L1205&amp;TEXT(I1205,"mmmm")&amp;YEAR(I1205),'[1]Detalle C-Fecha'!$D$2:$E$15921,2,FALSE)</f>
        <v>Expreso - Servicios Troncales</v>
      </c>
    </row>
    <row r="1206" spans="1:19" x14ac:dyDescent="0.3">
      <c r="A1206">
        <v>38374</v>
      </c>
      <c r="B1206" t="s">
        <v>28</v>
      </c>
      <c r="C1206" t="s">
        <v>15</v>
      </c>
      <c r="D1206" t="s">
        <v>16</v>
      </c>
      <c r="E1206" t="s">
        <v>108</v>
      </c>
      <c r="F1206" s="6" t="str">
        <f t="shared" si="18"/>
        <v>2MU</v>
      </c>
      <c r="G1206" s="7">
        <v>46235</v>
      </c>
      <c r="H1206" s="8">
        <v>0.4458333333333333</v>
      </c>
      <c r="I1206" s="7">
        <v>46234</v>
      </c>
      <c r="J1206" s="1">
        <v>46234</v>
      </c>
      <c r="K1206" s="1">
        <v>46234</v>
      </c>
      <c r="L1206" t="s">
        <v>102</v>
      </c>
      <c r="M1206" t="s">
        <v>103</v>
      </c>
      <c r="N1206" s="9" t="s">
        <v>17</v>
      </c>
      <c r="O1206" t="s">
        <v>25</v>
      </c>
      <c r="P1206">
        <v>31765</v>
      </c>
      <c r="Q1206" t="s">
        <v>19</v>
      </c>
      <c r="R1206">
        <v>45432</v>
      </c>
      <c r="S1206" t="s">
        <v>45</v>
      </c>
    </row>
    <row r="1207" spans="1:19" x14ac:dyDescent="0.3">
      <c r="A1207">
        <v>38374</v>
      </c>
      <c r="B1207" t="s">
        <v>28</v>
      </c>
      <c r="C1207" t="s">
        <v>15</v>
      </c>
      <c r="D1207" t="s">
        <v>16</v>
      </c>
      <c r="E1207" t="s">
        <v>108</v>
      </c>
      <c r="F1207" s="6" t="str">
        <f t="shared" si="18"/>
        <v>2MU</v>
      </c>
      <c r="G1207" s="7">
        <v>46235</v>
      </c>
      <c r="H1207" s="8">
        <v>0.4458333333333333</v>
      </c>
      <c r="I1207" s="7">
        <v>46234</v>
      </c>
      <c r="J1207" s="1">
        <v>46234</v>
      </c>
      <c r="K1207" s="1">
        <v>46234</v>
      </c>
      <c r="L1207" t="s">
        <v>102</v>
      </c>
      <c r="M1207" t="s">
        <v>103</v>
      </c>
      <c r="N1207" s="9" t="s">
        <v>17</v>
      </c>
      <c r="O1207" t="s">
        <v>25</v>
      </c>
      <c r="P1207">
        <v>31765</v>
      </c>
      <c r="Q1207" t="s">
        <v>19</v>
      </c>
      <c r="R1207">
        <v>45433</v>
      </c>
      <c r="S1207" t="s">
        <v>45</v>
      </c>
    </row>
    <row r="1208" spans="1:19" x14ac:dyDescent="0.3">
      <c r="A1208">
        <v>38375</v>
      </c>
      <c r="B1208" t="s">
        <v>28</v>
      </c>
      <c r="C1208" t="s">
        <v>15</v>
      </c>
      <c r="D1208" t="s">
        <v>16</v>
      </c>
      <c r="E1208" t="s">
        <v>109</v>
      </c>
      <c r="F1208" s="6" t="str">
        <f t="shared" si="18"/>
        <v>3MU</v>
      </c>
      <c r="G1208" s="7">
        <v>46235</v>
      </c>
      <c r="H1208" s="8">
        <v>0.4458333333333333</v>
      </c>
      <c r="I1208" s="7">
        <v>46234</v>
      </c>
      <c r="J1208" s="1">
        <v>46234</v>
      </c>
      <c r="K1208" s="1">
        <v>46234</v>
      </c>
      <c r="L1208" t="s">
        <v>102</v>
      </c>
      <c r="M1208" t="s">
        <v>103</v>
      </c>
      <c r="N1208" s="9" t="s">
        <v>17</v>
      </c>
      <c r="O1208" t="s">
        <v>25</v>
      </c>
      <c r="P1208">
        <v>31767</v>
      </c>
      <c r="Q1208" t="s">
        <v>19</v>
      </c>
      <c r="R1208">
        <v>45434</v>
      </c>
      <c r="S1208" t="s">
        <v>45</v>
      </c>
    </row>
    <row r="1209" spans="1:19" x14ac:dyDescent="0.3">
      <c r="A1209">
        <v>38375</v>
      </c>
      <c r="B1209" t="s">
        <v>28</v>
      </c>
      <c r="C1209" t="s">
        <v>15</v>
      </c>
      <c r="D1209" t="s">
        <v>16</v>
      </c>
      <c r="E1209" t="s">
        <v>109</v>
      </c>
      <c r="F1209" s="6" t="str">
        <f t="shared" si="18"/>
        <v>3MU</v>
      </c>
      <c r="G1209" s="7">
        <v>46235</v>
      </c>
      <c r="H1209" s="8">
        <v>0.4458333333333333</v>
      </c>
      <c r="I1209" s="7">
        <v>46234</v>
      </c>
      <c r="J1209" s="1">
        <v>46234</v>
      </c>
      <c r="K1209" s="1">
        <v>46234</v>
      </c>
      <c r="L1209" t="s">
        <v>102</v>
      </c>
      <c r="M1209" t="s">
        <v>103</v>
      </c>
      <c r="N1209" s="9" t="s">
        <v>17</v>
      </c>
      <c r="O1209" t="s">
        <v>25</v>
      </c>
      <c r="P1209">
        <v>31767</v>
      </c>
      <c r="Q1209" t="s">
        <v>19</v>
      </c>
      <c r="R1209">
        <v>45435</v>
      </c>
      <c r="S1209" t="s">
        <v>45</v>
      </c>
    </row>
    <row r="1210" spans="1:19" x14ac:dyDescent="0.3">
      <c r="A1210">
        <v>38378</v>
      </c>
      <c r="B1210" t="s">
        <v>28</v>
      </c>
      <c r="C1210" t="s">
        <v>15</v>
      </c>
      <c r="D1210" t="s">
        <v>16</v>
      </c>
      <c r="E1210" t="s">
        <v>51</v>
      </c>
      <c r="F1210" s="6" t="str">
        <f t="shared" si="18"/>
        <v>2MC</v>
      </c>
      <c r="G1210" s="7">
        <v>46235</v>
      </c>
      <c r="H1210" s="8">
        <v>0.4458333333333333</v>
      </c>
      <c r="I1210" s="7">
        <v>46234</v>
      </c>
      <c r="J1210" s="1">
        <v>46234</v>
      </c>
      <c r="K1210" s="1">
        <v>46234</v>
      </c>
      <c r="L1210" t="s">
        <v>308</v>
      </c>
      <c r="M1210" t="s">
        <v>128</v>
      </c>
      <c r="N1210" s="9" t="s">
        <v>17</v>
      </c>
      <c r="O1210" t="s">
        <v>18</v>
      </c>
      <c r="P1210">
        <v>31774</v>
      </c>
      <c r="Q1210" t="s">
        <v>19</v>
      </c>
      <c r="R1210">
        <v>45438</v>
      </c>
      <c r="S1210" t="s">
        <v>40</v>
      </c>
    </row>
    <row r="1211" spans="1:19" x14ac:dyDescent="0.3">
      <c r="A1211">
        <v>38378</v>
      </c>
      <c r="B1211" t="s">
        <v>28</v>
      </c>
      <c r="C1211" t="s">
        <v>15</v>
      </c>
      <c r="D1211" t="s">
        <v>16</v>
      </c>
      <c r="E1211" t="s">
        <v>51</v>
      </c>
      <c r="F1211" s="6" t="str">
        <f t="shared" si="18"/>
        <v>2MC</v>
      </c>
      <c r="G1211" s="7">
        <v>46235</v>
      </c>
      <c r="H1211" s="8">
        <v>0.4458333333333333</v>
      </c>
      <c r="I1211" s="7">
        <v>46234</v>
      </c>
      <c r="J1211" s="1">
        <v>46234</v>
      </c>
      <c r="K1211" s="1">
        <v>46234</v>
      </c>
      <c r="L1211" t="s">
        <v>308</v>
      </c>
      <c r="M1211" t="s">
        <v>128</v>
      </c>
      <c r="N1211" s="9" t="s">
        <v>17</v>
      </c>
      <c r="O1211" t="s">
        <v>18</v>
      </c>
      <c r="P1211">
        <v>31774</v>
      </c>
      <c r="Q1211" t="s">
        <v>19</v>
      </c>
      <c r="R1211">
        <v>45439</v>
      </c>
      <c r="S1211" t="s">
        <v>40</v>
      </c>
    </row>
    <row r="1212" spans="1:19" x14ac:dyDescent="0.3">
      <c r="A1212">
        <v>38379</v>
      </c>
      <c r="B1212" t="s">
        <v>28</v>
      </c>
      <c r="C1212" t="s">
        <v>15</v>
      </c>
      <c r="D1212" t="s">
        <v>16</v>
      </c>
      <c r="E1212" t="s">
        <v>53</v>
      </c>
      <c r="F1212" s="6" t="str">
        <f t="shared" si="18"/>
        <v>3MC</v>
      </c>
      <c r="G1212" s="7">
        <v>46235</v>
      </c>
      <c r="H1212" s="8">
        <v>0.4458333333333333</v>
      </c>
      <c r="I1212" s="7">
        <v>46234</v>
      </c>
      <c r="J1212" s="1">
        <v>46234</v>
      </c>
      <c r="K1212" s="1">
        <v>46234</v>
      </c>
      <c r="L1212" t="s">
        <v>308</v>
      </c>
      <c r="M1212" t="s">
        <v>128</v>
      </c>
      <c r="N1212" s="9" t="s">
        <v>17</v>
      </c>
      <c r="O1212" t="s">
        <v>18</v>
      </c>
      <c r="P1212">
        <v>31775</v>
      </c>
      <c r="Q1212" t="s">
        <v>19</v>
      </c>
      <c r="R1212">
        <v>45440</v>
      </c>
      <c r="S1212" t="s">
        <v>40</v>
      </c>
    </row>
    <row r="1213" spans="1:19" x14ac:dyDescent="0.3">
      <c r="A1213">
        <v>38379</v>
      </c>
      <c r="B1213" t="s">
        <v>28</v>
      </c>
      <c r="C1213" t="s">
        <v>15</v>
      </c>
      <c r="D1213" t="s">
        <v>16</v>
      </c>
      <c r="E1213" t="s">
        <v>53</v>
      </c>
      <c r="F1213" s="6" t="str">
        <f t="shared" si="18"/>
        <v>3MC</v>
      </c>
      <c r="G1213" s="7">
        <v>46235</v>
      </c>
      <c r="H1213" s="8">
        <v>0.4458333333333333</v>
      </c>
      <c r="I1213" s="7">
        <v>46234</v>
      </c>
      <c r="J1213" s="1">
        <v>46234</v>
      </c>
      <c r="K1213" s="1">
        <v>46234</v>
      </c>
      <c r="L1213" t="s">
        <v>308</v>
      </c>
      <c r="M1213" t="s">
        <v>128</v>
      </c>
      <c r="N1213" s="9" t="s">
        <v>17</v>
      </c>
      <c r="O1213" t="s">
        <v>18</v>
      </c>
      <c r="P1213">
        <v>31775</v>
      </c>
      <c r="Q1213" t="s">
        <v>19</v>
      </c>
      <c r="R1213">
        <v>45441</v>
      </c>
      <c r="S1213" t="s">
        <v>40</v>
      </c>
    </row>
    <row r="1214" spans="1:19" x14ac:dyDescent="0.3">
      <c r="A1214">
        <v>38380</v>
      </c>
      <c r="B1214" t="s">
        <v>28</v>
      </c>
      <c r="C1214" t="s">
        <v>15</v>
      </c>
      <c r="D1214" t="s">
        <v>16</v>
      </c>
      <c r="E1214" t="s">
        <v>52</v>
      </c>
      <c r="F1214" s="6" t="str">
        <f t="shared" si="18"/>
        <v>6MC</v>
      </c>
      <c r="G1214" s="7">
        <v>46235</v>
      </c>
      <c r="H1214" s="8">
        <v>0.4458333333333333</v>
      </c>
      <c r="I1214" s="7">
        <v>46234</v>
      </c>
      <c r="J1214" s="1">
        <v>46234</v>
      </c>
      <c r="K1214" s="1">
        <v>46234</v>
      </c>
      <c r="L1214" t="s">
        <v>308</v>
      </c>
      <c r="M1214" t="s">
        <v>128</v>
      </c>
      <c r="N1214" s="9" t="s">
        <v>17</v>
      </c>
      <c r="O1214" t="s">
        <v>18</v>
      </c>
      <c r="P1214">
        <v>31777</v>
      </c>
      <c r="Q1214" t="s">
        <v>19</v>
      </c>
      <c r="R1214">
        <v>45442</v>
      </c>
      <c r="S1214" t="s">
        <v>40</v>
      </c>
    </row>
    <row r="1215" spans="1:19" x14ac:dyDescent="0.3">
      <c r="A1215">
        <v>38380</v>
      </c>
      <c r="B1215" t="s">
        <v>28</v>
      </c>
      <c r="C1215" t="s">
        <v>15</v>
      </c>
      <c r="D1215" t="s">
        <v>16</v>
      </c>
      <c r="E1215" t="s">
        <v>52</v>
      </c>
      <c r="F1215" s="6" t="str">
        <f t="shared" ref="F1215:F1277" si="19">MID(E1215,1,3)</f>
        <v>6MC</v>
      </c>
      <c r="G1215" s="7">
        <v>46235</v>
      </c>
      <c r="H1215" s="8">
        <v>0.4458333333333333</v>
      </c>
      <c r="I1215" s="7">
        <v>46234</v>
      </c>
      <c r="J1215" s="1">
        <v>46234</v>
      </c>
      <c r="K1215" s="1">
        <v>46234</v>
      </c>
      <c r="L1215" t="s">
        <v>308</v>
      </c>
      <c r="M1215" t="s">
        <v>128</v>
      </c>
      <c r="N1215" s="9" t="s">
        <v>17</v>
      </c>
      <c r="O1215" t="s">
        <v>18</v>
      </c>
      <c r="P1215">
        <v>31777</v>
      </c>
      <c r="Q1215" t="s">
        <v>19</v>
      </c>
      <c r="R1215">
        <v>45443</v>
      </c>
      <c r="S1215" t="s">
        <v>40</v>
      </c>
    </row>
    <row r="1216" spans="1:19" x14ac:dyDescent="0.3">
      <c r="A1216">
        <v>38387</v>
      </c>
      <c r="B1216" t="s">
        <v>28</v>
      </c>
      <c r="C1216" t="s">
        <v>15</v>
      </c>
      <c r="D1216" t="s">
        <v>16</v>
      </c>
      <c r="E1216" t="s">
        <v>121</v>
      </c>
      <c r="F1216" s="6" t="str">
        <f t="shared" si="19"/>
        <v>2MC</v>
      </c>
      <c r="G1216" s="7">
        <v>46237</v>
      </c>
      <c r="H1216" s="8">
        <v>0.38055555555555554</v>
      </c>
      <c r="I1216" s="7">
        <v>46237</v>
      </c>
      <c r="J1216" s="1">
        <v>46237</v>
      </c>
      <c r="K1216" s="1">
        <v>46237</v>
      </c>
      <c r="L1216" t="s">
        <v>309</v>
      </c>
      <c r="M1216">
        <v>1624</v>
      </c>
      <c r="N1216" s="9" t="s">
        <v>208</v>
      </c>
      <c r="O1216" t="s">
        <v>27</v>
      </c>
      <c r="P1216">
        <v>31846</v>
      </c>
      <c r="Q1216" t="s">
        <v>123</v>
      </c>
      <c r="S1216" t="s">
        <v>71</v>
      </c>
    </row>
    <row r="1217" spans="1:19" x14ac:dyDescent="0.3">
      <c r="A1217">
        <v>38387</v>
      </c>
      <c r="B1217" t="s">
        <v>28</v>
      </c>
      <c r="C1217" t="s">
        <v>15</v>
      </c>
      <c r="D1217" t="s">
        <v>16</v>
      </c>
      <c r="E1217" t="s">
        <v>121</v>
      </c>
      <c r="F1217" s="6" t="str">
        <f t="shared" si="19"/>
        <v>2MC</v>
      </c>
      <c r="G1217" s="7">
        <v>46237</v>
      </c>
      <c r="H1217" s="8">
        <v>0.38055555555555554</v>
      </c>
      <c r="I1217" s="7">
        <v>46237</v>
      </c>
      <c r="J1217" s="1">
        <v>46237</v>
      </c>
      <c r="K1217" s="1">
        <v>46237</v>
      </c>
      <c r="L1217" t="s">
        <v>309</v>
      </c>
      <c r="M1217">
        <v>1624</v>
      </c>
      <c r="N1217" s="9" t="s">
        <v>208</v>
      </c>
      <c r="O1217" t="s">
        <v>27</v>
      </c>
      <c r="P1217">
        <v>31846</v>
      </c>
      <c r="Q1217" t="s">
        <v>123</v>
      </c>
      <c r="R1217">
        <v>45739</v>
      </c>
      <c r="S1217" t="s">
        <v>71</v>
      </c>
    </row>
    <row r="1218" spans="1:19" x14ac:dyDescent="0.3">
      <c r="A1218">
        <v>38388</v>
      </c>
      <c r="B1218" t="s">
        <v>28</v>
      </c>
      <c r="C1218" t="s">
        <v>15</v>
      </c>
      <c r="D1218" t="s">
        <v>16</v>
      </c>
      <c r="E1218" t="s">
        <v>53</v>
      </c>
      <c r="F1218" s="6" t="str">
        <f t="shared" si="19"/>
        <v>3MC</v>
      </c>
      <c r="G1218" s="7">
        <v>46237</v>
      </c>
      <c r="H1218" s="8">
        <v>0.38055555555555554</v>
      </c>
      <c r="I1218" s="7">
        <v>46237</v>
      </c>
      <c r="J1218" s="1">
        <v>46237</v>
      </c>
      <c r="K1218" s="1">
        <v>46237</v>
      </c>
      <c r="L1218" t="s">
        <v>309</v>
      </c>
      <c r="M1218">
        <v>1624</v>
      </c>
      <c r="N1218" s="9" t="s">
        <v>208</v>
      </c>
      <c r="O1218" t="s">
        <v>27</v>
      </c>
      <c r="P1218">
        <v>31847</v>
      </c>
      <c r="Q1218" t="s">
        <v>123</v>
      </c>
      <c r="S1218" t="s">
        <v>71</v>
      </c>
    </row>
    <row r="1219" spans="1:19" x14ac:dyDescent="0.3">
      <c r="A1219">
        <v>38388</v>
      </c>
      <c r="B1219" t="s">
        <v>28</v>
      </c>
      <c r="C1219" t="s">
        <v>15</v>
      </c>
      <c r="D1219" t="s">
        <v>16</v>
      </c>
      <c r="E1219" t="s">
        <v>53</v>
      </c>
      <c r="F1219" s="6" t="str">
        <f t="shared" si="19"/>
        <v>3MC</v>
      </c>
      <c r="G1219" s="7">
        <v>46237</v>
      </c>
      <c r="H1219" s="8">
        <v>0.38055555555555554</v>
      </c>
      <c r="I1219" s="7">
        <v>46237</v>
      </c>
      <c r="J1219" s="1">
        <v>46237</v>
      </c>
      <c r="K1219" s="1">
        <v>46237</v>
      </c>
      <c r="L1219" t="s">
        <v>309</v>
      </c>
      <c r="M1219">
        <v>1624</v>
      </c>
      <c r="N1219" s="9" t="s">
        <v>208</v>
      </c>
      <c r="O1219" t="s">
        <v>27</v>
      </c>
      <c r="P1219">
        <v>31847</v>
      </c>
      <c r="Q1219" t="s">
        <v>123</v>
      </c>
      <c r="R1219">
        <v>45740</v>
      </c>
      <c r="S1219" t="s">
        <v>71</v>
      </c>
    </row>
    <row r="1220" spans="1:19" x14ac:dyDescent="0.3">
      <c r="A1220">
        <v>38389</v>
      </c>
      <c r="B1220" t="s">
        <v>28</v>
      </c>
      <c r="C1220" t="s">
        <v>124</v>
      </c>
      <c r="D1220" t="s">
        <v>23</v>
      </c>
      <c r="E1220" t="s">
        <v>111</v>
      </c>
      <c r="F1220" s="6" t="str">
        <f t="shared" si="19"/>
        <v>6MC</v>
      </c>
      <c r="G1220" s="7">
        <v>46237</v>
      </c>
      <c r="H1220" s="8">
        <v>0.38055555555555554</v>
      </c>
      <c r="I1220" s="7">
        <v>46237</v>
      </c>
      <c r="J1220" s="1"/>
      <c r="K1220" s="1"/>
      <c r="L1220" t="s">
        <v>309</v>
      </c>
      <c r="M1220">
        <v>1624</v>
      </c>
      <c r="N1220" s="9" t="s">
        <v>208</v>
      </c>
      <c r="O1220" t="s">
        <v>27</v>
      </c>
      <c r="P1220">
        <v>31848</v>
      </c>
      <c r="Q1220" t="s">
        <v>123</v>
      </c>
      <c r="S1220" t="s">
        <v>71</v>
      </c>
    </row>
    <row r="1221" spans="1:19" x14ac:dyDescent="0.3">
      <c r="A1221">
        <v>38453</v>
      </c>
      <c r="B1221" t="s">
        <v>28</v>
      </c>
      <c r="C1221" t="s">
        <v>15</v>
      </c>
      <c r="D1221" t="s">
        <v>16</v>
      </c>
      <c r="E1221" t="s">
        <v>51</v>
      </c>
      <c r="F1221" s="6" t="str">
        <f t="shared" si="19"/>
        <v>2MC</v>
      </c>
      <c r="G1221" s="7">
        <v>46238</v>
      </c>
      <c r="H1221" s="8">
        <v>0.5625</v>
      </c>
      <c r="I1221" s="7">
        <v>46235</v>
      </c>
      <c r="J1221" s="1">
        <v>46235</v>
      </c>
      <c r="K1221" s="1">
        <v>46235</v>
      </c>
      <c r="L1221" t="s">
        <v>310</v>
      </c>
      <c r="M1221">
        <v>1624</v>
      </c>
      <c r="N1221" s="9" t="s">
        <v>17</v>
      </c>
      <c r="O1221" t="s">
        <v>25</v>
      </c>
      <c r="P1221">
        <v>31900</v>
      </c>
      <c r="Q1221" t="s">
        <v>19</v>
      </c>
      <c r="R1221">
        <v>45549</v>
      </c>
      <c r="S1221" t="s">
        <v>45</v>
      </c>
    </row>
    <row r="1222" spans="1:19" x14ac:dyDescent="0.3">
      <c r="A1222">
        <v>38453</v>
      </c>
      <c r="B1222" t="s">
        <v>28</v>
      </c>
      <c r="C1222" t="s">
        <v>15</v>
      </c>
      <c r="D1222" t="s">
        <v>16</v>
      </c>
      <c r="E1222" t="s">
        <v>51</v>
      </c>
      <c r="F1222" s="6" t="str">
        <f t="shared" si="19"/>
        <v>2MC</v>
      </c>
      <c r="G1222" s="7">
        <v>46238</v>
      </c>
      <c r="H1222" s="8">
        <v>0.5625</v>
      </c>
      <c r="I1222" s="7">
        <v>46235</v>
      </c>
      <c r="J1222" s="1">
        <v>46235</v>
      </c>
      <c r="K1222" s="1">
        <v>46235</v>
      </c>
      <c r="L1222" t="s">
        <v>310</v>
      </c>
      <c r="M1222">
        <v>1624</v>
      </c>
      <c r="N1222" s="9" t="s">
        <v>17</v>
      </c>
      <c r="O1222" t="s">
        <v>25</v>
      </c>
      <c r="P1222">
        <v>31900</v>
      </c>
      <c r="Q1222" t="s">
        <v>19</v>
      </c>
      <c r="R1222">
        <v>45550</v>
      </c>
      <c r="S1222" t="s">
        <v>45</v>
      </c>
    </row>
    <row r="1223" spans="1:19" x14ac:dyDescent="0.3">
      <c r="A1223">
        <v>38454</v>
      </c>
      <c r="B1223" t="s">
        <v>28</v>
      </c>
      <c r="C1223" t="s">
        <v>15</v>
      </c>
      <c r="D1223" t="s">
        <v>16</v>
      </c>
      <c r="E1223" t="s">
        <v>53</v>
      </c>
      <c r="F1223" s="6" t="str">
        <f t="shared" si="19"/>
        <v>3MC</v>
      </c>
      <c r="G1223" s="7">
        <v>46238</v>
      </c>
      <c r="H1223" s="8">
        <v>0.5625</v>
      </c>
      <c r="I1223" s="7">
        <v>46235</v>
      </c>
      <c r="J1223" s="1">
        <v>46235</v>
      </c>
      <c r="K1223" s="1">
        <v>46235</v>
      </c>
      <c r="L1223" t="s">
        <v>310</v>
      </c>
      <c r="M1223">
        <v>1624</v>
      </c>
      <c r="N1223" s="9" t="s">
        <v>17</v>
      </c>
      <c r="O1223" t="s">
        <v>25</v>
      </c>
      <c r="P1223">
        <v>31901</v>
      </c>
      <c r="Q1223" t="s">
        <v>19</v>
      </c>
      <c r="R1223">
        <v>45551</v>
      </c>
      <c r="S1223" t="s">
        <v>45</v>
      </c>
    </row>
    <row r="1224" spans="1:19" x14ac:dyDescent="0.3">
      <c r="A1224">
        <v>38454</v>
      </c>
      <c r="B1224" t="s">
        <v>28</v>
      </c>
      <c r="C1224" t="s">
        <v>15</v>
      </c>
      <c r="D1224" t="s">
        <v>16</v>
      </c>
      <c r="E1224" t="s">
        <v>53</v>
      </c>
      <c r="F1224" s="6" t="str">
        <f t="shared" si="19"/>
        <v>3MC</v>
      </c>
      <c r="G1224" s="7">
        <v>46238</v>
      </c>
      <c r="H1224" s="8">
        <v>0.5625</v>
      </c>
      <c r="I1224" s="7">
        <v>46235</v>
      </c>
      <c r="J1224" s="1">
        <v>46235</v>
      </c>
      <c r="K1224" s="1">
        <v>46235</v>
      </c>
      <c r="L1224" t="s">
        <v>310</v>
      </c>
      <c r="M1224">
        <v>1624</v>
      </c>
      <c r="N1224" s="9" t="s">
        <v>17</v>
      </c>
      <c r="O1224" t="s">
        <v>25</v>
      </c>
      <c r="P1224">
        <v>31901</v>
      </c>
      <c r="Q1224" t="s">
        <v>19</v>
      </c>
      <c r="R1224">
        <v>45552</v>
      </c>
      <c r="S1224" t="s">
        <v>45</v>
      </c>
    </row>
    <row r="1225" spans="1:19" x14ac:dyDescent="0.3">
      <c r="A1225">
        <v>38455</v>
      </c>
      <c r="B1225" t="s">
        <v>28</v>
      </c>
      <c r="C1225" t="s">
        <v>15</v>
      </c>
      <c r="D1225" t="s">
        <v>16</v>
      </c>
      <c r="E1225" t="s">
        <v>51</v>
      </c>
      <c r="F1225" s="6" t="str">
        <f t="shared" si="19"/>
        <v>2MC</v>
      </c>
      <c r="G1225" s="7">
        <v>46238</v>
      </c>
      <c r="H1225" s="8">
        <v>0.5625</v>
      </c>
      <c r="I1225" s="7">
        <v>46235</v>
      </c>
      <c r="J1225" s="1">
        <v>46235</v>
      </c>
      <c r="K1225" s="1">
        <v>46235</v>
      </c>
      <c r="L1225" t="s">
        <v>311</v>
      </c>
      <c r="M1225">
        <v>1218</v>
      </c>
      <c r="N1225" s="9" t="s">
        <v>17</v>
      </c>
      <c r="O1225" t="s">
        <v>25</v>
      </c>
      <c r="P1225">
        <v>31902</v>
      </c>
      <c r="Q1225" t="s">
        <v>19</v>
      </c>
      <c r="R1225">
        <v>45553</v>
      </c>
      <c r="S1225" t="s">
        <v>45</v>
      </c>
    </row>
    <row r="1226" spans="1:19" x14ac:dyDescent="0.3">
      <c r="A1226">
        <v>38455</v>
      </c>
      <c r="B1226" t="s">
        <v>28</v>
      </c>
      <c r="C1226" t="s">
        <v>15</v>
      </c>
      <c r="D1226" t="s">
        <v>16</v>
      </c>
      <c r="E1226" t="s">
        <v>51</v>
      </c>
      <c r="F1226" s="6" t="str">
        <f t="shared" si="19"/>
        <v>2MC</v>
      </c>
      <c r="G1226" s="7">
        <v>46238</v>
      </c>
      <c r="H1226" s="8">
        <v>0.5625</v>
      </c>
      <c r="I1226" s="7">
        <v>46235</v>
      </c>
      <c r="J1226" s="1">
        <v>46235</v>
      </c>
      <c r="K1226" s="1">
        <v>46235</v>
      </c>
      <c r="L1226" t="s">
        <v>311</v>
      </c>
      <c r="M1226">
        <v>1218</v>
      </c>
      <c r="N1226" s="9" t="s">
        <v>17</v>
      </c>
      <c r="O1226" t="s">
        <v>25</v>
      </c>
      <c r="P1226">
        <v>31902</v>
      </c>
      <c r="Q1226" t="s">
        <v>19</v>
      </c>
      <c r="R1226">
        <v>45554</v>
      </c>
      <c r="S1226" t="s">
        <v>45</v>
      </c>
    </row>
    <row r="1227" spans="1:19" x14ac:dyDescent="0.3">
      <c r="A1227">
        <v>38456</v>
      </c>
      <c r="B1227" t="s">
        <v>28</v>
      </c>
      <c r="C1227" t="s">
        <v>15</v>
      </c>
      <c r="D1227" t="s">
        <v>16</v>
      </c>
      <c r="E1227" t="s">
        <v>53</v>
      </c>
      <c r="F1227" s="6" t="str">
        <f t="shared" si="19"/>
        <v>3MC</v>
      </c>
      <c r="G1227" s="7">
        <v>46238</v>
      </c>
      <c r="H1227" s="8">
        <v>0.5625</v>
      </c>
      <c r="I1227" s="7">
        <v>46235</v>
      </c>
      <c r="J1227" s="1">
        <v>46235</v>
      </c>
      <c r="K1227" s="1">
        <v>46235</v>
      </c>
      <c r="L1227" t="s">
        <v>311</v>
      </c>
      <c r="M1227">
        <v>1218</v>
      </c>
      <c r="N1227" s="9" t="s">
        <v>17</v>
      </c>
      <c r="O1227" t="s">
        <v>25</v>
      </c>
      <c r="P1227">
        <v>31903</v>
      </c>
      <c r="Q1227" t="s">
        <v>19</v>
      </c>
      <c r="R1227">
        <v>45555</v>
      </c>
      <c r="S1227" t="s">
        <v>45</v>
      </c>
    </row>
    <row r="1228" spans="1:19" x14ac:dyDescent="0.3">
      <c r="A1228">
        <v>38456</v>
      </c>
      <c r="B1228" t="s">
        <v>28</v>
      </c>
      <c r="C1228" t="s">
        <v>15</v>
      </c>
      <c r="D1228" t="s">
        <v>16</v>
      </c>
      <c r="E1228" t="s">
        <v>53</v>
      </c>
      <c r="F1228" s="6" t="str">
        <f t="shared" si="19"/>
        <v>3MC</v>
      </c>
      <c r="G1228" s="7">
        <v>46238</v>
      </c>
      <c r="H1228" s="8">
        <v>0.5625</v>
      </c>
      <c r="I1228" s="7">
        <v>46235</v>
      </c>
      <c r="J1228" s="1">
        <v>46235</v>
      </c>
      <c r="K1228" s="1">
        <v>46235</v>
      </c>
      <c r="L1228" t="s">
        <v>311</v>
      </c>
      <c r="M1228">
        <v>1218</v>
      </c>
      <c r="N1228" s="9" t="s">
        <v>17</v>
      </c>
      <c r="O1228" t="s">
        <v>25</v>
      </c>
      <c r="P1228">
        <v>31903</v>
      </c>
      <c r="Q1228" t="s">
        <v>19</v>
      </c>
      <c r="R1228">
        <v>45556</v>
      </c>
      <c r="S1228" t="s">
        <v>45</v>
      </c>
    </row>
    <row r="1229" spans="1:19" x14ac:dyDescent="0.3">
      <c r="A1229">
        <v>38457</v>
      </c>
      <c r="B1229" t="s">
        <v>28</v>
      </c>
      <c r="C1229" t="s">
        <v>15</v>
      </c>
      <c r="D1229" t="s">
        <v>16</v>
      </c>
      <c r="E1229" t="s">
        <v>52</v>
      </c>
      <c r="F1229" s="6" t="str">
        <f t="shared" si="19"/>
        <v>6MC</v>
      </c>
      <c r="G1229" s="7">
        <v>46238</v>
      </c>
      <c r="H1229" s="8">
        <v>0.5625</v>
      </c>
      <c r="I1229" s="7">
        <v>46235</v>
      </c>
      <c r="J1229" s="1">
        <v>46235</v>
      </c>
      <c r="K1229" s="1">
        <v>46235</v>
      </c>
      <c r="L1229" t="s">
        <v>311</v>
      </c>
      <c r="M1229">
        <v>1218</v>
      </c>
      <c r="N1229" s="9" t="s">
        <v>17</v>
      </c>
      <c r="O1229" t="s">
        <v>25</v>
      </c>
      <c r="P1229">
        <v>31904</v>
      </c>
      <c r="Q1229" t="s">
        <v>19</v>
      </c>
      <c r="R1229">
        <v>45557</v>
      </c>
      <c r="S1229" t="s">
        <v>45</v>
      </c>
    </row>
    <row r="1230" spans="1:19" x14ac:dyDescent="0.3">
      <c r="A1230">
        <v>38457</v>
      </c>
      <c r="B1230" t="s">
        <v>28</v>
      </c>
      <c r="C1230" t="s">
        <v>15</v>
      </c>
      <c r="D1230" t="s">
        <v>16</v>
      </c>
      <c r="E1230" t="s">
        <v>52</v>
      </c>
      <c r="F1230" s="6" t="str">
        <f t="shared" si="19"/>
        <v>6MC</v>
      </c>
      <c r="G1230" s="7">
        <v>46238</v>
      </c>
      <c r="H1230" s="8">
        <v>0.5625</v>
      </c>
      <c r="I1230" s="7">
        <v>46235</v>
      </c>
      <c r="J1230" s="1">
        <v>46235</v>
      </c>
      <c r="K1230" s="1">
        <v>46235</v>
      </c>
      <c r="L1230" t="s">
        <v>311</v>
      </c>
      <c r="M1230">
        <v>1218</v>
      </c>
      <c r="N1230" s="9" t="s">
        <v>17</v>
      </c>
      <c r="O1230" t="s">
        <v>25</v>
      </c>
      <c r="P1230">
        <v>31904</v>
      </c>
      <c r="Q1230" t="s">
        <v>19</v>
      </c>
      <c r="R1230">
        <v>45558</v>
      </c>
      <c r="S1230" t="s">
        <v>45</v>
      </c>
    </row>
    <row r="1231" spans="1:19" x14ac:dyDescent="0.3">
      <c r="A1231">
        <v>38458</v>
      </c>
      <c r="B1231" t="s">
        <v>28</v>
      </c>
      <c r="C1231" t="s">
        <v>15</v>
      </c>
      <c r="D1231" t="s">
        <v>16</v>
      </c>
      <c r="E1231" t="s">
        <v>53</v>
      </c>
      <c r="F1231" s="6" t="str">
        <f t="shared" si="19"/>
        <v>3MC</v>
      </c>
      <c r="G1231" s="7">
        <v>46238</v>
      </c>
      <c r="H1231" s="8">
        <v>0.5625</v>
      </c>
      <c r="I1231" s="7">
        <v>46235</v>
      </c>
      <c r="J1231" s="1">
        <v>46235</v>
      </c>
      <c r="K1231" s="1">
        <v>46235</v>
      </c>
      <c r="L1231" t="s">
        <v>312</v>
      </c>
      <c r="M1231">
        <v>1624</v>
      </c>
      <c r="N1231" s="9" t="s">
        <v>17</v>
      </c>
      <c r="O1231" t="s">
        <v>25</v>
      </c>
      <c r="P1231">
        <v>31905</v>
      </c>
      <c r="Q1231" t="s">
        <v>19</v>
      </c>
      <c r="R1231">
        <v>45559</v>
      </c>
      <c r="S1231" t="s">
        <v>45</v>
      </c>
    </row>
    <row r="1232" spans="1:19" x14ac:dyDescent="0.3">
      <c r="A1232">
        <v>38458</v>
      </c>
      <c r="B1232" t="s">
        <v>28</v>
      </c>
      <c r="C1232" t="s">
        <v>15</v>
      </c>
      <c r="D1232" t="s">
        <v>16</v>
      </c>
      <c r="E1232" t="s">
        <v>53</v>
      </c>
      <c r="F1232" s="6" t="str">
        <f t="shared" si="19"/>
        <v>3MC</v>
      </c>
      <c r="G1232" s="7">
        <v>46238</v>
      </c>
      <c r="H1232" s="8">
        <v>0.5625</v>
      </c>
      <c r="I1232" s="7">
        <v>46235</v>
      </c>
      <c r="J1232" s="1">
        <v>46235</v>
      </c>
      <c r="K1232" s="1">
        <v>46235</v>
      </c>
      <c r="L1232" t="s">
        <v>312</v>
      </c>
      <c r="M1232">
        <v>1624</v>
      </c>
      <c r="N1232" s="9" t="s">
        <v>17</v>
      </c>
      <c r="O1232" t="s">
        <v>25</v>
      </c>
      <c r="P1232">
        <v>31905</v>
      </c>
      <c r="Q1232" t="s">
        <v>19</v>
      </c>
      <c r="R1232">
        <v>45560</v>
      </c>
      <c r="S1232" t="s">
        <v>45</v>
      </c>
    </row>
    <row r="1233" spans="1:19" x14ac:dyDescent="0.3">
      <c r="A1233">
        <v>38459</v>
      </c>
      <c r="B1233" t="s">
        <v>28</v>
      </c>
      <c r="C1233" t="s">
        <v>15</v>
      </c>
      <c r="D1233" t="s">
        <v>16</v>
      </c>
      <c r="E1233" t="s">
        <v>52</v>
      </c>
      <c r="F1233" s="6" t="str">
        <f t="shared" si="19"/>
        <v>6MC</v>
      </c>
      <c r="G1233" s="7">
        <v>46238</v>
      </c>
      <c r="H1233" s="8">
        <v>0.5625</v>
      </c>
      <c r="I1233" s="7">
        <v>46235</v>
      </c>
      <c r="J1233" s="1">
        <v>46235</v>
      </c>
      <c r="K1233" s="1">
        <v>46235</v>
      </c>
      <c r="L1233" t="s">
        <v>312</v>
      </c>
      <c r="M1233">
        <v>1624</v>
      </c>
      <c r="N1233" s="9" t="s">
        <v>17</v>
      </c>
      <c r="O1233" t="s">
        <v>25</v>
      </c>
      <c r="P1233">
        <v>31906</v>
      </c>
      <c r="Q1233" t="s">
        <v>19</v>
      </c>
      <c r="R1233">
        <v>45561</v>
      </c>
      <c r="S1233" t="s">
        <v>45</v>
      </c>
    </row>
    <row r="1234" spans="1:19" x14ac:dyDescent="0.3">
      <c r="A1234">
        <v>38459</v>
      </c>
      <c r="B1234" t="s">
        <v>28</v>
      </c>
      <c r="C1234" t="s">
        <v>15</v>
      </c>
      <c r="D1234" t="s">
        <v>16</v>
      </c>
      <c r="E1234" t="s">
        <v>52</v>
      </c>
      <c r="F1234" s="6" t="str">
        <f t="shared" si="19"/>
        <v>6MC</v>
      </c>
      <c r="G1234" s="7">
        <v>46238</v>
      </c>
      <c r="H1234" s="8">
        <v>0.5625</v>
      </c>
      <c r="I1234" s="7">
        <v>46235</v>
      </c>
      <c r="J1234" s="1">
        <v>46235</v>
      </c>
      <c r="K1234" s="1">
        <v>46235</v>
      </c>
      <c r="L1234" t="s">
        <v>312</v>
      </c>
      <c r="M1234">
        <v>1624</v>
      </c>
      <c r="N1234" s="9" t="s">
        <v>17</v>
      </c>
      <c r="O1234" t="s">
        <v>25</v>
      </c>
      <c r="P1234">
        <v>31906</v>
      </c>
      <c r="Q1234" t="s">
        <v>19</v>
      </c>
      <c r="R1234">
        <v>45563</v>
      </c>
      <c r="S1234" t="s">
        <v>45</v>
      </c>
    </row>
    <row r="1235" spans="1:19" x14ac:dyDescent="0.3">
      <c r="A1235">
        <v>38460</v>
      </c>
      <c r="B1235" t="s">
        <v>28</v>
      </c>
      <c r="C1235" t="s">
        <v>15</v>
      </c>
      <c r="D1235" t="s">
        <v>16</v>
      </c>
      <c r="E1235" t="s">
        <v>52</v>
      </c>
      <c r="F1235" s="6" t="str">
        <f t="shared" si="19"/>
        <v>6MC</v>
      </c>
      <c r="G1235" s="7">
        <v>46238</v>
      </c>
      <c r="H1235" s="8">
        <v>0.5625</v>
      </c>
      <c r="I1235" s="7">
        <v>46235</v>
      </c>
      <c r="J1235" s="1">
        <v>46235</v>
      </c>
      <c r="K1235" s="1">
        <v>46235</v>
      </c>
      <c r="L1235" t="s">
        <v>310</v>
      </c>
      <c r="M1235">
        <v>1624</v>
      </c>
      <c r="N1235" s="9" t="s">
        <v>17</v>
      </c>
      <c r="O1235" t="s">
        <v>25</v>
      </c>
      <c r="P1235">
        <v>31907</v>
      </c>
      <c r="Q1235" t="s">
        <v>19</v>
      </c>
      <c r="R1235">
        <v>45564</v>
      </c>
      <c r="S1235" t="s">
        <v>45</v>
      </c>
    </row>
    <row r="1236" spans="1:19" x14ac:dyDescent="0.3">
      <c r="A1236">
        <v>38460</v>
      </c>
      <c r="B1236" t="s">
        <v>28</v>
      </c>
      <c r="C1236" t="s">
        <v>15</v>
      </c>
      <c r="D1236" t="s">
        <v>16</v>
      </c>
      <c r="E1236" t="s">
        <v>52</v>
      </c>
      <c r="F1236" s="6" t="str">
        <f t="shared" si="19"/>
        <v>6MC</v>
      </c>
      <c r="G1236" s="7">
        <v>46238</v>
      </c>
      <c r="H1236" s="8">
        <v>0.5625</v>
      </c>
      <c r="I1236" s="7">
        <v>46235</v>
      </c>
      <c r="J1236" s="1">
        <v>46235</v>
      </c>
      <c r="K1236" s="1">
        <v>46235</v>
      </c>
      <c r="L1236" t="s">
        <v>310</v>
      </c>
      <c r="M1236">
        <v>1624</v>
      </c>
      <c r="N1236" s="9" t="s">
        <v>17</v>
      </c>
      <c r="O1236" t="s">
        <v>25</v>
      </c>
      <c r="P1236">
        <v>31907</v>
      </c>
      <c r="Q1236" t="s">
        <v>19</v>
      </c>
      <c r="R1236">
        <v>45565</v>
      </c>
      <c r="S1236" t="s">
        <v>45</v>
      </c>
    </row>
    <row r="1237" spans="1:19" x14ac:dyDescent="0.3">
      <c r="A1237">
        <v>38462</v>
      </c>
      <c r="B1237" t="s">
        <v>28</v>
      </c>
      <c r="C1237" t="s">
        <v>124</v>
      </c>
      <c r="D1237" t="s">
        <v>23</v>
      </c>
      <c r="E1237" t="s">
        <v>51</v>
      </c>
      <c r="F1237" s="6" t="str">
        <f t="shared" si="19"/>
        <v>2MC</v>
      </c>
      <c r="G1237" s="7">
        <v>46238</v>
      </c>
      <c r="H1237" s="8">
        <v>0.5625</v>
      </c>
      <c r="I1237" s="7">
        <v>46238</v>
      </c>
      <c r="J1237" s="1"/>
      <c r="K1237" s="1"/>
      <c r="L1237" t="s">
        <v>313</v>
      </c>
      <c r="M1237" t="s">
        <v>163</v>
      </c>
      <c r="N1237" s="9" t="s">
        <v>17</v>
      </c>
      <c r="O1237" t="s">
        <v>24</v>
      </c>
      <c r="P1237">
        <v>31909</v>
      </c>
      <c r="Q1237" t="s">
        <v>123</v>
      </c>
      <c r="S1237" t="s">
        <v>40</v>
      </c>
    </row>
    <row r="1238" spans="1:19" x14ac:dyDescent="0.3">
      <c r="A1238">
        <v>38463</v>
      </c>
      <c r="B1238" t="s">
        <v>28</v>
      </c>
      <c r="C1238" t="s">
        <v>124</v>
      </c>
      <c r="D1238" t="s">
        <v>23</v>
      </c>
      <c r="E1238" t="s">
        <v>53</v>
      </c>
      <c r="F1238" s="6" t="str">
        <f t="shared" si="19"/>
        <v>3MC</v>
      </c>
      <c r="G1238" s="7">
        <v>46238</v>
      </c>
      <c r="H1238" s="8">
        <v>0.5625</v>
      </c>
      <c r="I1238" s="7">
        <v>46238</v>
      </c>
      <c r="L1238" t="s">
        <v>313</v>
      </c>
      <c r="M1238" t="s">
        <v>163</v>
      </c>
      <c r="N1238" s="9" t="s">
        <v>17</v>
      </c>
      <c r="O1238" t="s">
        <v>24</v>
      </c>
      <c r="P1238">
        <v>31910</v>
      </c>
      <c r="Q1238" t="s">
        <v>123</v>
      </c>
      <c r="S1238" t="s">
        <v>40</v>
      </c>
    </row>
    <row r="1239" spans="1:19" x14ac:dyDescent="0.3">
      <c r="A1239">
        <v>38464</v>
      </c>
      <c r="B1239" t="s">
        <v>28</v>
      </c>
      <c r="C1239" t="s">
        <v>124</v>
      </c>
      <c r="D1239" t="s">
        <v>23</v>
      </c>
      <c r="E1239" t="s">
        <v>52</v>
      </c>
      <c r="F1239" s="6" t="str">
        <f t="shared" si="19"/>
        <v>6MC</v>
      </c>
      <c r="G1239" s="7">
        <v>46238</v>
      </c>
      <c r="H1239" s="8">
        <v>0.5625</v>
      </c>
      <c r="I1239" s="7">
        <v>46238</v>
      </c>
      <c r="L1239" t="s">
        <v>313</v>
      </c>
      <c r="M1239" t="s">
        <v>163</v>
      </c>
      <c r="N1239" s="9" t="s">
        <v>17</v>
      </c>
      <c r="O1239" t="s">
        <v>24</v>
      </c>
      <c r="P1239">
        <v>31911</v>
      </c>
      <c r="Q1239" t="s">
        <v>123</v>
      </c>
      <c r="S1239" t="s">
        <v>40</v>
      </c>
    </row>
    <row r="1240" spans="1:19" x14ac:dyDescent="0.3">
      <c r="A1240">
        <v>38471</v>
      </c>
      <c r="B1240" t="s">
        <v>28</v>
      </c>
      <c r="C1240" t="s">
        <v>15</v>
      </c>
      <c r="D1240" t="s">
        <v>16</v>
      </c>
      <c r="E1240" t="s">
        <v>51</v>
      </c>
      <c r="F1240" s="6" t="str">
        <f t="shared" si="19"/>
        <v>2MC</v>
      </c>
      <c r="G1240" s="7">
        <v>46238</v>
      </c>
      <c r="H1240" s="8">
        <v>0.58611111111111114</v>
      </c>
      <c r="I1240" s="7">
        <v>46235</v>
      </c>
      <c r="J1240" s="1">
        <v>46235</v>
      </c>
      <c r="K1240" s="1">
        <v>46235</v>
      </c>
      <c r="L1240" t="s">
        <v>312</v>
      </c>
      <c r="M1240">
        <v>1624</v>
      </c>
      <c r="N1240" s="9" t="s">
        <v>17</v>
      </c>
      <c r="O1240" t="s">
        <v>25</v>
      </c>
      <c r="P1240">
        <v>31918</v>
      </c>
      <c r="Q1240" t="s">
        <v>19</v>
      </c>
      <c r="R1240">
        <v>45566</v>
      </c>
      <c r="S1240" t="s">
        <v>45</v>
      </c>
    </row>
    <row r="1241" spans="1:19" x14ac:dyDescent="0.3">
      <c r="A1241">
        <v>38471</v>
      </c>
      <c r="B1241" t="s">
        <v>28</v>
      </c>
      <c r="C1241" t="s">
        <v>15</v>
      </c>
      <c r="D1241" t="s">
        <v>16</v>
      </c>
      <c r="E1241" t="s">
        <v>51</v>
      </c>
      <c r="F1241" s="6" t="str">
        <f t="shared" si="19"/>
        <v>2MC</v>
      </c>
      <c r="G1241" s="7">
        <v>46238</v>
      </c>
      <c r="H1241" s="8">
        <v>0.58611111111111114</v>
      </c>
      <c r="I1241" s="7">
        <v>46235</v>
      </c>
      <c r="J1241" s="1">
        <v>46235</v>
      </c>
      <c r="K1241" s="1">
        <v>46235</v>
      </c>
      <c r="L1241" t="s">
        <v>312</v>
      </c>
      <c r="M1241">
        <v>1624</v>
      </c>
      <c r="N1241" s="9" t="s">
        <v>17</v>
      </c>
      <c r="O1241" t="s">
        <v>25</v>
      </c>
      <c r="P1241">
        <v>31918</v>
      </c>
      <c r="Q1241" t="s">
        <v>19</v>
      </c>
      <c r="R1241">
        <v>45567</v>
      </c>
      <c r="S1241" t="s">
        <v>45</v>
      </c>
    </row>
    <row r="1242" spans="1:19" x14ac:dyDescent="0.3">
      <c r="A1242">
        <v>38475</v>
      </c>
      <c r="B1242" t="s">
        <v>28</v>
      </c>
      <c r="C1242" t="s">
        <v>124</v>
      </c>
      <c r="D1242" t="s">
        <v>23</v>
      </c>
      <c r="E1242" t="s">
        <v>35</v>
      </c>
      <c r="F1242" s="6" t="str">
        <f t="shared" si="19"/>
        <v>2ML</v>
      </c>
      <c r="G1242" s="7">
        <v>46238</v>
      </c>
      <c r="H1242" s="8">
        <v>0.62916666666666665</v>
      </c>
      <c r="I1242" s="7">
        <v>46238</v>
      </c>
      <c r="L1242" t="s">
        <v>264</v>
      </c>
      <c r="M1242" t="s">
        <v>163</v>
      </c>
      <c r="N1242" s="9" t="s">
        <v>17</v>
      </c>
      <c r="O1242" t="s">
        <v>24</v>
      </c>
      <c r="P1242">
        <v>31922</v>
      </c>
      <c r="Q1242" t="s">
        <v>123</v>
      </c>
      <c r="S1242" t="s">
        <v>307</v>
      </c>
    </row>
    <row r="1243" spans="1:19" x14ac:dyDescent="0.3">
      <c r="A1243">
        <v>38476</v>
      </c>
      <c r="B1243" t="s">
        <v>28</v>
      </c>
      <c r="C1243" t="s">
        <v>124</v>
      </c>
      <c r="D1243" t="s">
        <v>23</v>
      </c>
      <c r="E1243" t="s">
        <v>47</v>
      </c>
      <c r="F1243" s="6" t="str">
        <f t="shared" si="19"/>
        <v>3ML</v>
      </c>
      <c r="G1243" s="7">
        <v>46238</v>
      </c>
      <c r="H1243" s="8">
        <v>0.62916666666666665</v>
      </c>
      <c r="I1243" s="7">
        <v>46238</v>
      </c>
      <c r="L1243" t="s">
        <v>264</v>
      </c>
      <c r="M1243" t="s">
        <v>163</v>
      </c>
      <c r="N1243" s="9" t="s">
        <v>17</v>
      </c>
      <c r="O1243" t="s">
        <v>24</v>
      </c>
      <c r="P1243">
        <v>31923</v>
      </c>
      <c r="Q1243" t="s">
        <v>123</v>
      </c>
      <c r="S1243" t="s">
        <v>307</v>
      </c>
    </row>
    <row r="1244" spans="1:19" x14ac:dyDescent="0.3">
      <c r="A1244">
        <v>38477</v>
      </c>
      <c r="B1244" t="s">
        <v>28</v>
      </c>
      <c r="C1244" t="s">
        <v>124</v>
      </c>
      <c r="D1244" t="s">
        <v>23</v>
      </c>
      <c r="E1244" t="s">
        <v>46</v>
      </c>
      <c r="F1244" s="6" t="str">
        <f t="shared" si="19"/>
        <v>6ML</v>
      </c>
      <c r="G1244" s="7">
        <v>46238</v>
      </c>
      <c r="H1244" s="8">
        <v>0.62916666666666665</v>
      </c>
      <c r="I1244" s="7">
        <v>46238</v>
      </c>
      <c r="L1244" t="s">
        <v>264</v>
      </c>
      <c r="M1244" t="s">
        <v>163</v>
      </c>
      <c r="N1244" s="9" t="s">
        <v>17</v>
      </c>
      <c r="O1244" t="s">
        <v>24</v>
      </c>
      <c r="P1244">
        <v>31924</v>
      </c>
      <c r="Q1244" t="s">
        <v>123</v>
      </c>
      <c r="S1244" t="s">
        <v>307</v>
      </c>
    </row>
    <row r="1245" spans="1:19" x14ac:dyDescent="0.3">
      <c r="A1245">
        <v>38531</v>
      </c>
      <c r="B1245" t="s">
        <v>28</v>
      </c>
      <c r="C1245" t="s">
        <v>124</v>
      </c>
      <c r="D1245" t="s">
        <v>23</v>
      </c>
      <c r="E1245" t="s">
        <v>35</v>
      </c>
      <c r="F1245" s="6" t="str">
        <f t="shared" si="19"/>
        <v>2ML</v>
      </c>
      <c r="G1245" s="7">
        <v>46239</v>
      </c>
      <c r="H1245" s="8">
        <v>0.43888888888888888</v>
      </c>
      <c r="I1245" s="7">
        <v>46239</v>
      </c>
      <c r="J1245" s="1">
        <v>46239</v>
      </c>
      <c r="K1245" s="1">
        <v>46239</v>
      </c>
      <c r="L1245" t="s">
        <v>215</v>
      </c>
      <c r="M1245" t="s">
        <v>126</v>
      </c>
      <c r="N1245" s="9" t="s">
        <v>31</v>
      </c>
      <c r="O1245" t="s">
        <v>25</v>
      </c>
      <c r="P1245">
        <v>31973</v>
      </c>
      <c r="Q1245" t="s">
        <v>123</v>
      </c>
      <c r="S1245" t="s">
        <v>26</v>
      </c>
    </row>
    <row r="1246" spans="1:19" x14ac:dyDescent="0.3">
      <c r="A1246">
        <v>38566</v>
      </c>
      <c r="B1246" t="s">
        <v>28</v>
      </c>
      <c r="C1246" t="s">
        <v>124</v>
      </c>
      <c r="D1246" t="s">
        <v>23</v>
      </c>
      <c r="E1246" t="s">
        <v>35</v>
      </c>
      <c r="F1246" s="6" t="str">
        <f t="shared" si="19"/>
        <v>2ML</v>
      </c>
      <c r="G1246" s="7">
        <v>46240</v>
      </c>
      <c r="H1246" s="8">
        <v>0.64166666666666672</v>
      </c>
      <c r="I1246" s="7">
        <v>46240</v>
      </c>
      <c r="J1246" s="1"/>
      <c r="K1246" s="1"/>
      <c r="L1246" t="s">
        <v>314</v>
      </c>
      <c r="M1246" t="s">
        <v>146</v>
      </c>
      <c r="N1246" s="9" t="s">
        <v>17</v>
      </c>
      <c r="O1246" t="s">
        <v>24</v>
      </c>
      <c r="P1246">
        <v>32018</v>
      </c>
      <c r="Q1246" t="s">
        <v>123</v>
      </c>
      <c r="S1246" t="s">
        <v>307</v>
      </c>
    </row>
    <row r="1247" spans="1:19" x14ac:dyDescent="0.3">
      <c r="A1247">
        <v>38568</v>
      </c>
      <c r="B1247" t="s">
        <v>28</v>
      </c>
      <c r="C1247" t="s">
        <v>124</v>
      </c>
      <c r="D1247" t="s">
        <v>23</v>
      </c>
      <c r="E1247" t="s">
        <v>47</v>
      </c>
      <c r="F1247" s="6" t="str">
        <f t="shared" si="19"/>
        <v>3ML</v>
      </c>
      <c r="G1247" s="7">
        <v>46240</v>
      </c>
      <c r="H1247" s="8">
        <v>0.64166666666666672</v>
      </c>
      <c r="I1247" s="7">
        <v>46240</v>
      </c>
      <c r="J1247" s="1"/>
      <c r="K1247" s="1"/>
      <c r="L1247" t="s">
        <v>314</v>
      </c>
      <c r="M1247" t="s">
        <v>146</v>
      </c>
      <c r="N1247" s="9" t="s">
        <v>17</v>
      </c>
      <c r="O1247" t="s">
        <v>24</v>
      </c>
      <c r="P1247">
        <v>32019</v>
      </c>
      <c r="Q1247" t="s">
        <v>123</v>
      </c>
      <c r="S1247" t="s">
        <v>307</v>
      </c>
    </row>
    <row r="1248" spans="1:19" x14ac:dyDescent="0.3">
      <c r="A1248">
        <v>38569</v>
      </c>
      <c r="B1248" t="s">
        <v>28</v>
      </c>
      <c r="C1248" t="s">
        <v>124</v>
      </c>
      <c r="D1248" t="s">
        <v>23</v>
      </c>
      <c r="E1248" t="s">
        <v>46</v>
      </c>
      <c r="F1248" s="6" t="str">
        <f t="shared" si="19"/>
        <v>6ML</v>
      </c>
      <c r="G1248" s="7">
        <v>46240</v>
      </c>
      <c r="H1248" s="8">
        <v>0.64166666666666672</v>
      </c>
      <c r="I1248" s="7">
        <v>46240</v>
      </c>
      <c r="J1248" s="1"/>
      <c r="K1248" s="1"/>
      <c r="L1248" t="s">
        <v>314</v>
      </c>
      <c r="M1248" t="s">
        <v>146</v>
      </c>
      <c r="N1248" s="9" t="s">
        <v>17</v>
      </c>
      <c r="O1248" t="s">
        <v>24</v>
      </c>
      <c r="P1248">
        <v>32020</v>
      </c>
      <c r="Q1248" t="s">
        <v>123</v>
      </c>
      <c r="S1248" t="s">
        <v>307</v>
      </c>
    </row>
    <row r="1249" spans="1:19" x14ac:dyDescent="0.3">
      <c r="A1249">
        <v>38572</v>
      </c>
      <c r="B1249" t="s">
        <v>28</v>
      </c>
      <c r="C1249" t="s">
        <v>124</v>
      </c>
      <c r="D1249" t="s">
        <v>23</v>
      </c>
      <c r="E1249" t="s">
        <v>35</v>
      </c>
      <c r="F1249" s="6" t="str">
        <f t="shared" si="19"/>
        <v>2ML</v>
      </c>
      <c r="G1249" s="7">
        <v>46240</v>
      </c>
      <c r="H1249" s="8">
        <v>0.64166666666666672</v>
      </c>
      <c r="I1249" s="7">
        <v>46240</v>
      </c>
      <c r="J1249" s="1">
        <v>46240</v>
      </c>
      <c r="K1249" s="1">
        <v>46240</v>
      </c>
      <c r="L1249" t="s">
        <v>175</v>
      </c>
      <c r="M1249" t="s">
        <v>146</v>
      </c>
      <c r="N1249" s="9" t="s">
        <v>208</v>
      </c>
      <c r="O1249" t="s">
        <v>24</v>
      </c>
      <c r="P1249">
        <v>32011</v>
      </c>
      <c r="Q1249" t="s">
        <v>123</v>
      </c>
      <c r="S1249" t="s">
        <v>38</v>
      </c>
    </row>
    <row r="1250" spans="1:19" x14ac:dyDescent="0.3">
      <c r="A1250">
        <v>38573</v>
      </c>
      <c r="B1250" t="s">
        <v>28</v>
      </c>
      <c r="C1250" t="s">
        <v>124</v>
      </c>
      <c r="D1250" t="s">
        <v>23</v>
      </c>
      <c r="E1250" t="s">
        <v>47</v>
      </c>
      <c r="F1250" s="6" t="str">
        <f t="shared" si="19"/>
        <v>3ML</v>
      </c>
      <c r="G1250" s="7">
        <v>46240</v>
      </c>
      <c r="H1250" s="8">
        <v>0.64166666666666672</v>
      </c>
      <c r="I1250" s="7">
        <v>46240</v>
      </c>
      <c r="J1250" s="1">
        <v>46240</v>
      </c>
      <c r="K1250" s="1">
        <v>46240</v>
      </c>
      <c r="L1250" t="s">
        <v>175</v>
      </c>
      <c r="M1250" t="s">
        <v>146</v>
      </c>
      <c r="N1250" s="9" t="s">
        <v>208</v>
      </c>
      <c r="O1250" t="s">
        <v>24</v>
      </c>
      <c r="P1250">
        <v>32012</v>
      </c>
      <c r="Q1250" t="s">
        <v>123</v>
      </c>
      <c r="S1250" t="s">
        <v>38</v>
      </c>
    </row>
    <row r="1251" spans="1:19" x14ac:dyDescent="0.3">
      <c r="A1251">
        <v>38574</v>
      </c>
      <c r="B1251" t="s">
        <v>28</v>
      </c>
      <c r="C1251" t="s">
        <v>124</v>
      </c>
      <c r="D1251" t="s">
        <v>23</v>
      </c>
      <c r="E1251" t="s">
        <v>46</v>
      </c>
      <c r="F1251" s="6" t="str">
        <f t="shared" si="19"/>
        <v>6ML</v>
      </c>
      <c r="G1251" s="7">
        <v>46240</v>
      </c>
      <c r="H1251" s="8">
        <v>0.64166666666666672</v>
      </c>
      <c r="I1251" s="7">
        <v>46240</v>
      </c>
      <c r="J1251" s="1">
        <v>46240</v>
      </c>
      <c r="K1251" s="1">
        <v>46240</v>
      </c>
      <c r="L1251" t="s">
        <v>175</v>
      </c>
      <c r="M1251" t="s">
        <v>146</v>
      </c>
      <c r="N1251" s="9" t="s">
        <v>208</v>
      </c>
      <c r="O1251" t="s">
        <v>24</v>
      </c>
      <c r="P1251">
        <v>32013</v>
      </c>
      <c r="Q1251" t="s">
        <v>123</v>
      </c>
      <c r="S1251" t="s">
        <v>38</v>
      </c>
    </row>
    <row r="1252" spans="1:19" x14ac:dyDescent="0.3">
      <c r="A1252">
        <v>38585</v>
      </c>
      <c r="B1252" t="s">
        <v>28</v>
      </c>
      <c r="C1252" t="s">
        <v>124</v>
      </c>
      <c r="D1252" t="s">
        <v>23</v>
      </c>
      <c r="E1252" t="s">
        <v>51</v>
      </c>
      <c r="F1252" s="6" t="str">
        <f t="shared" si="19"/>
        <v>2MC</v>
      </c>
      <c r="G1252" s="7">
        <v>46240</v>
      </c>
      <c r="H1252" s="8">
        <v>0.81319444444444444</v>
      </c>
      <c r="I1252" s="7">
        <v>46240</v>
      </c>
      <c r="J1252" s="1">
        <v>46240</v>
      </c>
      <c r="K1252" s="1">
        <v>46240</v>
      </c>
      <c r="L1252" t="s">
        <v>315</v>
      </c>
      <c r="M1252" t="s">
        <v>130</v>
      </c>
      <c r="N1252" s="9" t="s">
        <v>208</v>
      </c>
      <c r="O1252" t="s">
        <v>24</v>
      </c>
      <c r="P1252">
        <v>32029</v>
      </c>
      <c r="Q1252" t="s">
        <v>123</v>
      </c>
      <c r="S1252" t="s">
        <v>316</v>
      </c>
    </row>
    <row r="1253" spans="1:19" x14ac:dyDescent="0.3">
      <c r="A1253">
        <v>38586</v>
      </c>
      <c r="B1253" t="s">
        <v>28</v>
      </c>
      <c r="C1253" t="s">
        <v>124</v>
      </c>
      <c r="D1253" t="s">
        <v>23</v>
      </c>
      <c r="E1253" t="s">
        <v>53</v>
      </c>
      <c r="F1253" s="6" t="str">
        <f t="shared" si="19"/>
        <v>3MC</v>
      </c>
      <c r="G1253" s="7">
        <v>46240</v>
      </c>
      <c r="H1253" s="8">
        <v>0.81319444444444444</v>
      </c>
      <c r="I1253" s="7">
        <v>46240</v>
      </c>
      <c r="J1253" s="1">
        <v>46240</v>
      </c>
      <c r="K1253" s="1">
        <v>46240</v>
      </c>
      <c r="L1253" t="s">
        <v>315</v>
      </c>
      <c r="M1253" t="s">
        <v>130</v>
      </c>
      <c r="N1253" s="9" t="s">
        <v>208</v>
      </c>
      <c r="O1253" t="s">
        <v>24</v>
      </c>
      <c r="P1253">
        <v>32030</v>
      </c>
      <c r="Q1253" t="s">
        <v>123</v>
      </c>
      <c r="S1253" t="s">
        <v>316</v>
      </c>
    </row>
    <row r="1254" spans="1:19" x14ac:dyDescent="0.3">
      <c r="A1254">
        <v>38587</v>
      </c>
      <c r="B1254" t="s">
        <v>28</v>
      </c>
      <c r="C1254" t="s">
        <v>124</v>
      </c>
      <c r="D1254" t="s">
        <v>23</v>
      </c>
      <c r="E1254" t="s">
        <v>52</v>
      </c>
      <c r="F1254" s="6" t="str">
        <f t="shared" si="19"/>
        <v>6MC</v>
      </c>
      <c r="G1254" s="7">
        <v>46240</v>
      </c>
      <c r="H1254" s="8">
        <v>0.81319444444444444</v>
      </c>
      <c r="I1254" s="7">
        <v>46240</v>
      </c>
      <c r="J1254" s="1">
        <v>46240</v>
      </c>
      <c r="K1254" s="1">
        <v>46240</v>
      </c>
      <c r="L1254" t="s">
        <v>315</v>
      </c>
      <c r="M1254" t="s">
        <v>130</v>
      </c>
      <c r="N1254" s="9" t="s">
        <v>208</v>
      </c>
      <c r="O1254" t="s">
        <v>24</v>
      </c>
      <c r="P1254">
        <v>32031</v>
      </c>
      <c r="Q1254" t="s">
        <v>123</v>
      </c>
      <c r="S1254" t="s">
        <v>316</v>
      </c>
    </row>
    <row r="1255" spans="1:19" x14ac:dyDescent="0.3">
      <c r="A1255">
        <v>38590</v>
      </c>
      <c r="B1255" t="s">
        <v>28</v>
      </c>
      <c r="C1255" t="s">
        <v>124</v>
      </c>
      <c r="D1255" t="s">
        <v>23</v>
      </c>
      <c r="E1255" t="s">
        <v>51</v>
      </c>
      <c r="F1255" s="6" t="str">
        <f t="shared" si="19"/>
        <v>2MC</v>
      </c>
      <c r="G1255" s="7">
        <v>46240</v>
      </c>
      <c r="H1255" s="8">
        <v>0.81319444444444444</v>
      </c>
      <c r="I1255" s="7">
        <v>46240</v>
      </c>
      <c r="J1255" s="1">
        <v>46240</v>
      </c>
      <c r="K1255" s="1">
        <v>46240</v>
      </c>
      <c r="L1255" t="s">
        <v>317</v>
      </c>
      <c r="M1255">
        <v>1624</v>
      </c>
      <c r="N1255" s="9" t="s">
        <v>208</v>
      </c>
      <c r="O1255" t="s">
        <v>27</v>
      </c>
      <c r="P1255">
        <v>32034</v>
      </c>
      <c r="Q1255" t="s">
        <v>123</v>
      </c>
      <c r="S1255" t="s">
        <v>306</v>
      </c>
    </row>
    <row r="1256" spans="1:19" x14ac:dyDescent="0.3">
      <c r="A1256">
        <v>38591</v>
      </c>
      <c r="B1256" t="s">
        <v>28</v>
      </c>
      <c r="C1256" t="s">
        <v>124</v>
      </c>
      <c r="D1256" t="s">
        <v>23</v>
      </c>
      <c r="E1256" t="s">
        <v>53</v>
      </c>
      <c r="F1256" s="6" t="str">
        <f t="shared" si="19"/>
        <v>3MC</v>
      </c>
      <c r="G1256" s="7">
        <v>46240</v>
      </c>
      <c r="H1256" s="8">
        <v>0.81319444444444444</v>
      </c>
      <c r="I1256" s="7">
        <v>46240</v>
      </c>
      <c r="J1256" s="1">
        <v>46240</v>
      </c>
      <c r="K1256" s="1">
        <v>46240</v>
      </c>
      <c r="L1256" t="s">
        <v>317</v>
      </c>
      <c r="M1256">
        <v>1624</v>
      </c>
      <c r="N1256" s="9" t="s">
        <v>208</v>
      </c>
      <c r="O1256" t="s">
        <v>27</v>
      </c>
      <c r="P1256">
        <v>32035</v>
      </c>
      <c r="Q1256" t="s">
        <v>123</v>
      </c>
      <c r="S1256" t="s">
        <v>306</v>
      </c>
    </row>
    <row r="1257" spans="1:19" x14ac:dyDescent="0.3">
      <c r="A1257">
        <v>38592</v>
      </c>
      <c r="B1257" t="s">
        <v>28</v>
      </c>
      <c r="C1257" t="s">
        <v>124</v>
      </c>
      <c r="D1257" t="s">
        <v>23</v>
      </c>
      <c r="E1257" t="s">
        <v>111</v>
      </c>
      <c r="F1257" s="6" t="str">
        <f t="shared" si="19"/>
        <v>6MC</v>
      </c>
      <c r="G1257" s="7">
        <v>46240</v>
      </c>
      <c r="H1257" s="8">
        <v>0.81319444444444444</v>
      </c>
      <c r="I1257" s="7">
        <v>46240</v>
      </c>
      <c r="J1257" s="1">
        <v>46240</v>
      </c>
      <c r="K1257" s="1">
        <v>46240</v>
      </c>
      <c r="L1257" t="s">
        <v>317</v>
      </c>
      <c r="M1257">
        <v>1624</v>
      </c>
      <c r="N1257" s="9" t="s">
        <v>208</v>
      </c>
      <c r="O1257" t="s">
        <v>27</v>
      </c>
      <c r="P1257">
        <v>32036</v>
      </c>
      <c r="Q1257" t="s">
        <v>123</v>
      </c>
      <c r="S1257" t="s">
        <v>306</v>
      </c>
    </row>
    <row r="1258" spans="1:19" x14ac:dyDescent="0.3">
      <c r="A1258">
        <v>38602</v>
      </c>
      <c r="B1258" t="s">
        <v>318</v>
      </c>
      <c r="C1258" t="s">
        <v>124</v>
      </c>
      <c r="D1258" t="s">
        <v>23</v>
      </c>
      <c r="E1258" t="s">
        <v>35</v>
      </c>
      <c r="F1258" s="6" t="str">
        <f t="shared" si="19"/>
        <v>2ML</v>
      </c>
      <c r="G1258" s="7">
        <v>46241</v>
      </c>
      <c r="H1258" s="8">
        <v>0.52430555555555558</v>
      </c>
      <c r="I1258" s="7">
        <v>46241</v>
      </c>
      <c r="L1258" t="s">
        <v>80</v>
      </c>
      <c r="M1258">
        <v>1624</v>
      </c>
      <c r="N1258" s="9" t="s">
        <v>17</v>
      </c>
      <c r="O1258" t="s">
        <v>24</v>
      </c>
      <c r="P1258">
        <v>32045</v>
      </c>
      <c r="Q1258" t="s">
        <v>123</v>
      </c>
      <c r="S1258" t="s">
        <v>40</v>
      </c>
    </row>
    <row r="1259" spans="1:19" x14ac:dyDescent="0.3">
      <c r="A1259">
        <v>38625</v>
      </c>
      <c r="B1259" t="s">
        <v>28</v>
      </c>
      <c r="C1259" t="s">
        <v>124</v>
      </c>
      <c r="D1259" t="s">
        <v>23</v>
      </c>
      <c r="E1259" t="s">
        <v>51</v>
      </c>
      <c r="F1259" s="6" t="str">
        <f t="shared" si="19"/>
        <v>2MC</v>
      </c>
      <c r="G1259" s="7">
        <v>46241</v>
      </c>
      <c r="H1259" s="8">
        <v>0.85902777777777783</v>
      </c>
      <c r="I1259" s="7">
        <v>46241</v>
      </c>
      <c r="J1259" s="1">
        <v>46241</v>
      </c>
      <c r="K1259" s="1">
        <v>46241</v>
      </c>
      <c r="L1259" t="s">
        <v>319</v>
      </c>
      <c r="M1259" t="s">
        <v>178</v>
      </c>
      <c r="N1259" s="9" t="s">
        <v>208</v>
      </c>
      <c r="O1259" t="s">
        <v>27</v>
      </c>
      <c r="P1259">
        <v>32115</v>
      </c>
      <c r="Q1259" t="s">
        <v>123</v>
      </c>
      <c r="S1259" t="s">
        <v>306</v>
      </c>
    </row>
    <row r="1260" spans="1:19" x14ac:dyDescent="0.3">
      <c r="A1260">
        <v>38626</v>
      </c>
      <c r="B1260" t="s">
        <v>28</v>
      </c>
      <c r="C1260" t="s">
        <v>124</v>
      </c>
      <c r="D1260" t="s">
        <v>23</v>
      </c>
      <c r="E1260" t="s">
        <v>53</v>
      </c>
      <c r="F1260" s="6" t="str">
        <f t="shared" si="19"/>
        <v>3MC</v>
      </c>
      <c r="G1260" s="7">
        <v>46241</v>
      </c>
      <c r="H1260" s="8">
        <v>0.85902777777777783</v>
      </c>
      <c r="I1260" s="7">
        <v>46241</v>
      </c>
      <c r="J1260" s="1">
        <v>46241</v>
      </c>
      <c r="K1260" s="1">
        <v>46241</v>
      </c>
      <c r="L1260" t="s">
        <v>319</v>
      </c>
      <c r="M1260" t="s">
        <v>178</v>
      </c>
      <c r="N1260" s="9" t="s">
        <v>208</v>
      </c>
      <c r="O1260" t="s">
        <v>27</v>
      </c>
      <c r="P1260">
        <v>32116</v>
      </c>
      <c r="Q1260" t="s">
        <v>123</v>
      </c>
      <c r="S1260" t="s">
        <v>306</v>
      </c>
    </row>
    <row r="1261" spans="1:19" x14ac:dyDescent="0.3">
      <c r="A1261">
        <v>38627</v>
      </c>
      <c r="B1261" t="s">
        <v>28</v>
      </c>
      <c r="C1261" t="s">
        <v>124</v>
      </c>
      <c r="D1261" t="s">
        <v>23</v>
      </c>
      <c r="E1261" t="s">
        <v>52</v>
      </c>
      <c r="F1261" s="6" t="str">
        <f t="shared" si="19"/>
        <v>6MC</v>
      </c>
      <c r="G1261" s="7">
        <v>46241</v>
      </c>
      <c r="H1261" s="8">
        <v>0.85902777777777783</v>
      </c>
      <c r="I1261" s="7">
        <v>46241</v>
      </c>
      <c r="J1261" s="1">
        <v>46241</v>
      </c>
      <c r="K1261" s="1">
        <v>46241</v>
      </c>
      <c r="L1261" t="s">
        <v>319</v>
      </c>
      <c r="M1261" t="s">
        <v>178</v>
      </c>
      <c r="N1261" s="9" t="s">
        <v>208</v>
      </c>
      <c r="O1261" t="s">
        <v>27</v>
      </c>
      <c r="P1261">
        <v>32117</v>
      </c>
      <c r="Q1261" t="s">
        <v>123</v>
      </c>
      <c r="S1261" t="s">
        <v>306</v>
      </c>
    </row>
    <row r="1262" spans="1:19" x14ac:dyDescent="0.3">
      <c r="A1262" s="14">
        <v>38638</v>
      </c>
      <c r="B1262" s="14" t="s">
        <v>28</v>
      </c>
      <c r="C1262" s="14" t="s">
        <v>15</v>
      </c>
      <c r="D1262" s="14" t="s">
        <v>16</v>
      </c>
      <c r="E1262" s="14" t="s">
        <v>108</v>
      </c>
      <c r="F1262" s="6" t="str">
        <f t="shared" si="19"/>
        <v>2MU</v>
      </c>
      <c r="G1262" s="15">
        <v>46244</v>
      </c>
      <c r="H1262" s="16">
        <v>0.44305555555555554</v>
      </c>
      <c r="I1262" s="15">
        <v>46244</v>
      </c>
      <c r="J1262" s="15">
        <v>46244</v>
      </c>
      <c r="K1262" s="15">
        <v>46244</v>
      </c>
      <c r="L1262" s="14" t="s">
        <v>225</v>
      </c>
      <c r="M1262" s="14" t="s">
        <v>161</v>
      </c>
      <c r="N1262" s="14" t="s">
        <v>208</v>
      </c>
      <c r="O1262" s="14" t="s">
        <v>27</v>
      </c>
      <c r="P1262" s="14">
        <v>32186</v>
      </c>
      <c r="Q1262" s="14" t="s">
        <v>19</v>
      </c>
      <c r="R1262" s="14">
        <v>46455</v>
      </c>
      <c r="S1262" s="14" t="s">
        <v>183</v>
      </c>
    </row>
    <row r="1263" spans="1:19" x14ac:dyDescent="0.3">
      <c r="A1263" s="14">
        <v>38638</v>
      </c>
      <c r="B1263" s="14" t="s">
        <v>28</v>
      </c>
      <c r="C1263" s="14" t="s">
        <v>15</v>
      </c>
      <c r="D1263" s="14" t="s">
        <v>16</v>
      </c>
      <c r="E1263" s="14" t="s">
        <v>108</v>
      </c>
      <c r="F1263" s="6" t="str">
        <f t="shared" si="19"/>
        <v>2MU</v>
      </c>
      <c r="G1263" s="15">
        <v>46244</v>
      </c>
      <c r="H1263" s="16">
        <v>0.44305555555555554</v>
      </c>
      <c r="I1263" s="15">
        <v>46244</v>
      </c>
      <c r="J1263" s="15">
        <v>46244</v>
      </c>
      <c r="K1263" s="15">
        <v>46244</v>
      </c>
      <c r="L1263" s="14" t="s">
        <v>225</v>
      </c>
      <c r="M1263" s="14" t="s">
        <v>161</v>
      </c>
      <c r="N1263" s="14" t="s">
        <v>208</v>
      </c>
      <c r="O1263" s="14" t="s">
        <v>27</v>
      </c>
      <c r="P1263" s="14">
        <v>32186</v>
      </c>
      <c r="Q1263" s="14" t="s">
        <v>19</v>
      </c>
      <c r="R1263" s="14">
        <v>46024</v>
      </c>
      <c r="S1263" s="14" t="s">
        <v>183</v>
      </c>
    </row>
    <row r="1264" spans="1:19" x14ac:dyDescent="0.3">
      <c r="A1264" s="14">
        <v>38639</v>
      </c>
      <c r="B1264" s="14" t="s">
        <v>28</v>
      </c>
      <c r="C1264" s="14" t="s">
        <v>15</v>
      </c>
      <c r="D1264" s="14" t="s">
        <v>16</v>
      </c>
      <c r="E1264" s="14" t="s">
        <v>109</v>
      </c>
      <c r="F1264" s="6" t="str">
        <f t="shared" si="19"/>
        <v>3MU</v>
      </c>
      <c r="G1264" s="15">
        <v>46244</v>
      </c>
      <c r="H1264" s="16">
        <v>0.44305555555555554</v>
      </c>
      <c r="I1264" s="15">
        <v>46244</v>
      </c>
      <c r="J1264" s="15"/>
      <c r="K1264" s="15">
        <v>46247</v>
      </c>
      <c r="L1264" s="14" t="s">
        <v>225</v>
      </c>
      <c r="M1264" s="14" t="s">
        <v>161</v>
      </c>
      <c r="N1264" s="14" t="s">
        <v>208</v>
      </c>
      <c r="O1264" s="14" t="s">
        <v>27</v>
      </c>
      <c r="P1264" s="14">
        <v>32187</v>
      </c>
      <c r="Q1264" s="14" t="s">
        <v>19</v>
      </c>
      <c r="R1264" s="14">
        <v>46111</v>
      </c>
      <c r="S1264" s="14" t="s">
        <v>183</v>
      </c>
    </row>
    <row r="1265" spans="1:19" x14ac:dyDescent="0.3">
      <c r="A1265" s="14">
        <v>38639</v>
      </c>
      <c r="B1265" s="14" t="s">
        <v>28</v>
      </c>
      <c r="C1265" s="14" t="s">
        <v>15</v>
      </c>
      <c r="D1265" s="14" t="s">
        <v>16</v>
      </c>
      <c r="E1265" s="14" t="s">
        <v>109</v>
      </c>
      <c r="F1265" s="6" t="str">
        <f t="shared" si="19"/>
        <v>3MU</v>
      </c>
      <c r="G1265" s="15">
        <v>46244</v>
      </c>
      <c r="H1265" s="16">
        <v>0.44305555555555554</v>
      </c>
      <c r="I1265" s="15">
        <v>46244</v>
      </c>
      <c r="J1265" s="15"/>
      <c r="K1265" s="15">
        <v>46247</v>
      </c>
      <c r="L1265" s="14" t="s">
        <v>225</v>
      </c>
      <c r="M1265" s="14" t="s">
        <v>161</v>
      </c>
      <c r="N1265" s="14" t="s">
        <v>208</v>
      </c>
      <c r="O1265" s="14" t="s">
        <v>27</v>
      </c>
      <c r="P1265" s="14">
        <v>32187</v>
      </c>
      <c r="Q1265" s="14" t="s">
        <v>19</v>
      </c>
      <c r="R1265" s="14">
        <v>46455</v>
      </c>
      <c r="S1265" s="14" t="s">
        <v>183</v>
      </c>
    </row>
    <row r="1266" spans="1:19" x14ac:dyDescent="0.3">
      <c r="A1266" s="14">
        <v>38640</v>
      </c>
      <c r="B1266" s="14" t="s">
        <v>28</v>
      </c>
      <c r="C1266" s="14" t="s">
        <v>15</v>
      </c>
      <c r="D1266" s="14" t="s">
        <v>16</v>
      </c>
      <c r="E1266" s="14" t="s">
        <v>107</v>
      </c>
      <c r="F1266" s="6" t="str">
        <f t="shared" si="19"/>
        <v>4MU</v>
      </c>
      <c r="G1266" s="15">
        <v>46244</v>
      </c>
      <c r="H1266" s="16">
        <v>0.44305555555555554</v>
      </c>
      <c r="I1266" s="15">
        <v>46244</v>
      </c>
      <c r="J1266" s="15"/>
      <c r="K1266" s="15">
        <v>46247</v>
      </c>
      <c r="L1266" s="14" t="s">
        <v>225</v>
      </c>
      <c r="M1266" s="14" t="s">
        <v>161</v>
      </c>
      <c r="N1266" s="14" t="s">
        <v>208</v>
      </c>
      <c r="O1266" s="14" t="s">
        <v>27</v>
      </c>
      <c r="P1266" s="14">
        <v>32189</v>
      </c>
      <c r="Q1266" s="14" t="s">
        <v>19</v>
      </c>
      <c r="R1266" s="14">
        <v>46112</v>
      </c>
      <c r="S1266" s="14" t="s">
        <v>183</v>
      </c>
    </row>
    <row r="1267" spans="1:19" x14ac:dyDescent="0.3">
      <c r="A1267" s="14">
        <v>38640</v>
      </c>
      <c r="B1267" s="14" t="s">
        <v>28</v>
      </c>
      <c r="C1267" s="14" t="s">
        <v>15</v>
      </c>
      <c r="D1267" s="14" t="s">
        <v>16</v>
      </c>
      <c r="E1267" s="14" t="s">
        <v>107</v>
      </c>
      <c r="F1267" s="6" t="str">
        <f t="shared" si="19"/>
        <v>4MU</v>
      </c>
      <c r="G1267" s="15">
        <v>46244</v>
      </c>
      <c r="H1267" s="16">
        <v>0.44305555555555554</v>
      </c>
      <c r="I1267" s="15">
        <v>46244</v>
      </c>
      <c r="J1267" s="15"/>
      <c r="K1267" s="15">
        <v>46247</v>
      </c>
      <c r="L1267" s="14" t="s">
        <v>225</v>
      </c>
      <c r="M1267" s="14" t="s">
        <v>161</v>
      </c>
      <c r="N1267" s="14" t="s">
        <v>208</v>
      </c>
      <c r="O1267" s="14" t="s">
        <v>27</v>
      </c>
      <c r="P1267" s="14">
        <v>32189</v>
      </c>
      <c r="Q1267" s="14" t="s">
        <v>19</v>
      </c>
      <c r="R1267" s="14">
        <v>46455</v>
      </c>
      <c r="S1267" s="14" t="s">
        <v>183</v>
      </c>
    </row>
    <row r="1268" spans="1:19" x14ac:dyDescent="0.3">
      <c r="A1268" s="14">
        <v>38641</v>
      </c>
      <c r="B1268" s="14" t="s">
        <v>28</v>
      </c>
      <c r="C1268" s="14" t="s">
        <v>15</v>
      </c>
      <c r="D1268" s="14" t="s">
        <v>16</v>
      </c>
      <c r="E1268" s="14" t="s">
        <v>110</v>
      </c>
      <c r="F1268" s="6" t="str">
        <f t="shared" si="19"/>
        <v>5MU</v>
      </c>
      <c r="G1268" s="15">
        <v>46244</v>
      </c>
      <c r="H1268" s="16">
        <v>0.44305555555555554</v>
      </c>
      <c r="I1268" s="15">
        <v>46244</v>
      </c>
      <c r="J1268" s="15">
        <v>46244</v>
      </c>
      <c r="K1268" s="15">
        <v>46244</v>
      </c>
      <c r="L1268" s="14" t="s">
        <v>225</v>
      </c>
      <c r="M1268" s="14" t="s">
        <v>161</v>
      </c>
      <c r="N1268" s="14" t="s">
        <v>208</v>
      </c>
      <c r="O1268" s="14" t="s">
        <v>27</v>
      </c>
      <c r="P1268" s="14">
        <v>32190</v>
      </c>
      <c r="Q1268" s="14" t="s">
        <v>19</v>
      </c>
      <c r="R1268" s="14">
        <v>46455</v>
      </c>
      <c r="S1268" s="14" t="s">
        <v>183</v>
      </c>
    </row>
    <row r="1269" spans="1:19" x14ac:dyDescent="0.3">
      <c r="A1269" s="14">
        <v>38641</v>
      </c>
      <c r="B1269" s="14" t="s">
        <v>28</v>
      </c>
      <c r="C1269" s="14" t="s">
        <v>15</v>
      </c>
      <c r="D1269" s="14" t="s">
        <v>16</v>
      </c>
      <c r="E1269" s="14" t="s">
        <v>110</v>
      </c>
      <c r="F1269" s="6" t="str">
        <f t="shared" si="19"/>
        <v>5MU</v>
      </c>
      <c r="G1269" s="15">
        <v>46244</v>
      </c>
      <c r="H1269" s="16">
        <v>0.44305555555555554</v>
      </c>
      <c r="I1269" s="15">
        <v>46244</v>
      </c>
      <c r="J1269" s="15">
        <v>46244</v>
      </c>
      <c r="K1269" s="15">
        <v>46244</v>
      </c>
      <c r="L1269" s="14" t="s">
        <v>225</v>
      </c>
      <c r="M1269" s="14" t="s">
        <v>161</v>
      </c>
      <c r="N1269" s="14" t="s">
        <v>208</v>
      </c>
      <c r="O1269" s="14" t="s">
        <v>27</v>
      </c>
      <c r="P1269" s="14">
        <v>32190</v>
      </c>
      <c r="Q1269" s="14" t="s">
        <v>19</v>
      </c>
      <c r="R1269" s="14">
        <v>46025</v>
      </c>
      <c r="S1269" s="14" t="s">
        <v>183</v>
      </c>
    </row>
    <row r="1270" spans="1:19" x14ac:dyDescent="0.3">
      <c r="A1270" s="14">
        <v>38976</v>
      </c>
      <c r="B1270" s="14" t="s">
        <v>28</v>
      </c>
      <c r="C1270" s="14" t="s">
        <v>15</v>
      </c>
      <c r="D1270" s="14" t="s">
        <v>16</v>
      </c>
      <c r="E1270" s="14" t="s">
        <v>35</v>
      </c>
      <c r="F1270" s="6" t="str">
        <f t="shared" si="19"/>
        <v>2ML</v>
      </c>
      <c r="G1270" s="15">
        <v>46244</v>
      </c>
      <c r="H1270" s="16">
        <v>0.67499999999999993</v>
      </c>
      <c r="I1270" s="15">
        <v>46244</v>
      </c>
      <c r="J1270" s="15">
        <v>46244</v>
      </c>
      <c r="K1270" s="15">
        <v>46244</v>
      </c>
      <c r="L1270" s="14" t="s">
        <v>145</v>
      </c>
      <c r="M1270" s="14" t="s">
        <v>146</v>
      </c>
      <c r="N1270" s="14" t="s">
        <v>17</v>
      </c>
      <c r="O1270" s="14" t="s">
        <v>24</v>
      </c>
      <c r="P1270" s="14">
        <v>32220</v>
      </c>
      <c r="Q1270" s="14" t="s">
        <v>19</v>
      </c>
      <c r="R1270" s="14">
        <v>46349</v>
      </c>
      <c r="S1270" s="14" t="s">
        <v>307</v>
      </c>
    </row>
    <row r="1271" spans="1:19" x14ac:dyDescent="0.3">
      <c r="A1271" s="14">
        <v>38976</v>
      </c>
      <c r="B1271" s="14" t="s">
        <v>28</v>
      </c>
      <c r="C1271" s="14" t="s">
        <v>15</v>
      </c>
      <c r="D1271" s="14" t="s">
        <v>16</v>
      </c>
      <c r="E1271" s="14" t="s">
        <v>35</v>
      </c>
      <c r="F1271" s="6" t="str">
        <f t="shared" si="19"/>
        <v>2ML</v>
      </c>
      <c r="G1271" s="15">
        <v>46244</v>
      </c>
      <c r="H1271" s="16">
        <v>0.67499999999999993</v>
      </c>
      <c r="I1271" s="15">
        <v>46244</v>
      </c>
      <c r="J1271" s="15">
        <v>46244</v>
      </c>
      <c r="K1271" s="15">
        <v>46244</v>
      </c>
      <c r="L1271" s="14" t="s">
        <v>145</v>
      </c>
      <c r="M1271" s="14" t="s">
        <v>146</v>
      </c>
      <c r="N1271" s="14" t="s">
        <v>17</v>
      </c>
      <c r="O1271" s="14" t="s">
        <v>24</v>
      </c>
      <c r="P1271" s="14">
        <v>32220</v>
      </c>
      <c r="Q1271" s="14" t="s">
        <v>19</v>
      </c>
      <c r="R1271" s="14">
        <v>46350</v>
      </c>
      <c r="S1271" s="14" t="s">
        <v>307</v>
      </c>
    </row>
    <row r="1272" spans="1:19" x14ac:dyDescent="0.3">
      <c r="A1272" s="14">
        <v>38977</v>
      </c>
      <c r="B1272" s="14" t="s">
        <v>28</v>
      </c>
      <c r="C1272" s="14" t="s">
        <v>15</v>
      </c>
      <c r="D1272" s="14" t="s">
        <v>16</v>
      </c>
      <c r="E1272" s="14" t="s">
        <v>47</v>
      </c>
      <c r="F1272" s="6" t="str">
        <f t="shared" si="19"/>
        <v>3ML</v>
      </c>
      <c r="G1272" s="15">
        <v>46244</v>
      </c>
      <c r="H1272" s="16">
        <v>0.67499999999999993</v>
      </c>
      <c r="I1272" s="15">
        <v>46244</v>
      </c>
      <c r="J1272" s="15">
        <v>46244</v>
      </c>
      <c r="K1272" s="15">
        <v>46244</v>
      </c>
      <c r="L1272" s="14" t="s">
        <v>145</v>
      </c>
      <c r="M1272" s="14" t="s">
        <v>146</v>
      </c>
      <c r="N1272" s="14" t="s">
        <v>17</v>
      </c>
      <c r="O1272" s="14" t="s">
        <v>24</v>
      </c>
      <c r="P1272" s="14">
        <v>32221</v>
      </c>
      <c r="Q1272" s="14" t="s">
        <v>19</v>
      </c>
      <c r="R1272" s="14">
        <v>46351</v>
      </c>
      <c r="S1272" s="14" t="s">
        <v>307</v>
      </c>
    </row>
    <row r="1273" spans="1:19" x14ac:dyDescent="0.3">
      <c r="A1273" s="14">
        <v>38977</v>
      </c>
      <c r="B1273" s="14" t="s">
        <v>28</v>
      </c>
      <c r="C1273" s="14" t="s">
        <v>15</v>
      </c>
      <c r="D1273" s="14" t="s">
        <v>16</v>
      </c>
      <c r="E1273" s="14" t="s">
        <v>47</v>
      </c>
      <c r="F1273" s="6" t="str">
        <f t="shared" si="19"/>
        <v>3ML</v>
      </c>
      <c r="G1273" s="15">
        <v>46244</v>
      </c>
      <c r="H1273" s="16">
        <v>0.67499999999999993</v>
      </c>
      <c r="I1273" s="15">
        <v>46244</v>
      </c>
      <c r="J1273" s="15">
        <v>46244</v>
      </c>
      <c r="K1273" s="15">
        <v>46244</v>
      </c>
      <c r="L1273" s="14" t="s">
        <v>145</v>
      </c>
      <c r="M1273" s="14" t="s">
        <v>146</v>
      </c>
      <c r="N1273" s="14" t="s">
        <v>17</v>
      </c>
      <c r="O1273" s="14" t="s">
        <v>24</v>
      </c>
      <c r="P1273" s="14">
        <v>32221</v>
      </c>
      <c r="Q1273" s="14" t="s">
        <v>19</v>
      </c>
      <c r="R1273" s="14">
        <v>46353</v>
      </c>
      <c r="S1273" s="14" t="s">
        <v>307</v>
      </c>
    </row>
    <row r="1274" spans="1:19" x14ac:dyDescent="0.3">
      <c r="A1274" s="14">
        <v>38978</v>
      </c>
      <c r="B1274" s="14" t="s">
        <v>28</v>
      </c>
      <c r="C1274" s="14" t="s">
        <v>15</v>
      </c>
      <c r="D1274" s="14" t="s">
        <v>16</v>
      </c>
      <c r="E1274" s="14" t="s">
        <v>46</v>
      </c>
      <c r="F1274" s="6" t="str">
        <f t="shared" si="19"/>
        <v>6ML</v>
      </c>
      <c r="G1274" s="15">
        <v>46244</v>
      </c>
      <c r="H1274" s="16">
        <v>0.67499999999999993</v>
      </c>
      <c r="I1274" s="15">
        <v>46244</v>
      </c>
      <c r="J1274" s="15">
        <v>46244</v>
      </c>
      <c r="K1274" s="15">
        <v>46244</v>
      </c>
      <c r="L1274" s="14" t="s">
        <v>145</v>
      </c>
      <c r="M1274" s="14" t="s">
        <v>146</v>
      </c>
      <c r="N1274" s="14" t="s">
        <v>17</v>
      </c>
      <c r="O1274" s="14" t="s">
        <v>24</v>
      </c>
      <c r="P1274" s="14">
        <v>32222</v>
      </c>
      <c r="Q1274" s="14" t="s">
        <v>19</v>
      </c>
      <c r="R1274" s="14">
        <v>46354</v>
      </c>
      <c r="S1274" s="14" t="s">
        <v>307</v>
      </c>
    </row>
    <row r="1275" spans="1:19" x14ac:dyDescent="0.3">
      <c r="A1275" s="14">
        <v>38978</v>
      </c>
      <c r="B1275" s="14" t="s">
        <v>28</v>
      </c>
      <c r="C1275" s="14" t="s">
        <v>15</v>
      </c>
      <c r="D1275" s="14" t="s">
        <v>16</v>
      </c>
      <c r="E1275" s="14" t="s">
        <v>46</v>
      </c>
      <c r="F1275" s="6" t="str">
        <f t="shared" si="19"/>
        <v>6ML</v>
      </c>
      <c r="G1275" s="15">
        <v>46244</v>
      </c>
      <c r="H1275" s="16">
        <v>0.67499999999999993</v>
      </c>
      <c r="I1275" s="15">
        <v>46244</v>
      </c>
      <c r="J1275" s="15">
        <v>46244</v>
      </c>
      <c r="K1275" s="15">
        <v>46244</v>
      </c>
      <c r="L1275" s="14" t="s">
        <v>145</v>
      </c>
      <c r="M1275" s="14" t="s">
        <v>146</v>
      </c>
      <c r="N1275" s="14" t="s">
        <v>17</v>
      </c>
      <c r="O1275" s="14" t="s">
        <v>24</v>
      </c>
      <c r="P1275" s="14">
        <v>32222</v>
      </c>
      <c r="Q1275" s="14" t="s">
        <v>19</v>
      </c>
      <c r="R1275" s="14">
        <v>46355</v>
      </c>
      <c r="S1275" s="14" t="s">
        <v>307</v>
      </c>
    </row>
    <row r="1276" spans="1:19" x14ac:dyDescent="0.3">
      <c r="A1276" s="14">
        <v>39006</v>
      </c>
      <c r="B1276" s="14" t="s">
        <v>28</v>
      </c>
      <c r="C1276" s="14" t="s">
        <v>124</v>
      </c>
      <c r="D1276" s="14" t="s">
        <v>23</v>
      </c>
      <c r="E1276" s="14" t="s">
        <v>108</v>
      </c>
      <c r="F1276" s="6" t="str">
        <f t="shared" si="19"/>
        <v>2MU</v>
      </c>
      <c r="G1276" s="15">
        <v>46246</v>
      </c>
      <c r="H1276" s="16">
        <v>0.4236111111111111</v>
      </c>
      <c r="I1276" s="15">
        <v>46245</v>
      </c>
      <c r="J1276" s="15"/>
      <c r="K1276" s="15"/>
      <c r="L1276" s="14" t="s">
        <v>205</v>
      </c>
      <c r="M1276" s="14" t="s">
        <v>95</v>
      </c>
      <c r="N1276" s="14" t="s">
        <v>17</v>
      </c>
      <c r="O1276" s="14" t="s">
        <v>25</v>
      </c>
      <c r="P1276" s="14">
        <v>32245</v>
      </c>
      <c r="Q1276" s="14" t="s">
        <v>123</v>
      </c>
      <c r="R1276" s="14"/>
      <c r="S1276" s="14" t="s">
        <v>45</v>
      </c>
    </row>
    <row r="1277" spans="1:19" x14ac:dyDescent="0.3">
      <c r="A1277" s="14">
        <v>39007</v>
      </c>
      <c r="B1277" s="14" t="s">
        <v>28</v>
      </c>
      <c r="C1277" s="14" t="s">
        <v>124</v>
      </c>
      <c r="D1277" s="14" t="s">
        <v>23</v>
      </c>
      <c r="E1277" s="14" t="s">
        <v>109</v>
      </c>
      <c r="F1277" s="6" t="str">
        <f t="shared" si="19"/>
        <v>3MU</v>
      </c>
      <c r="G1277" s="15">
        <v>46246</v>
      </c>
      <c r="H1277" s="16">
        <v>0.4236111111111111</v>
      </c>
      <c r="I1277" s="15">
        <v>46245</v>
      </c>
      <c r="J1277" s="15"/>
      <c r="K1277" s="15"/>
      <c r="L1277" s="14" t="s">
        <v>205</v>
      </c>
      <c r="M1277" s="14" t="s">
        <v>95</v>
      </c>
      <c r="N1277" s="14" t="s">
        <v>17</v>
      </c>
      <c r="O1277" s="14" t="s">
        <v>25</v>
      </c>
      <c r="P1277" s="14">
        <v>32246</v>
      </c>
      <c r="Q1277" s="14" t="s">
        <v>123</v>
      </c>
      <c r="R1277" s="14"/>
      <c r="S1277" s="14" t="s">
        <v>45</v>
      </c>
    </row>
    <row r="1278" spans="1:19" x14ac:dyDescent="0.3">
      <c r="A1278" s="14">
        <v>39008</v>
      </c>
      <c r="B1278" s="14" t="s">
        <v>28</v>
      </c>
      <c r="C1278" s="14" t="s">
        <v>124</v>
      </c>
      <c r="D1278" s="14" t="s">
        <v>23</v>
      </c>
      <c r="E1278" s="14" t="s">
        <v>107</v>
      </c>
      <c r="F1278" s="6" t="str">
        <f t="shared" ref="F1278:F1341" si="20">MID(E1278,1,3)</f>
        <v>4MU</v>
      </c>
      <c r="G1278" s="15">
        <v>46246</v>
      </c>
      <c r="H1278" s="16">
        <v>0.4236111111111111</v>
      </c>
      <c r="I1278" s="15">
        <v>46245</v>
      </c>
      <c r="J1278" s="15"/>
      <c r="K1278" s="15"/>
      <c r="L1278" s="14" t="s">
        <v>205</v>
      </c>
      <c r="M1278" s="14" t="s">
        <v>95</v>
      </c>
      <c r="N1278" s="14" t="s">
        <v>17</v>
      </c>
      <c r="O1278" s="14" t="s">
        <v>25</v>
      </c>
      <c r="P1278" s="14">
        <v>32247</v>
      </c>
      <c r="Q1278" s="14" t="s">
        <v>123</v>
      </c>
      <c r="R1278" s="14"/>
      <c r="S1278" s="14" t="s">
        <v>45</v>
      </c>
    </row>
    <row r="1279" spans="1:19" x14ac:dyDescent="0.3">
      <c r="A1279" s="14">
        <v>39011</v>
      </c>
      <c r="B1279" s="14" t="s">
        <v>28</v>
      </c>
      <c r="C1279" s="14" t="s">
        <v>124</v>
      </c>
      <c r="D1279" s="14" t="s">
        <v>23</v>
      </c>
      <c r="E1279" s="14" t="s">
        <v>110</v>
      </c>
      <c r="F1279" s="6" t="str">
        <f t="shared" si="20"/>
        <v>5MU</v>
      </c>
      <c r="G1279" s="15">
        <v>46246</v>
      </c>
      <c r="H1279" s="16">
        <v>0.45902777777777781</v>
      </c>
      <c r="I1279" s="15">
        <v>46245</v>
      </c>
      <c r="J1279" s="15"/>
      <c r="K1279" s="15"/>
      <c r="L1279" s="14" t="s">
        <v>205</v>
      </c>
      <c r="M1279" s="14" t="s">
        <v>95</v>
      </c>
      <c r="N1279" s="14" t="s">
        <v>17</v>
      </c>
      <c r="O1279" s="14" t="s">
        <v>25</v>
      </c>
      <c r="P1279" s="14">
        <v>32250</v>
      </c>
      <c r="Q1279" s="14" t="s">
        <v>123</v>
      </c>
      <c r="R1279" s="14"/>
      <c r="S1279" s="14" t="s">
        <v>45</v>
      </c>
    </row>
    <row r="1280" spans="1:19" x14ac:dyDescent="0.3">
      <c r="A1280" s="14">
        <v>39015</v>
      </c>
      <c r="B1280" s="14" t="s">
        <v>28</v>
      </c>
      <c r="C1280" s="14" t="s">
        <v>124</v>
      </c>
      <c r="D1280" s="14" t="s">
        <v>23</v>
      </c>
      <c r="E1280" s="14" t="s">
        <v>35</v>
      </c>
      <c r="F1280" s="6" t="str">
        <f t="shared" si="20"/>
        <v>2ML</v>
      </c>
      <c r="G1280" s="15">
        <v>46246</v>
      </c>
      <c r="H1280" s="16">
        <v>0.47430555555555554</v>
      </c>
      <c r="I1280" s="15">
        <v>46245</v>
      </c>
      <c r="J1280" s="15"/>
      <c r="K1280" s="15"/>
      <c r="L1280" s="14" t="s">
        <v>203</v>
      </c>
      <c r="M1280" s="14" t="s">
        <v>126</v>
      </c>
      <c r="N1280" s="14" t="s">
        <v>17</v>
      </c>
      <c r="O1280" s="14" t="s">
        <v>24</v>
      </c>
      <c r="P1280" s="14">
        <v>32253</v>
      </c>
      <c r="Q1280" s="14" t="s">
        <v>123</v>
      </c>
      <c r="R1280" s="14"/>
      <c r="S1280" s="14" t="s">
        <v>307</v>
      </c>
    </row>
    <row r="1281" spans="1:19" x14ac:dyDescent="0.3">
      <c r="A1281" s="14">
        <v>39016</v>
      </c>
      <c r="B1281" s="14" t="s">
        <v>28</v>
      </c>
      <c r="C1281" s="14" t="s">
        <v>124</v>
      </c>
      <c r="D1281" s="14" t="s">
        <v>23</v>
      </c>
      <c r="E1281" s="14" t="s">
        <v>47</v>
      </c>
      <c r="F1281" s="6" t="str">
        <f t="shared" si="20"/>
        <v>3ML</v>
      </c>
      <c r="G1281" s="15">
        <v>46246</v>
      </c>
      <c r="H1281" s="16">
        <v>0.47430555555555554</v>
      </c>
      <c r="I1281" s="15">
        <v>46245</v>
      </c>
      <c r="J1281" s="15"/>
      <c r="K1281" s="15"/>
      <c r="L1281" s="14" t="s">
        <v>203</v>
      </c>
      <c r="M1281" s="14" t="s">
        <v>126</v>
      </c>
      <c r="N1281" s="14" t="s">
        <v>17</v>
      </c>
      <c r="O1281" s="14" t="s">
        <v>24</v>
      </c>
      <c r="P1281" s="14">
        <v>32255</v>
      </c>
      <c r="Q1281" s="14" t="s">
        <v>123</v>
      </c>
      <c r="R1281" s="14"/>
      <c r="S1281" s="14" t="s">
        <v>307</v>
      </c>
    </row>
    <row r="1282" spans="1:19" x14ac:dyDescent="0.3">
      <c r="A1282" s="14">
        <v>39017</v>
      </c>
      <c r="B1282" s="14" t="s">
        <v>28</v>
      </c>
      <c r="C1282" s="14" t="s">
        <v>124</v>
      </c>
      <c r="D1282" s="14" t="s">
        <v>23</v>
      </c>
      <c r="E1282" s="14" t="s">
        <v>46</v>
      </c>
      <c r="F1282" s="6" t="str">
        <f t="shared" si="20"/>
        <v>6ML</v>
      </c>
      <c r="G1282" s="15">
        <v>46246</v>
      </c>
      <c r="H1282" s="16">
        <v>0.47430555555555554</v>
      </c>
      <c r="I1282" s="15">
        <v>46245</v>
      </c>
      <c r="J1282" s="15"/>
      <c r="K1282" s="15"/>
      <c r="L1282" s="14" t="s">
        <v>203</v>
      </c>
      <c r="M1282" s="14" t="s">
        <v>126</v>
      </c>
      <c r="N1282" s="14" t="s">
        <v>17</v>
      </c>
      <c r="O1282" s="14" t="s">
        <v>24</v>
      </c>
      <c r="P1282" s="14">
        <v>32256</v>
      </c>
      <c r="Q1282" s="14" t="s">
        <v>123</v>
      </c>
      <c r="R1282" s="14"/>
      <c r="S1282" s="14" t="s">
        <v>307</v>
      </c>
    </row>
    <row r="1283" spans="1:19" x14ac:dyDescent="0.3">
      <c r="A1283" s="14">
        <v>39037</v>
      </c>
      <c r="B1283" s="14" t="s">
        <v>28</v>
      </c>
      <c r="C1283" s="14" t="s">
        <v>15</v>
      </c>
      <c r="D1283" s="14" t="s">
        <v>16</v>
      </c>
      <c r="E1283" s="14" t="s">
        <v>113</v>
      </c>
      <c r="F1283" s="6" t="str">
        <f t="shared" si="20"/>
        <v>2MC</v>
      </c>
      <c r="G1283" s="15">
        <v>46246</v>
      </c>
      <c r="H1283" s="16">
        <v>0.58819444444444446</v>
      </c>
      <c r="I1283" s="15">
        <v>46246</v>
      </c>
      <c r="J1283" s="15">
        <v>46246</v>
      </c>
      <c r="K1283" s="15">
        <v>46248</v>
      </c>
      <c r="L1283" s="14" t="s">
        <v>322</v>
      </c>
      <c r="M1283" s="14" t="s">
        <v>128</v>
      </c>
      <c r="N1283" s="14" t="s">
        <v>208</v>
      </c>
      <c r="O1283" s="14" t="s">
        <v>18</v>
      </c>
      <c r="P1283" s="14">
        <v>32276</v>
      </c>
      <c r="Q1283" s="14" t="s">
        <v>123</v>
      </c>
      <c r="R1283" s="14"/>
      <c r="S1283" s="14" t="s">
        <v>22</v>
      </c>
    </row>
    <row r="1284" spans="1:19" x14ac:dyDescent="0.3">
      <c r="A1284" s="14">
        <v>39037</v>
      </c>
      <c r="B1284" s="14" t="s">
        <v>28</v>
      </c>
      <c r="C1284" s="14" t="s">
        <v>15</v>
      </c>
      <c r="D1284" s="14" t="s">
        <v>16</v>
      </c>
      <c r="E1284" s="14" t="s">
        <v>113</v>
      </c>
      <c r="F1284" s="6" t="str">
        <f t="shared" si="20"/>
        <v>2MC</v>
      </c>
      <c r="G1284" s="15">
        <v>46246</v>
      </c>
      <c r="H1284" s="16">
        <v>0.58819444444444446</v>
      </c>
      <c r="I1284" s="15">
        <v>46246</v>
      </c>
      <c r="J1284" s="15">
        <v>46246</v>
      </c>
      <c r="K1284" s="15">
        <v>46248</v>
      </c>
      <c r="L1284" s="14" t="s">
        <v>322</v>
      </c>
      <c r="M1284" s="14" t="s">
        <v>128</v>
      </c>
      <c r="N1284" s="14" t="s">
        <v>208</v>
      </c>
      <c r="O1284" s="14" t="s">
        <v>18</v>
      </c>
      <c r="P1284" s="14">
        <v>32276</v>
      </c>
      <c r="Q1284" s="14" t="s">
        <v>123</v>
      </c>
      <c r="R1284" s="14">
        <v>46498</v>
      </c>
      <c r="S1284" s="14" t="s">
        <v>22</v>
      </c>
    </row>
    <row r="1285" spans="1:19" x14ac:dyDescent="0.3">
      <c r="A1285" s="14">
        <v>39038</v>
      </c>
      <c r="B1285" s="14" t="s">
        <v>28</v>
      </c>
      <c r="C1285" s="14" t="s">
        <v>15</v>
      </c>
      <c r="D1285" s="14" t="s">
        <v>16</v>
      </c>
      <c r="E1285" s="14" t="s">
        <v>122</v>
      </c>
      <c r="F1285" s="6" t="str">
        <f t="shared" si="20"/>
        <v>3MC</v>
      </c>
      <c r="G1285" s="15">
        <v>46246</v>
      </c>
      <c r="H1285" s="16">
        <v>0.58819444444444446</v>
      </c>
      <c r="I1285" s="15">
        <v>46246</v>
      </c>
      <c r="J1285" s="15">
        <v>46246</v>
      </c>
      <c r="K1285" s="15">
        <v>46248</v>
      </c>
      <c r="L1285" s="14" t="s">
        <v>322</v>
      </c>
      <c r="M1285" s="14" t="s">
        <v>128</v>
      </c>
      <c r="N1285" s="14" t="s">
        <v>208</v>
      </c>
      <c r="O1285" s="14" t="s">
        <v>18</v>
      </c>
      <c r="P1285" s="14">
        <v>32277</v>
      </c>
      <c r="Q1285" s="14" t="s">
        <v>123</v>
      </c>
      <c r="R1285" s="14"/>
      <c r="S1285" s="14" t="s">
        <v>22</v>
      </c>
    </row>
    <row r="1286" spans="1:19" x14ac:dyDescent="0.3">
      <c r="A1286" s="14">
        <v>39038</v>
      </c>
      <c r="B1286" s="14" t="s">
        <v>28</v>
      </c>
      <c r="C1286" s="14" t="s">
        <v>15</v>
      </c>
      <c r="D1286" s="14" t="s">
        <v>16</v>
      </c>
      <c r="E1286" s="14" t="s">
        <v>122</v>
      </c>
      <c r="F1286" s="6" t="str">
        <f t="shared" si="20"/>
        <v>3MC</v>
      </c>
      <c r="G1286" s="15">
        <v>46246</v>
      </c>
      <c r="H1286" s="16">
        <v>0.58819444444444446</v>
      </c>
      <c r="I1286" s="15">
        <v>46246</v>
      </c>
      <c r="J1286" s="15">
        <v>46246</v>
      </c>
      <c r="K1286" s="15">
        <v>46248</v>
      </c>
      <c r="L1286" s="14" t="s">
        <v>322</v>
      </c>
      <c r="M1286" s="14" t="s">
        <v>128</v>
      </c>
      <c r="N1286" s="14" t="s">
        <v>208</v>
      </c>
      <c r="O1286" s="14" t="s">
        <v>18</v>
      </c>
      <c r="P1286" s="14">
        <v>32277</v>
      </c>
      <c r="Q1286" s="14" t="s">
        <v>123</v>
      </c>
      <c r="R1286" s="14">
        <v>46499</v>
      </c>
      <c r="S1286" s="14" t="s">
        <v>22</v>
      </c>
    </row>
    <row r="1287" spans="1:19" x14ac:dyDescent="0.3">
      <c r="A1287" s="14">
        <v>39039</v>
      </c>
      <c r="B1287" s="14" t="s">
        <v>28</v>
      </c>
      <c r="C1287" s="14" t="s">
        <v>15</v>
      </c>
      <c r="D1287" s="14" t="s">
        <v>16</v>
      </c>
      <c r="E1287" s="14" t="s">
        <v>114</v>
      </c>
      <c r="F1287" s="6" t="str">
        <f t="shared" si="20"/>
        <v>6MC</v>
      </c>
      <c r="G1287" s="15">
        <v>46246</v>
      </c>
      <c r="H1287" s="16">
        <v>0.58819444444444446</v>
      </c>
      <c r="I1287" s="15">
        <v>46246</v>
      </c>
      <c r="J1287" s="15">
        <v>46246</v>
      </c>
      <c r="K1287" s="15">
        <v>46248</v>
      </c>
      <c r="L1287" s="14" t="s">
        <v>322</v>
      </c>
      <c r="M1287" s="14" t="s">
        <v>128</v>
      </c>
      <c r="N1287" s="14" t="s">
        <v>208</v>
      </c>
      <c r="O1287" s="14" t="s">
        <v>18</v>
      </c>
      <c r="P1287" s="14">
        <v>32278</v>
      </c>
      <c r="Q1287" s="14" t="s">
        <v>123</v>
      </c>
      <c r="R1287" s="14"/>
      <c r="S1287" s="14" t="s">
        <v>22</v>
      </c>
    </row>
    <row r="1288" spans="1:19" x14ac:dyDescent="0.3">
      <c r="A1288" s="14">
        <v>39039</v>
      </c>
      <c r="B1288" s="14" t="s">
        <v>28</v>
      </c>
      <c r="C1288" s="14" t="s">
        <v>15</v>
      </c>
      <c r="D1288" s="14" t="s">
        <v>16</v>
      </c>
      <c r="E1288" s="14" t="s">
        <v>114</v>
      </c>
      <c r="F1288" s="6" t="str">
        <f t="shared" si="20"/>
        <v>6MC</v>
      </c>
      <c r="G1288" s="15">
        <v>46246</v>
      </c>
      <c r="H1288" s="16">
        <v>0.58819444444444446</v>
      </c>
      <c r="I1288" s="15">
        <v>46246</v>
      </c>
      <c r="J1288" s="15">
        <v>46246</v>
      </c>
      <c r="K1288" s="15">
        <v>46248</v>
      </c>
      <c r="L1288" s="14" t="s">
        <v>322</v>
      </c>
      <c r="M1288" s="14" t="s">
        <v>128</v>
      </c>
      <c r="N1288" s="14" t="s">
        <v>208</v>
      </c>
      <c r="O1288" s="14" t="s">
        <v>18</v>
      </c>
      <c r="P1288" s="14">
        <v>32278</v>
      </c>
      <c r="Q1288" s="14" t="s">
        <v>123</v>
      </c>
      <c r="R1288" s="14">
        <v>46500</v>
      </c>
      <c r="S1288" s="14" t="s">
        <v>22</v>
      </c>
    </row>
    <row r="1289" spans="1:19" x14ac:dyDescent="0.3">
      <c r="A1289" s="14">
        <v>39063</v>
      </c>
      <c r="B1289" s="14" t="s">
        <v>28</v>
      </c>
      <c r="C1289" s="14" t="s">
        <v>15</v>
      </c>
      <c r="D1289" s="14" t="s">
        <v>16</v>
      </c>
      <c r="E1289" s="14" t="s">
        <v>115</v>
      </c>
      <c r="F1289" s="6" t="str">
        <f t="shared" si="20"/>
        <v>2ML</v>
      </c>
      <c r="G1289" s="15">
        <v>46247</v>
      </c>
      <c r="H1289" s="16">
        <v>0.47013888888888888</v>
      </c>
      <c r="I1289" s="15">
        <v>46247</v>
      </c>
      <c r="J1289" s="15"/>
      <c r="K1289" s="15">
        <v>46252</v>
      </c>
      <c r="L1289" s="14" t="s">
        <v>54</v>
      </c>
      <c r="M1289" s="14" t="s">
        <v>129</v>
      </c>
      <c r="N1289" s="14" t="s">
        <v>208</v>
      </c>
      <c r="O1289" s="14" t="s">
        <v>24</v>
      </c>
      <c r="P1289" s="14">
        <v>32308</v>
      </c>
      <c r="Q1289" s="14" t="s">
        <v>123</v>
      </c>
      <c r="R1289" s="14"/>
      <c r="S1289" s="14" t="s">
        <v>38</v>
      </c>
    </row>
    <row r="1290" spans="1:19" x14ac:dyDescent="0.3">
      <c r="A1290" s="14">
        <v>39063</v>
      </c>
      <c r="B1290" s="14" t="s">
        <v>28</v>
      </c>
      <c r="C1290" s="14" t="s">
        <v>15</v>
      </c>
      <c r="D1290" s="14" t="s">
        <v>16</v>
      </c>
      <c r="E1290" s="14" t="s">
        <v>115</v>
      </c>
      <c r="F1290" s="6" t="str">
        <f t="shared" si="20"/>
        <v>2ML</v>
      </c>
      <c r="G1290" s="15">
        <v>46247</v>
      </c>
      <c r="H1290" s="16">
        <v>0.47013888888888888</v>
      </c>
      <c r="I1290" s="15">
        <v>46247</v>
      </c>
      <c r="J1290" s="15"/>
      <c r="K1290" s="15">
        <v>46252</v>
      </c>
      <c r="L1290" s="14" t="s">
        <v>54</v>
      </c>
      <c r="M1290" s="14" t="s">
        <v>129</v>
      </c>
      <c r="N1290" s="14" t="s">
        <v>208</v>
      </c>
      <c r="O1290" s="14" t="s">
        <v>24</v>
      </c>
      <c r="P1290" s="14">
        <v>32308</v>
      </c>
      <c r="Q1290" s="14" t="s">
        <v>123</v>
      </c>
      <c r="R1290" s="14">
        <v>46529</v>
      </c>
      <c r="S1290" s="14" t="s">
        <v>38</v>
      </c>
    </row>
    <row r="1291" spans="1:19" x14ac:dyDescent="0.3">
      <c r="A1291" s="14">
        <v>39064</v>
      </c>
      <c r="B1291" s="14" t="s">
        <v>28</v>
      </c>
      <c r="C1291" s="14" t="s">
        <v>124</v>
      </c>
      <c r="D1291" s="14" t="s">
        <v>23</v>
      </c>
      <c r="E1291" s="14" t="s">
        <v>116</v>
      </c>
      <c r="F1291" s="6" t="str">
        <f t="shared" si="20"/>
        <v>3ML</v>
      </c>
      <c r="G1291" s="15">
        <v>46247</v>
      </c>
      <c r="H1291" s="16">
        <v>0.47013888888888888</v>
      </c>
      <c r="I1291" s="15">
        <v>46247</v>
      </c>
      <c r="J1291" s="15"/>
      <c r="K1291" s="15"/>
      <c r="L1291" s="14" t="s">
        <v>54</v>
      </c>
      <c r="M1291" s="14" t="s">
        <v>129</v>
      </c>
      <c r="N1291" s="14" t="s">
        <v>208</v>
      </c>
      <c r="O1291" s="14" t="s">
        <v>24</v>
      </c>
      <c r="P1291" s="14">
        <v>32309</v>
      </c>
      <c r="Q1291" s="14" t="s">
        <v>123</v>
      </c>
      <c r="R1291" s="14"/>
      <c r="S1291" s="14" t="s">
        <v>38</v>
      </c>
    </row>
    <row r="1292" spans="1:19" x14ac:dyDescent="0.3">
      <c r="A1292" s="14">
        <v>39065</v>
      </c>
      <c r="B1292" s="14" t="s">
        <v>28</v>
      </c>
      <c r="C1292" s="14" t="s">
        <v>15</v>
      </c>
      <c r="D1292" s="14" t="s">
        <v>16</v>
      </c>
      <c r="E1292" s="14" t="s">
        <v>117</v>
      </c>
      <c r="F1292" s="6" t="str">
        <f t="shared" si="20"/>
        <v>6ML</v>
      </c>
      <c r="G1292" s="15">
        <v>46247</v>
      </c>
      <c r="H1292" s="16">
        <v>0.47013888888888888</v>
      </c>
      <c r="I1292" s="15">
        <v>46247</v>
      </c>
      <c r="J1292" s="15"/>
      <c r="K1292" s="15">
        <v>46252</v>
      </c>
      <c r="L1292" s="14" t="s">
        <v>54</v>
      </c>
      <c r="M1292" s="14" t="s">
        <v>129</v>
      </c>
      <c r="N1292" s="14" t="s">
        <v>208</v>
      </c>
      <c r="O1292" s="14" t="s">
        <v>24</v>
      </c>
      <c r="P1292" s="14">
        <v>32310</v>
      </c>
      <c r="Q1292" s="14" t="s">
        <v>123</v>
      </c>
      <c r="R1292" s="14"/>
      <c r="S1292" s="14" t="s">
        <v>38</v>
      </c>
    </row>
    <row r="1293" spans="1:19" x14ac:dyDescent="0.3">
      <c r="A1293" s="14">
        <v>39065</v>
      </c>
      <c r="B1293" s="14" t="s">
        <v>28</v>
      </c>
      <c r="C1293" s="14" t="s">
        <v>15</v>
      </c>
      <c r="D1293" s="14" t="s">
        <v>16</v>
      </c>
      <c r="E1293" s="14" t="s">
        <v>117</v>
      </c>
      <c r="F1293" s="6" t="str">
        <f t="shared" si="20"/>
        <v>6ML</v>
      </c>
      <c r="G1293" s="15">
        <v>46247</v>
      </c>
      <c r="H1293" s="16">
        <v>0.47013888888888888</v>
      </c>
      <c r="I1293" s="15">
        <v>46247</v>
      </c>
      <c r="J1293" s="15"/>
      <c r="K1293" s="15">
        <v>46252</v>
      </c>
      <c r="L1293" s="14" t="s">
        <v>54</v>
      </c>
      <c r="M1293" s="14" t="s">
        <v>129</v>
      </c>
      <c r="N1293" s="14" t="s">
        <v>208</v>
      </c>
      <c r="O1293" s="14" t="s">
        <v>24</v>
      </c>
      <c r="P1293" s="14">
        <v>32310</v>
      </c>
      <c r="Q1293" s="14" t="s">
        <v>123</v>
      </c>
      <c r="R1293" s="14">
        <v>46530</v>
      </c>
      <c r="S1293" s="14" t="s">
        <v>38</v>
      </c>
    </row>
    <row r="1294" spans="1:19" x14ac:dyDescent="0.3">
      <c r="A1294" s="14">
        <v>39068</v>
      </c>
      <c r="B1294" s="14" t="s">
        <v>28</v>
      </c>
      <c r="C1294" s="14" t="s">
        <v>15</v>
      </c>
      <c r="D1294" s="14" t="s">
        <v>16</v>
      </c>
      <c r="E1294" s="14" t="s">
        <v>51</v>
      </c>
      <c r="F1294" s="6" t="str">
        <f t="shared" si="20"/>
        <v>2MC</v>
      </c>
      <c r="G1294" s="15">
        <v>46247</v>
      </c>
      <c r="H1294" s="16">
        <v>0.49444444444444446</v>
      </c>
      <c r="I1294" s="15">
        <v>46247</v>
      </c>
      <c r="J1294" s="15"/>
      <c r="K1294" s="15">
        <v>46249</v>
      </c>
      <c r="L1294" s="14" t="s">
        <v>323</v>
      </c>
      <c r="M1294" s="14" t="s">
        <v>130</v>
      </c>
      <c r="N1294" s="14" t="s">
        <v>208</v>
      </c>
      <c r="O1294" s="14" t="s">
        <v>27</v>
      </c>
      <c r="P1294" s="14">
        <v>32332</v>
      </c>
      <c r="Q1294" s="14" t="s">
        <v>123</v>
      </c>
      <c r="R1294" s="14"/>
      <c r="S1294" s="14" t="s">
        <v>71</v>
      </c>
    </row>
    <row r="1295" spans="1:19" x14ac:dyDescent="0.3">
      <c r="A1295" s="14">
        <v>39068</v>
      </c>
      <c r="B1295" s="14" t="s">
        <v>28</v>
      </c>
      <c r="C1295" s="14" t="s">
        <v>15</v>
      </c>
      <c r="D1295" s="14" t="s">
        <v>16</v>
      </c>
      <c r="E1295" s="14" t="s">
        <v>51</v>
      </c>
      <c r="F1295" s="6" t="str">
        <f t="shared" si="20"/>
        <v>2MC</v>
      </c>
      <c r="G1295" s="15">
        <v>46247</v>
      </c>
      <c r="H1295" s="16">
        <v>0.49444444444444446</v>
      </c>
      <c r="I1295" s="15">
        <v>46247</v>
      </c>
      <c r="J1295" s="15"/>
      <c r="K1295" s="15">
        <v>46249</v>
      </c>
      <c r="L1295" s="14" t="s">
        <v>323</v>
      </c>
      <c r="M1295" s="14" t="s">
        <v>130</v>
      </c>
      <c r="N1295" s="14" t="s">
        <v>208</v>
      </c>
      <c r="O1295" s="14" t="s">
        <v>27</v>
      </c>
      <c r="P1295" s="14">
        <v>32332</v>
      </c>
      <c r="Q1295" s="14" t="s">
        <v>123</v>
      </c>
      <c r="R1295" s="14">
        <v>46531</v>
      </c>
      <c r="S1295" s="14" t="s">
        <v>71</v>
      </c>
    </row>
    <row r="1296" spans="1:19" x14ac:dyDescent="0.3">
      <c r="A1296" s="14">
        <v>39069</v>
      </c>
      <c r="B1296" s="14" t="s">
        <v>28</v>
      </c>
      <c r="C1296" s="14" t="s">
        <v>15</v>
      </c>
      <c r="D1296" s="14" t="s">
        <v>16</v>
      </c>
      <c r="E1296" s="14" t="s">
        <v>53</v>
      </c>
      <c r="F1296" s="6" t="str">
        <f t="shared" si="20"/>
        <v>3MC</v>
      </c>
      <c r="G1296" s="15">
        <v>46247</v>
      </c>
      <c r="H1296" s="16">
        <v>0.49444444444444446</v>
      </c>
      <c r="I1296" s="15">
        <v>46247</v>
      </c>
      <c r="J1296" s="15"/>
      <c r="K1296" s="15">
        <v>46252</v>
      </c>
      <c r="L1296" s="14" t="s">
        <v>323</v>
      </c>
      <c r="M1296" s="14" t="s">
        <v>130</v>
      </c>
      <c r="N1296" s="14" t="s">
        <v>208</v>
      </c>
      <c r="O1296" s="14" t="s">
        <v>27</v>
      </c>
      <c r="P1296" s="14">
        <v>32333</v>
      </c>
      <c r="Q1296" s="14" t="s">
        <v>123</v>
      </c>
      <c r="R1296" s="14"/>
      <c r="S1296" s="14" t="s">
        <v>71</v>
      </c>
    </row>
    <row r="1297" spans="1:19" x14ac:dyDescent="0.3">
      <c r="A1297" s="14">
        <v>39069</v>
      </c>
      <c r="B1297" s="14" t="s">
        <v>28</v>
      </c>
      <c r="C1297" s="14" t="s">
        <v>15</v>
      </c>
      <c r="D1297" s="14" t="s">
        <v>16</v>
      </c>
      <c r="E1297" s="14" t="s">
        <v>53</v>
      </c>
      <c r="F1297" s="6" t="str">
        <f t="shared" si="20"/>
        <v>3MC</v>
      </c>
      <c r="G1297" s="15">
        <v>46247</v>
      </c>
      <c r="H1297" s="16">
        <v>0.49444444444444446</v>
      </c>
      <c r="I1297" s="15">
        <v>46247</v>
      </c>
      <c r="J1297" s="15"/>
      <c r="K1297" s="15">
        <v>46252</v>
      </c>
      <c r="L1297" s="14" t="s">
        <v>323</v>
      </c>
      <c r="M1297" s="14" t="s">
        <v>130</v>
      </c>
      <c r="N1297" s="14" t="s">
        <v>208</v>
      </c>
      <c r="O1297" s="14" t="s">
        <v>27</v>
      </c>
      <c r="P1297" s="14">
        <v>32333</v>
      </c>
      <c r="Q1297" s="14" t="s">
        <v>123</v>
      </c>
      <c r="R1297" s="14">
        <v>46532</v>
      </c>
      <c r="S1297" s="14" t="s">
        <v>71</v>
      </c>
    </row>
    <row r="1298" spans="1:19" x14ac:dyDescent="0.3">
      <c r="A1298" s="14">
        <v>39070</v>
      </c>
      <c r="B1298" s="14" t="s">
        <v>28</v>
      </c>
      <c r="C1298" s="14" t="s">
        <v>15</v>
      </c>
      <c r="D1298" s="14" t="s">
        <v>16</v>
      </c>
      <c r="E1298" s="14" t="s">
        <v>52</v>
      </c>
      <c r="F1298" s="6" t="str">
        <f t="shared" si="20"/>
        <v>6MC</v>
      </c>
      <c r="G1298" s="15">
        <v>46247</v>
      </c>
      <c r="H1298" s="16">
        <v>0.49444444444444446</v>
      </c>
      <c r="I1298" s="15">
        <v>46247</v>
      </c>
      <c r="J1298" s="15"/>
      <c r="K1298" s="15">
        <v>46248</v>
      </c>
      <c r="L1298" s="14" t="s">
        <v>323</v>
      </c>
      <c r="M1298" s="14" t="s">
        <v>130</v>
      </c>
      <c r="N1298" s="14" t="s">
        <v>208</v>
      </c>
      <c r="O1298" s="14" t="s">
        <v>27</v>
      </c>
      <c r="P1298" s="14">
        <v>32334</v>
      </c>
      <c r="Q1298" s="14" t="s">
        <v>19</v>
      </c>
      <c r="R1298" s="14">
        <v>46504</v>
      </c>
      <c r="S1298" s="14" t="s">
        <v>71</v>
      </c>
    </row>
    <row r="1299" spans="1:19" x14ac:dyDescent="0.3">
      <c r="A1299" s="14">
        <v>39070</v>
      </c>
      <c r="B1299" s="14" t="s">
        <v>28</v>
      </c>
      <c r="C1299" s="14" t="s">
        <v>15</v>
      </c>
      <c r="D1299" s="14" t="s">
        <v>16</v>
      </c>
      <c r="E1299" s="14" t="s">
        <v>52</v>
      </c>
      <c r="F1299" s="6" t="str">
        <f t="shared" si="20"/>
        <v>6MC</v>
      </c>
      <c r="G1299" s="15">
        <v>46247</v>
      </c>
      <c r="H1299" s="16">
        <v>0.49444444444444446</v>
      </c>
      <c r="I1299" s="15">
        <v>46247</v>
      </c>
      <c r="J1299" s="15"/>
      <c r="K1299" s="15">
        <v>46248</v>
      </c>
      <c r="L1299" s="14" t="s">
        <v>323</v>
      </c>
      <c r="M1299" s="14" t="s">
        <v>130</v>
      </c>
      <c r="N1299" s="14" t="s">
        <v>208</v>
      </c>
      <c r="O1299" s="14" t="s">
        <v>27</v>
      </c>
      <c r="P1299" s="14">
        <v>32334</v>
      </c>
      <c r="Q1299" s="14" t="s">
        <v>19</v>
      </c>
      <c r="R1299" s="14">
        <v>46520</v>
      </c>
      <c r="S1299" s="14" t="s">
        <v>71</v>
      </c>
    </row>
    <row r="1300" spans="1:19" x14ac:dyDescent="0.3">
      <c r="A1300">
        <v>39218</v>
      </c>
      <c r="B1300" t="s">
        <v>28</v>
      </c>
      <c r="C1300" t="s">
        <v>15</v>
      </c>
      <c r="D1300" t="s">
        <v>16</v>
      </c>
      <c r="E1300" t="s">
        <v>51</v>
      </c>
      <c r="F1300" s="6" t="str">
        <f t="shared" si="20"/>
        <v>2MC</v>
      </c>
      <c r="G1300" s="1">
        <v>46247</v>
      </c>
      <c r="H1300" s="13">
        <v>0.61805555555555558</v>
      </c>
      <c r="I1300" s="1">
        <v>46247</v>
      </c>
      <c r="J1300" s="1">
        <v>46247</v>
      </c>
      <c r="K1300" s="1">
        <v>46248</v>
      </c>
      <c r="L1300" t="s">
        <v>97</v>
      </c>
      <c r="M1300">
        <v>1318</v>
      </c>
      <c r="N1300" t="s">
        <v>208</v>
      </c>
      <c r="O1300" t="s">
        <v>27</v>
      </c>
      <c r="P1300">
        <v>32356</v>
      </c>
      <c r="Q1300" t="s">
        <v>19</v>
      </c>
      <c r="R1300">
        <v>46506</v>
      </c>
      <c r="S1300" t="s">
        <v>324</v>
      </c>
    </row>
    <row r="1301" spans="1:19" x14ac:dyDescent="0.3">
      <c r="A1301">
        <v>39218</v>
      </c>
      <c r="B1301" t="s">
        <v>28</v>
      </c>
      <c r="C1301" t="s">
        <v>15</v>
      </c>
      <c r="D1301" t="s">
        <v>16</v>
      </c>
      <c r="E1301" t="s">
        <v>51</v>
      </c>
      <c r="F1301" s="6" t="str">
        <f t="shared" si="20"/>
        <v>2MC</v>
      </c>
      <c r="G1301" s="1">
        <v>46247</v>
      </c>
      <c r="H1301" s="13">
        <v>0.61805555555555558</v>
      </c>
      <c r="I1301" s="1">
        <v>46247</v>
      </c>
      <c r="J1301" s="1">
        <v>46247</v>
      </c>
      <c r="K1301" s="1">
        <v>46248</v>
      </c>
      <c r="L1301" t="s">
        <v>97</v>
      </c>
      <c r="M1301">
        <v>1318</v>
      </c>
      <c r="N1301" t="s">
        <v>208</v>
      </c>
      <c r="O1301" t="s">
        <v>27</v>
      </c>
      <c r="P1301">
        <v>32356</v>
      </c>
      <c r="Q1301" t="s">
        <v>19</v>
      </c>
      <c r="R1301">
        <v>46520</v>
      </c>
      <c r="S1301" t="s">
        <v>324</v>
      </c>
    </row>
    <row r="1302" spans="1:19" x14ac:dyDescent="0.3">
      <c r="A1302">
        <v>39219</v>
      </c>
      <c r="B1302" t="s">
        <v>28</v>
      </c>
      <c r="C1302" t="s">
        <v>15</v>
      </c>
      <c r="D1302" t="s">
        <v>16</v>
      </c>
      <c r="E1302" t="s">
        <v>53</v>
      </c>
      <c r="F1302" s="6" t="str">
        <f t="shared" si="20"/>
        <v>3MC</v>
      </c>
      <c r="G1302" s="1">
        <v>46247</v>
      </c>
      <c r="H1302" s="13">
        <v>0.61805555555555558</v>
      </c>
      <c r="I1302" s="1">
        <v>46247</v>
      </c>
      <c r="J1302" s="1">
        <v>46247</v>
      </c>
      <c r="K1302" s="1">
        <v>46248</v>
      </c>
      <c r="L1302" t="s">
        <v>97</v>
      </c>
      <c r="M1302">
        <v>1318</v>
      </c>
      <c r="N1302" t="s">
        <v>208</v>
      </c>
      <c r="O1302" t="s">
        <v>27</v>
      </c>
      <c r="P1302">
        <v>32357</v>
      </c>
      <c r="Q1302" t="s">
        <v>19</v>
      </c>
      <c r="R1302">
        <v>46507</v>
      </c>
      <c r="S1302" t="s">
        <v>324</v>
      </c>
    </row>
    <row r="1303" spans="1:19" x14ac:dyDescent="0.3">
      <c r="A1303">
        <v>39219</v>
      </c>
      <c r="B1303" t="s">
        <v>28</v>
      </c>
      <c r="C1303" t="s">
        <v>15</v>
      </c>
      <c r="D1303" t="s">
        <v>16</v>
      </c>
      <c r="E1303" t="s">
        <v>53</v>
      </c>
      <c r="F1303" s="6" t="str">
        <f t="shared" si="20"/>
        <v>3MC</v>
      </c>
      <c r="G1303" s="1">
        <v>46247</v>
      </c>
      <c r="H1303" s="13">
        <v>0.61805555555555558</v>
      </c>
      <c r="I1303" s="1">
        <v>46247</v>
      </c>
      <c r="J1303" s="1">
        <v>46247</v>
      </c>
      <c r="K1303" s="1">
        <v>46248</v>
      </c>
      <c r="L1303" t="s">
        <v>97</v>
      </c>
      <c r="M1303">
        <v>1318</v>
      </c>
      <c r="N1303" t="s">
        <v>208</v>
      </c>
      <c r="O1303" t="s">
        <v>27</v>
      </c>
      <c r="P1303">
        <v>32357</v>
      </c>
      <c r="Q1303" t="s">
        <v>19</v>
      </c>
      <c r="R1303">
        <v>46520</v>
      </c>
      <c r="S1303" t="s">
        <v>324</v>
      </c>
    </row>
    <row r="1304" spans="1:19" x14ac:dyDescent="0.3">
      <c r="A1304">
        <v>39220</v>
      </c>
      <c r="B1304" t="s">
        <v>28</v>
      </c>
      <c r="C1304" t="s">
        <v>15</v>
      </c>
      <c r="D1304" t="s">
        <v>16</v>
      </c>
      <c r="E1304" t="s">
        <v>52</v>
      </c>
      <c r="F1304" s="6" t="str">
        <f t="shared" si="20"/>
        <v>6MC</v>
      </c>
      <c r="G1304" s="1">
        <v>46247</v>
      </c>
      <c r="H1304" s="13">
        <v>0.61805555555555558</v>
      </c>
      <c r="I1304" s="1">
        <v>46247</v>
      </c>
      <c r="J1304" s="1">
        <v>46247</v>
      </c>
      <c r="K1304" s="1">
        <v>46248</v>
      </c>
      <c r="L1304" t="s">
        <v>97</v>
      </c>
      <c r="M1304">
        <v>1318</v>
      </c>
      <c r="N1304" t="s">
        <v>208</v>
      </c>
      <c r="O1304" t="s">
        <v>27</v>
      </c>
      <c r="P1304">
        <v>32358</v>
      </c>
      <c r="Q1304" t="s">
        <v>19</v>
      </c>
      <c r="R1304">
        <v>46508</v>
      </c>
      <c r="S1304" t="s">
        <v>324</v>
      </c>
    </row>
    <row r="1305" spans="1:19" x14ac:dyDescent="0.3">
      <c r="A1305">
        <v>39220</v>
      </c>
      <c r="B1305" t="s">
        <v>28</v>
      </c>
      <c r="C1305" t="s">
        <v>15</v>
      </c>
      <c r="D1305" t="s">
        <v>16</v>
      </c>
      <c r="E1305" t="s">
        <v>52</v>
      </c>
      <c r="F1305" s="6" t="str">
        <f t="shared" si="20"/>
        <v>6MC</v>
      </c>
      <c r="G1305" s="1">
        <v>46247</v>
      </c>
      <c r="H1305" s="13">
        <v>0.61805555555555558</v>
      </c>
      <c r="I1305" s="1">
        <v>46247</v>
      </c>
      <c r="J1305" s="1">
        <v>46247</v>
      </c>
      <c r="K1305" s="1">
        <v>46248</v>
      </c>
      <c r="L1305" t="s">
        <v>97</v>
      </c>
      <c r="M1305">
        <v>1318</v>
      </c>
      <c r="N1305" t="s">
        <v>208</v>
      </c>
      <c r="O1305" t="s">
        <v>27</v>
      </c>
      <c r="P1305">
        <v>32358</v>
      </c>
      <c r="Q1305" t="s">
        <v>19</v>
      </c>
      <c r="R1305">
        <v>46520</v>
      </c>
      <c r="S1305" t="s">
        <v>324</v>
      </c>
    </row>
    <row r="1306" spans="1:19" x14ac:dyDescent="0.3">
      <c r="A1306">
        <v>39230</v>
      </c>
      <c r="B1306" t="s">
        <v>28</v>
      </c>
      <c r="C1306" t="s">
        <v>15</v>
      </c>
      <c r="D1306" t="s">
        <v>16</v>
      </c>
      <c r="E1306" t="s">
        <v>121</v>
      </c>
      <c r="F1306" s="6" t="str">
        <f t="shared" si="20"/>
        <v>2MC</v>
      </c>
      <c r="G1306" s="1">
        <v>46247</v>
      </c>
      <c r="H1306" s="13">
        <v>0.65138888888888891</v>
      </c>
      <c r="I1306" s="1">
        <v>46247</v>
      </c>
      <c r="J1306" s="1">
        <v>46247</v>
      </c>
      <c r="K1306" s="1">
        <v>46248</v>
      </c>
      <c r="L1306" t="s">
        <v>325</v>
      </c>
      <c r="M1306" t="s">
        <v>155</v>
      </c>
      <c r="N1306" t="s">
        <v>208</v>
      </c>
      <c r="O1306" t="s">
        <v>18</v>
      </c>
      <c r="P1306">
        <v>32365</v>
      </c>
      <c r="Q1306" t="s">
        <v>123</v>
      </c>
      <c r="S1306" t="s">
        <v>22</v>
      </c>
    </row>
    <row r="1307" spans="1:19" x14ac:dyDescent="0.3">
      <c r="A1307">
        <v>39230</v>
      </c>
      <c r="B1307" t="s">
        <v>28</v>
      </c>
      <c r="C1307" t="s">
        <v>15</v>
      </c>
      <c r="D1307" t="s">
        <v>16</v>
      </c>
      <c r="E1307" t="s">
        <v>121</v>
      </c>
      <c r="F1307" s="6" t="str">
        <f t="shared" si="20"/>
        <v>2MC</v>
      </c>
      <c r="G1307" s="1">
        <v>46247</v>
      </c>
      <c r="H1307" s="13">
        <v>0.65138888888888891</v>
      </c>
      <c r="I1307" s="1">
        <v>46247</v>
      </c>
      <c r="J1307" s="1">
        <v>46247</v>
      </c>
      <c r="K1307" s="1">
        <v>46248</v>
      </c>
      <c r="L1307" t="s">
        <v>325</v>
      </c>
      <c r="M1307" t="s">
        <v>155</v>
      </c>
      <c r="N1307" t="s">
        <v>208</v>
      </c>
      <c r="O1307" t="s">
        <v>18</v>
      </c>
      <c r="P1307">
        <v>32365</v>
      </c>
      <c r="Q1307" t="s">
        <v>123</v>
      </c>
      <c r="R1307">
        <v>46510</v>
      </c>
      <c r="S1307" t="s">
        <v>22</v>
      </c>
    </row>
    <row r="1308" spans="1:19" x14ac:dyDescent="0.3">
      <c r="A1308">
        <v>39231</v>
      </c>
      <c r="B1308" t="s">
        <v>28</v>
      </c>
      <c r="C1308" t="s">
        <v>15</v>
      </c>
      <c r="D1308" t="s">
        <v>16</v>
      </c>
      <c r="E1308" t="s">
        <v>53</v>
      </c>
      <c r="F1308" s="6" t="str">
        <f t="shared" si="20"/>
        <v>3MC</v>
      </c>
      <c r="G1308" s="1">
        <v>46247</v>
      </c>
      <c r="H1308" s="13">
        <v>0.65138888888888891</v>
      </c>
      <c r="I1308" s="1">
        <v>46247</v>
      </c>
      <c r="J1308" s="1">
        <v>46247</v>
      </c>
      <c r="K1308" s="1">
        <v>46248</v>
      </c>
      <c r="L1308" t="s">
        <v>325</v>
      </c>
      <c r="M1308" t="s">
        <v>155</v>
      </c>
      <c r="N1308" t="s">
        <v>208</v>
      </c>
      <c r="O1308" t="s">
        <v>18</v>
      </c>
      <c r="P1308">
        <v>32366</v>
      </c>
      <c r="Q1308" t="s">
        <v>123</v>
      </c>
      <c r="S1308" t="s">
        <v>22</v>
      </c>
    </row>
    <row r="1309" spans="1:19" x14ac:dyDescent="0.3">
      <c r="A1309">
        <v>39231</v>
      </c>
      <c r="B1309" t="s">
        <v>28</v>
      </c>
      <c r="C1309" t="s">
        <v>15</v>
      </c>
      <c r="D1309" t="s">
        <v>16</v>
      </c>
      <c r="E1309" t="s">
        <v>53</v>
      </c>
      <c r="F1309" s="6" t="str">
        <f t="shared" si="20"/>
        <v>3MC</v>
      </c>
      <c r="G1309" s="1">
        <v>46247</v>
      </c>
      <c r="H1309" s="13">
        <v>0.65138888888888891</v>
      </c>
      <c r="I1309" s="1">
        <v>46247</v>
      </c>
      <c r="J1309" s="1">
        <v>46247</v>
      </c>
      <c r="K1309" s="1">
        <v>46248</v>
      </c>
      <c r="L1309" t="s">
        <v>325</v>
      </c>
      <c r="M1309" t="s">
        <v>155</v>
      </c>
      <c r="N1309" t="s">
        <v>208</v>
      </c>
      <c r="O1309" t="s">
        <v>18</v>
      </c>
      <c r="P1309">
        <v>32366</v>
      </c>
      <c r="Q1309" t="s">
        <v>123</v>
      </c>
      <c r="R1309">
        <v>46511</v>
      </c>
      <c r="S1309" t="s">
        <v>22</v>
      </c>
    </row>
    <row r="1310" spans="1:19" x14ac:dyDescent="0.3">
      <c r="A1310">
        <v>39232</v>
      </c>
      <c r="B1310" t="s">
        <v>28</v>
      </c>
      <c r="C1310" t="s">
        <v>15</v>
      </c>
      <c r="D1310" t="s">
        <v>16</v>
      </c>
      <c r="E1310" t="s">
        <v>111</v>
      </c>
      <c r="F1310" s="6" t="str">
        <f t="shared" si="20"/>
        <v>6MC</v>
      </c>
      <c r="G1310" s="1">
        <v>46247</v>
      </c>
      <c r="H1310" s="13">
        <v>0.65138888888888891</v>
      </c>
      <c r="I1310" s="1">
        <v>46247</v>
      </c>
      <c r="J1310" s="1">
        <v>46247</v>
      </c>
      <c r="K1310" s="1">
        <v>46248</v>
      </c>
      <c r="L1310" t="s">
        <v>325</v>
      </c>
      <c r="M1310" t="s">
        <v>155</v>
      </c>
      <c r="N1310" t="s">
        <v>208</v>
      </c>
      <c r="O1310" t="s">
        <v>18</v>
      </c>
      <c r="P1310">
        <v>32367</v>
      </c>
      <c r="Q1310" t="s">
        <v>123</v>
      </c>
      <c r="S1310" t="s">
        <v>22</v>
      </c>
    </row>
    <row r="1311" spans="1:19" x14ac:dyDescent="0.3">
      <c r="A1311">
        <v>39232</v>
      </c>
      <c r="B1311" t="s">
        <v>28</v>
      </c>
      <c r="C1311" t="s">
        <v>15</v>
      </c>
      <c r="D1311" t="s">
        <v>16</v>
      </c>
      <c r="E1311" t="s">
        <v>111</v>
      </c>
      <c r="F1311" s="6" t="str">
        <f t="shared" si="20"/>
        <v>6MC</v>
      </c>
      <c r="G1311" s="1">
        <v>46247</v>
      </c>
      <c r="H1311" s="13">
        <v>0.65138888888888891</v>
      </c>
      <c r="I1311" s="1">
        <v>46247</v>
      </c>
      <c r="J1311" s="1">
        <v>46247</v>
      </c>
      <c r="K1311" s="1">
        <v>46248</v>
      </c>
      <c r="L1311" t="s">
        <v>325</v>
      </c>
      <c r="M1311" t="s">
        <v>155</v>
      </c>
      <c r="N1311" t="s">
        <v>208</v>
      </c>
      <c r="O1311" t="s">
        <v>18</v>
      </c>
      <c r="P1311">
        <v>32367</v>
      </c>
      <c r="Q1311" t="s">
        <v>123</v>
      </c>
      <c r="R1311">
        <v>46512</v>
      </c>
      <c r="S1311" t="s">
        <v>22</v>
      </c>
    </row>
    <row r="1312" spans="1:19" x14ac:dyDescent="0.3">
      <c r="A1312">
        <v>39241</v>
      </c>
      <c r="B1312" t="s">
        <v>28</v>
      </c>
      <c r="C1312" t="s">
        <v>15</v>
      </c>
      <c r="D1312" t="s">
        <v>23</v>
      </c>
      <c r="E1312" t="s">
        <v>51</v>
      </c>
      <c r="F1312" s="6" t="str">
        <f t="shared" si="20"/>
        <v>2MC</v>
      </c>
      <c r="G1312" s="1">
        <v>46248</v>
      </c>
      <c r="H1312" s="13">
        <v>0.35625000000000001</v>
      </c>
      <c r="I1312" s="1">
        <v>46248</v>
      </c>
      <c r="J1312" s="1"/>
      <c r="K1312" s="1">
        <v>46249</v>
      </c>
      <c r="L1312" t="s">
        <v>326</v>
      </c>
      <c r="M1312" t="s">
        <v>130</v>
      </c>
      <c r="N1312" t="s">
        <v>208</v>
      </c>
      <c r="O1312" t="s">
        <v>27</v>
      </c>
      <c r="P1312">
        <v>32374</v>
      </c>
      <c r="Q1312" t="s">
        <v>123</v>
      </c>
      <c r="S1312" t="s">
        <v>71</v>
      </c>
    </row>
    <row r="1313" spans="1:19" x14ac:dyDescent="0.3">
      <c r="A1313">
        <v>39242</v>
      </c>
      <c r="B1313" t="s">
        <v>28</v>
      </c>
      <c r="C1313" t="s">
        <v>124</v>
      </c>
      <c r="D1313" t="s">
        <v>23</v>
      </c>
      <c r="E1313" t="s">
        <v>53</v>
      </c>
      <c r="F1313" s="6" t="str">
        <f t="shared" si="20"/>
        <v>3MC</v>
      </c>
      <c r="G1313" s="1">
        <v>46248</v>
      </c>
      <c r="H1313" s="13">
        <v>0.35625000000000001</v>
      </c>
      <c r="I1313" s="1">
        <v>46248</v>
      </c>
      <c r="J1313" s="1"/>
      <c r="K1313" s="1"/>
      <c r="L1313" t="s">
        <v>326</v>
      </c>
      <c r="M1313" t="s">
        <v>130</v>
      </c>
      <c r="N1313" t="s">
        <v>208</v>
      </c>
      <c r="O1313" t="s">
        <v>27</v>
      </c>
      <c r="P1313">
        <v>32375</v>
      </c>
      <c r="Q1313" t="s">
        <v>123</v>
      </c>
      <c r="S1313" t="s">
        <v>71</v>
      </c>
    </row>
    <row r="1314" spans="1:19" x14ac:dyDescent="0.3">
      <c r="A1314">
        <v>39243</v>
      </c>
      <c r="B1314" t="s">
        <v>28</v>
      </c>
      <c r="C1314" t="s">
        <v>15</v>
      </c>
      <c r="D1314" t="s">
        <v>23</v>
      </c>
      <c r="E1314" t="s">
        <v>52</v>
      </c>
      <c r="F1314" s="6" t="str">
        <f t="shared" si="20"/>
        <v>6MC</v>
      </c>
      <c r="G1314" s="1">
        <v>46248</v>
      </c>
      <c r="H1314" s="13">
        <v>0.35625000000000001</v>
      </c>
      <c r="I1314" s="1">
        <v>46248</v>
      </c>
      <c r="J1314" s="1"/>
      <c r="K1314" s="1">
        <v>46249</v>
      </c>
      <c r="L1314" t="s">
        <v>326</v>
      </c>
      <c r="M1314" t="s">
        <v>130</v>
      </c>
      <c r="N1314" t="s">
        <v>208</v>
      </c>
      <c r="O1314" t="s">
        <v>27</v>
      </c>
      <c r="P1314">
        <v>32376</v>
      </c>
      <c r="Q1314" t="s">
        <v>123</v>
      </c>
      <c r="S1314" t="s">
        <v>71</v>
      </c>
    </row>
    <row r="1315" spans="1:19" x14ac:dyDescent="0.3">
      <c r="A1315">
        <v>39247</v>
      </c>
      <c r="B1315" t="s">
        <v>28</v>
      </c>
      <c r="C1315" t="s">
        <v>124</v>
      </c>
      <c r="D1315" t="s">
        <v>23</v>
      </c>
      <c r="E1315" t="s">
        <v>51</v>
      </c>
      <c r="F1315" s="6" t="str">
        <f t="shared" si="20"/>
        <v>2MC</v>
      </c>
      <c r="G1315" s="1">
        <v>46248</v>
      </c>
      <c r="H1315" s="13">
        <v>0.41111111111111115</v>
      </c>
      <c r="I1315" s="1">
        <v>46248</v>
      </c>
      <c r="J1315" s="1"/>
      <c r="K1315" s="1"/>
      <c r="L1315" t="s">
        <v>327</v>
      </c>
      <c r="M1315" t="s">
        <v>130</v>
      </c>
      <c r="N1315" t="s">
        <v>208</v>
      </c>
      <c r="O1315" t="s">
        <v>18</v>
      </c>
      <c r="P1315">
        <v>32380</v>
      </c>
      <c r="Q1315" t="s">
        <v>123</v>
      </c>
      <c r="S1315" t="s">
        <v>224</v>
      </c>
    </row>
    <row r="1316" spans="1:19" x14ac:dyDescent="0.3">
      <c r="A1316">
        <v>39248</v>
      </c>
      <c r="B1316" t="s">
        <v>28</v>
      </c>
      <c r="C1316" t="s">
        <v>124</v>
      </c>
      <c r="D1316" t="s">
        <v>23</v>
      </c>
      <c r="E1316" t="s">
        <v>53</v>
      </c>
      <c r="F1316" s="6" t="str">
        <f t="shared" si="20"/>
        <v>3MC</v>
      </c>
      <c r="G1316" s="1">
        <v>46248</v>
      </c>
      <c r="H1316" s="13">
        <v>0.41111111111111115</v>
      </c>
      <c r="I1316" s="1">
        <v>46248</v>
      </c>
      <c r="J1316" s="1"/>
      <c r="K1316" s="1"/>
      <c r="L1316" t="s">
        <v>327</v>
      </c>
      <c r="M1316" t="s">
        <v>130</v>
      </c>
      <c r="N1316" t="s">
        <v>208</v>
      </c>
      <c r="O1316" t="s">
        <v>18</v>
      </c>
      <c r="P1316">
        <v>32381</v>
      </c>
      <c r="Q1316" t="s">
        <v>123</v>
      </c>
      <c r="S1316" t="s">
        <v>224</v>
      </c>
    </row>
    <row r="1317" spans="1:19" x14ac:dyDescent="0.3">
      <c r="A1317">
        <v>39249</v>
      </c>
      <c r="B1317" t="s">
        <v>28</v>
      </c>
      <c r="C1317" t="s">
        <v>15</v>
      </c>
      <c r="D1317" t="s">
        <v>23</v>
      </c>
      <c r="E1317" t="s">
        <v>52</v>
      </c>
      <c r="F1317" s="6" t="str">
        <f t="shared" si="20"/>
        <v>6MC</v>
      </c>
      <c r="G1317" s="1">
        <v>46248</v>
      </c>
      <c r="H1317" s="13">
        <v>0.41111111111111115</v>
      </c>
      <c r="I1317" s="1">
        <v>46248</v>
      </c>
      <c r="K1317" s="1">
        <v>46252</v>
      </c>
      <c r="L1317" t="s">
        <v>327</v>
      </c>
      <c r="M1317" t="s">
        <v>130</v>
      </c>
      <c r="N1317" t="s">
        <v>208</v>
      </c>
      <c r="O1317" t="s">
        <v>18</v>
      </c>
      <c r="P1317">
        <v>32382</v>
      </c>
      <c r="Q1317" t="s">
        <v>123</v>
      </c>
      <c r="S1317" t="s">
        <v>224</v>
      </c>
    </row>
    <row r="1318" spans="1:19" x14ac:dyDescent="0.3">
      <c r="A1318">
        <v>39258</v>
      </c>
      <c r="B1318" t="s">
        <v>28</v>
      </c>
      <c r="C1318" t="s">
        <v>15</v>
      </c>
      <c r="D1318" t="s">
        <v>23</v>
      </c>
      <c r="E1318" t="s">
        <v>115</v>
      </c>
      <c r="F1318" s="6" t="str">
        <f t="shared" si="20"/>
        <v>2ML</v>
      </c>
      <c r="G1318" s="1">
        <v>46248</v>
      </c>
      <c r="H1318" s="13">
        <v>0.52986111111111112</v>
      </c>
      <c r="I1318" s="1">
        <v>46248</v>
      </c>
      <c r="K1318" s="1">
        <v>46252</v>
      </c>
      <c r="L1318" t="s">
        <v>92</v>
      </c>
      <c r="M1318" t="s">
        <v>129</v>
      </c>
      <c r="N1318" t="s">
        <v>208</v>
      </c>
      <c r="O1318" t="s">
        <v>24</v>
      </c>
      <c r="P1318">
        <v>32390</v>
      </c>
      <c r="Q1318" t="s">
        <v>123</v>
      </c>
      <c r="S1318" t="s">
        <v>38</v>
      </c>
    </row>
    <row r="1319" spans="1:19" x14ac:dyDescent="0.3">
      <c r="A1319">
        <v>39259</v>
      </c>
      <c r="B1319" t="s">
        <v>28</v>
      </c>
      <c r="C1319" t="s">
        <v>124</v>
      </c>
      <c r="D1319" t="s">
        <v>23</v>
      </c>
      <c r="E1319" t="s">
        <v>116</v>
      </c>
      <c r="F1319" s="6" t="str">
        <f t="shared" si="20"/>
        <v>3ML</v>
      </c>
      <c r="G1319" s="1">
        <v>46248</v>
      </c>
      <c r="H1319" s="13">
        <v>0.52986111111111112</v>
      </c>
      <c r="I1319" s="1">
        <v>46248</v>
      </c>
      <c r="L1319" t="s">
        <v>92</v>
      </c>
      <c r="M1319" t="s">
        <v>129</v>
      </c>
      <c r="N1319" t="s">
        <v>208</v>
      </c>
      <c r="O1319" t="s">
        <v>24</v>
      </c>
      <c r="P1319">
        <v>32391</v>
      </c>
      <c r="Q1319" t="s">
        <v>123</v>
      </c>
      <c r="S1319" t="s">
        <v>38</v>
      </c>
    </row>
    <row r="1320" spans="1:19" x14ac:dyDescent="0.3">
      <c r="A1320">
        <v>39260</v>
      </c>
      <c r="B1320" t="s">
        <v>28</v>
      </c>
      <c r="C1320" t="s">
        <v>15</v>
      </c>
      <c r="D1320" t="s">
        <v>23</v>
      </c>
      <c r="E1320" t="s">
        <v>117</v>
      </c>
      <c r="F1320" s="6" t="str">
        <f t="shared" si="20"/>
        <v>6ML</v>
      </c>
      <c r="G1320" s="1">
        <v>46248</v>
      </c>
      <c r="H1320" s="13">
        <v>0.52986111111111112</v>
      </c>
      <c r="I1320" s="1">
        <v>46248</v>
      </c>
      <c r="K1320" s="1">
        <v>46249</v>
      </c>
      <c r="L1320" t="s">
        <v>92</v>
      </c>
      <c r="M1320" t="s">
        <v>129</v>
      </c>
      <c r="N1320" t="s">
        <v>208</v>
      </c>
      <c r="O1320" t="s">
        <v>24</v>
      </c>
      <c r="P1320">
        <v>32392</v>
      </c>
      <c r="Q1320" t="s">
        <v>123</v>
      </c>
      <c r="S1320" t="s">
        <v>38</v>
      </c>
    </row>
    <row r="1321" spans="1:19" x14ac:dyDescent="0.3">
      <c r="A1321">
        <v>39266</v>
      </c>
      <c r="B1321" t="s">
        <v>28</v>
      </c>
      <c r="C1321" t="s">
        <v>15</v>
      </c>
      <c r="D1321" t="s">
        <v>23</v>
      </c>
      <c r="E1321" t="s">
        <v>115</v>
      </c>
      <c r="F1321" s="6" t="str">
        <f t="shared" si="20"/>
        <v>2ML</v>
      </c>
      <c r="G1321" s="1">
        <v>46248</v>
      </c>
      <c r="H1321" s="13">
        <v>0.66180555555555554</v>
      </c>
      <c r="I1321" s="1">
        <v>46248</v>
      </c>
      <c r="J1321" s="1">
        <v>46248</v>
      </c>
      <c r="K1321" s="1">
        <v>46252</v>
      </c>
      <c r="L1321" t="s">
        <v>70</v>
      </c>
      <c r="M1321" t="s">
        <v>129</v>
      </c>
      <c r="N1321" t="s">
        <v>208</v>
      </c>
      <c r="O1321" t="s">
        <v>24</v>
      </c>
      <c r="P1321">
        <v>32397</v>
      </c>
      <c r="Q1321" t="s">
        <v>123</v>
      </c>
      <c r="S1321" t="s">
        <v>38</v>
      </c>
    </row>
    <row r="1322" spans="1:19" x14ac:dyDescent="0.3">
      <c r="A1322">
        <v>39267</v>
      </c>
      <c r="B1322" t="s">
        <v>28</v>
      </c>
      <c r="C1322" t="s">
        <v>15</v>
      </c>
      <c r="D1322" t="s">
        <v>23</v>
      </c>
      <c r="E1322" t="s">
        <v>116</v>
      </c>
      <c r="F1322" s="6" t="str">
        <f t="shared" si="20"/>
        <v>3ML</v>
      </c>
      <c r="G1322" s="1">
        <v>46248</v>
      </c>
      <c r="H1322" s="13">
        <v>0.66180555555555554</v>
      </c>
      <c r="I1322" s="1">
        <v>46248</v>
      </c>
      <c r="J1322" s="1">
        <v>46248</v>
      </c>
      <c r="K1322" s="1">
        <v>46252</v>
      </c>
      <c r="L1322" t="s">
        <v>70</v>
      </c>
      <c r="M1322" t="s">
        <v>129</v>
      </c>
      <c r="N1322" t="s">
        <v>208</v>
      </c>
      <c r="O1322" t="s">
        <v>24</v>
      </c>
      <c r="P1322">
        <v>32398</v>
      </c>
      <c r="Q1322" t="s">
        <v>123</v>
      </c>
      <c r="S1322" t="s">
        <v>38</v>
      </c>
    </row>
    <row r="1323" spans="1:19" x14ac:dyDescent="0.3">
      <c r="A1323">
        <v>39268</v>
      </c>
      <c r="B1323" t="s">
        <v>28</v>
      </c>
      <c r="C1323" t="s">
        <v>15</v>
      </c>
      <c r="D1323" t="s">
        <v>23</v>
      </c>
      <c r="E1323" t="s">
        <v>117</v>
      </c>
      <c r="F1323" s="6" t="str">
        <f t="shared" si="20"/>
        <v>6ML</v>
      </c>
      <c r="G1323" s="1">
        <v>46248</v>
      </c>
      <c r="H1323" s="13">
        <v>0.66180555555555554</v>
      </c>
      <c r="I1323" s="1">
        <v>46248</v>
      </c>
      <c r="J1323" s="1">
        <v>46248</v>
      </c>
      <c r="K1323" s="1">
        <v>46252</v>
      </c>
      <c r="L1323" t="s">
        <v>70</v>
      </c>
      <c r="M1323" t="s">
        <v>129</v>
      </c>
      <c r="N1323" t="s">
        <v>208</v>
      </c>
      <c r="O1323" t="s">
        <v>24</v>
      </c>
      <c r="P1323">
        <v>32399</v>
      </c>
      <c r="Q1323" t="s">
        <v>123</v>
      </c>
      <c r="S1323" t="s">
        <v>38</v>
      </c>
    </row>
    <row r="1324" spans="1:19" x14ac:dyDescent="0.3">
      <c r="A1324">
        <v>39336</v>
      </c>
      <c r="B1324" t="s">
        <v>28</v>
      </c>
      <c r="C1324" t="s">
        <v>124</v>
      </c>
      <c r="D1324" t="s">
        <v>23</v>
      </c>
      <c r="E1324" t="s">
        <v>113</v>
      </c>
      <c r="F1324" s="6" t="str">
        <f t="shared" si="20"/>
        <v>2MC</v>
      </c>
      <c r="G1324" s="1">
        <v>46252</v>
      </c>
      <c r="H1324" s="13">
        <v>0.63055555555555554</v>
      </c>
      <c r="I1324" s="1">
        <v>46252</v>
      </c>
      <c r="J1324" s="1">
        <v>46252</v>
      </c>
      <c r="K1324" s="1">
        <v>46252</v>
      </c>
      <c r="L1324" t="s">
        <v>328</v>
      </c>
      <c r="M1324" t="s">
        <v>128</v>
      </c>
      <c r="N1324" t="s">
        <v>208</v>
      </c>
      <c r="O1324" t="s">
        <v>18</v>
      </c>
      <c r="P1324">
        <v>32435</v>
      </c>
      <c r="Q1324" t="s">
        <v>123</v>
      </c>
      <c r="S1324" t="s">
        <v>22</v>
      </c>
    </row>
    <row r="1325" spans="1:19" x14ac:dyDescent="0.3">
      <c r="A1325">
        <v>39337</v>
      </c>
      <c r="B1325" t="s">
        <v>28</v>
      </c>
      <c r="C1325" t="s">
        <v>124</v>
      </c>
      <c r="D1325" t="s">
        <v>23</v>
      </c>
      <c r="E1325" t="s">
        <v>122</v>
      </c>
      <c r="F1325" s="6" t="str">
        <f t="shared" si="20"/>
        <v>3MC</v>
      </c>
      <c r="G1325" s="1">
        <v>46252</v>
      </c>
      <c r="H1325" s="13">
        <v>0.63055555555555554</v>
      </c>
      <c r="I1325" s="1">
        <v>46252</v>
      </c>
      <c r="J1325" s="1">
        <v>46252</v>
      </c>
      <c r="K1325" s="1">
        <v>46252</v>
      </c>
      <c r="L1325" t="s">
        <v>328</v>
      </c>
      <c r="M1325" t="s">
        <v>128</v>
      </c>
      <c r="N1325" t="s">
        <v>208</v>
      </c>
      <c r="O1325" t="s">
        <v>18</v>
      </c>
      <c r="P1325">
        <v>32436</v>
      </c>
      <c r="Q1325" t="s">
        <v>123</v>
      </c>
      <c r="S1325" t="s">
        <v>22</v>
      </c>
    </row>
    <row r="1326" spans="1:19" x14ac:dyDescent="0.3">
      <c r="A1326">
        <v>39338</v>
      </c>
      <c r="B1326" t="s">
        <v>28</v>
      </c>
      <c r="C1326" t="s">
        <v>124</v>
      </c>
      <c r="D1326" t="s">
        <v>23</v>
      </c>
      <c r="E1326" t="s">
        <v>114</v>
      </c>
      <c r="F1326" s="6" t="str">
        <f t="shared" si="20"/>
        <v>6MC</v>
      </c>
      <c r="G1326" s="1">
        <v>46252</v>
      </c>
      <c r="H1326" s="13">
        <v>0.63055555555555554</v>
      </c>
      <c r="I1326" s="1">
        <v>46252</v>
      </c>
      <c r="J1326" s="1">
        <v>46252</v>
      </c>
      <c r="K1326" s="1">
        <v>46252</v>
      </c>
      <c r="L1326" t="s">
        <v>328</v>
      </c>
      <c r="M1326" t="s">
        <v>128</v>
      </c>
      <c r="N1326" t="s">
        <v>208</v>
      </c>
      <c r="O1326" t="s">
        <v>18</v>
      </c>
      <c r="P1326">
        <v>32437</v>
      </c>
      <c r="Q1326" t="s">
        <v>123</v>
      </c>
      <c r="S1326" t="s">
        <v>22</v>
      </c>
    </row>
    <row r="1327" spans="1:19" x14ac:dyDescent="0.3">
      <c r="A1327">
        <v>39525</v>
      </c>
      <c r="B1327" t="s">
        <v>28</v>
      </c>
      <c r="C1327" t="s">
        <v>124</v>
      </c>
      <c r="D1327" t="s">
        <v>23</v>
      </c>
      <c r="E1327" t="s">
        <v>115</v>
      </c>
      <c r="F1327" s="6" t="str">
        <f t="shared" si="20"/>
        <v>2ML</v>
      </c>
      <c r="G1327" s="7">
        <v>46254</v>
      </c>
      <c r="H1327" s="8">
        <v>0.32430555555555557</v>
      </c>
      <c r="I1327" s="7">
        <v>46254</v>
      </c>
      <c r="L1327" t="s">
        <v>36</v>
      </c>
      <c r="M1327" t="s">
        <v>129</v>
      </c>
      <c r="N1327" s="9" t="s">
        <v>208</v>
      </c>
      <c r="O1327" t="s">
        <v>24</v>
      </c>
      <c r="P1327">
        <v>32533</v>
      </c>
      <c r="Q1327" t="s">
        <v>123</v>
      </c>
      <c r="S1327" t="s">
        <v>38</v>
      </c>
    </row>
    <row r="1328" spans="1:19" x14ac:dyDescent="0.3">
      <c r="A1328">
        <v>39526</v>
      </c>
      <c r="B1328" t="s">
        <v>28</v>
      </c>
      <c r="C1328" t="s">
        <v>124</v>
      </c>
      <c r="D1328" t="s">
        <v>23</v>
      </c>
      <c r="E1328" t="s">
        <v>116</v>
      </c>
      <c r="F1328" s="6" t="str">
        <f t="shared" si="20"/>
        <v>3ML</v>
      </c>
      <c r="G1328" s="7">
        <v>46254</v>
      </c>
      <c r="H1328" s="8">
        <v>0.32430555555555557</v>
      </c>
      <c r="I1328" s="7">
        <v>46254</v>
      </c>
      <c r="L1328" t="s">
        <v>36</v>
      </c>
      <c r="M1328" t="s">
        <v>129</v>
      </c>
      <c r="N1328" s="9" t="s">
        <v>208</v>
      </c>
      <c r="O1328" t="s">
        <v>24</v>
      </c>
      <c r="P1328">
        <v>32534</v>
      </c>
      <c r="Q1328" t="s">
        <v>123</v>
      </c>
      <c r="S1328" t="s">
        <v>38</v>
      </c>
    </row>
    <row r="1329" spans="1:19" x14ac:dyDescent="0.3">
      <c r="A1329">
        <v>39527</v>
      </c>
      <c r="B1329" t="s">
        <v>28</v>
      </c>
      <c r="C1329" t="s">
        <v>124</v>
      </c>
      <c r="D1329" t="s">
        <v>23</v>
      </c>
      <c r="E1329" t="s">
        <v>117</v>
      </c>
      <c r="F1329" s="6" t="str">
        <f t="shared" si="20"/>
        <v>6ML</v>
      </c>
      <c r="G1329" s="7">
        <v>46254</v>
      </c>
      <c r="H1329" s="8">
        <v>0.32430555555555557</v>
      </c>
      <c r="I1329" s="7">
        <v>46254</v>
      </c>
      <c r="L1329" t="s">
        <v>36</v>
      </c>
      <c r="M1329" t="s">
        <v>129</v>
      </c>
      <c r="N1329" s="9" t="s">
        <v>208</v>
      </c>
      <c r="O1329" t="s">
        <v>24</v>
      </c>
      <c r="P1329">
        <v>32535</v>
      </c>
      <c r="Q1329" t="s">
        <v>123</v>
      </c>
      <c r="S1329" t="s">
        <v>38</v>
      </c>
    </row>
    <row r="1330" spans="1:19" x14ac:dyDescent="0.3">
      <c r="A1330">
        <v>39541</v>
      </c>
      <c r="B1330" t="s">
        <v>28</v>
      </c>
      <c r="C1330" t="s">
        <v>124</v>
      </c>
      <c r="D1330" t="s">
        <v>23</v>
      </c>
      <c r="E1330" t="s">
        <v>51</v>
      </c>
      <c r="F1330" s="6" t="str">
        <f t="shared" si="20"/>
        <v>2MC</v>
      </c>
      <c r="G1330" s="7">
        <v>46254</v>
      </c>
      <c r="H1330" s="8">
        <v>0.53541666666666665</v>
      </c>
      <c r="I1330" s="7">
        <v>46254</v>
      </c>
      <c r="J1330" s="1"/>
      <c r="K1330" s="1"/>
      <c r="L1330" t="s">
        <v>329</v>
      </c>
      <c r="M1330" t="s">
        <v>178</v>
      </c>
      <c r="N1330" s="9" t="s">
        <v>208</v>
      </c>
      <c r="O1330" t="s">
        <v>18</v>
      </c>
      <c r="P1330">
        <v>32550</v>
      </c>
      <c r="Q1330" t="s">
        <v>123</v>
      </c>
      <c r="S1330" t="s">
        <v>224</v>
      </c>
    </row>
    <row r="1331" spans="1:19" x14ac:dyDescent="0.3">
      <c r="A1331">
        <v>39542</v>
      </c>
      <c r="B1331" t="s">
        <v>28</v>
      </c>
      <c r="C1331" t="s">
        <v>124</v>
      </c>
      <c r="D1331" t="s">
        <v>23</v>
      </c>
      <c r="E1331" t="s">
        <v>53</v>
      </c>
      <c r="F1331" s="6" t="str">
        <f t="shared" si="20"/>
        <v>3MC</v>
      </c>
      <c r="G1331" s="7">
        <v>46254</v>
      </c>
      <c r="H1331" s="8">
        <v>0.53541666666666665</v>
      </c>
      <c r="I1331" s="7">
        <v>46254</v>
      </c>
      <c r="J1331" s="1"/>
      <c r="K1331" s="1"/>
      <c r="L1331" t="s">
        <v>329</v>
      </c>
      <c r="M1331" t="s">
        <v>178</v>
      </c>
      <c r="N1331" s="9" t="s">
        <v>208</v>
      </c>
      <c r="O1331" t="s">
        <v>18</v>
      </c>
      <c r="P1331">
        <v>32549</v>
      </c>
      <c r="Q1331" t="s">
        <v>123</v>
      </c>
      <c r="S1331" t="s">
        <v>224</v>
      </c>
    </row>
    <row r="1332" spans="1:19" x14ac:dyDescent="0.3">
      <c r="A1332">
        <v>39543</v>
      </c>
      <c r="B1332" t="s">
        <v>28</v>
      </c>
      <c r="C1332" t="s">
        <v>124</v>
      </c>
      <c r="D1332" t="s">
        <v>23</v>
      </c>
      <c r="E1332" t="s">
        <v>112</v>
      </c>
      <c r="F1332" s="6" t="str">
        <f t="shared" si="20"/>
        <v>6MC</v>
      </c>
      <c r="G1332" s="7">
        <v>46254</v>
      </c>
      <c r="H1332" s="8">
        <v>0.53541666666666665</v>
      </c>
      <c r="I1332" s="7">
        <v>46254</v>
      </c>
      <c r="J1332" s="1"/>
      <c r="K1332" s="1"/>
      <c r="L1332" t="s">
        <v>329</v>
      </c>
      <c r="M1332" t="s">
        <v>178</v>
      </c>
      <c r="N1332" s="9" t="s">
        <v>208</v>
      </c>
      <c r="O1332" t="s">
        <v>18</v>
      </c>
      <c r="P1332">
        <v>32548</v>
      </c>
      <c r="Q1332" t="s">
        <v>123</v>
      </c>
      <c r="S1332" t="s">
        <v>224</v>
      </c>
    </row>
    <row r="1333" spans="1:19" x14ac:dyDescent="0.3">
      <c r="A1333">
        <v>39553</v>
      </c>
      <c r="B1333" t="s">
        <v>28</v>
      </c>
      <c r="C1333" t="s">
        <v>124</v>
      </c>
      <c r="D1333" t="s">
        <v>23</v>
      </c>
      <c r="E1333" t="s">
        <v>115</v>
      </c>
      <c r="F1333" s="6" t="str">
        <f t="shared" si="20"/>
        <v>2ML</v>
      </c>
      <c r="G1333" s="7">
        <v>46254</v>
      </c>
      <c r="H1333" s="8">
        <v>0.61458333333333337</v>
      </c>
      <c r="I1333" s="7">
        <v>46254</v>
      </c>
      <c r="J1333" s="1">
        <v>46254</v>
      </c>
      <c r="K1333" s="1">
        <v>46254</v>
      </c>
      <c r="L1333" t="s">
        <v>75</v>
      </c>
      <c r="M1333" t="s">
        <v>129</v>
      </c>
      <c r="N1333" s="9" t="s">
        <v>208</v>
      </c>
      <c r="O1333" t="s">
        <v>24</v>
      </c>
      <c r="P1333">
        <v>32553</v>
      </c>
      <c r="Q1333" t="s">
        <v>123</v>
      </c>
      <c r="S1333" t="s">
        <v>38</v>
      </c>
    </row>
    <row r="1334" spans="1:19" x14ac:dyDescent="0.3">
      <c r="A1334">
        <v>39554</v>
      </c>
      <c r="B1334" t="s">
        <v>28</v>
      </c>
      <c r="C1334" t="s">
        <v>124</v>
      </c>
      <c r="D1334" t="s">
        <v>23</v>
      </c>
      <c r="E1334" t="s">
        <v>116</v>
      </c>
      <c r="F1334" s="6" t="str">
        <f t="shared" si="20"/>
        <v>3ML</v>
      </c>
      <c r="G1334" s="7">
        <v>46254</v>
      </c>
      <c r="H1334" s="8">
        <v>0.61458333333333337</v>
      </c>
      <c r="I1334" s="7">
        <v>46254</v>
      </c>
      <c r="J1334" s="1">
        <v>46254</v>
      </c>
      <c r="K1334" s="1">
        <v>46254</v>
      </c>
      <c r="L1334" t="s">
        <v>75</v>
      </c>
      <c r="M1334" t="s">
        <v>129</v>
      </c>
      <c r="N1334" s="9" t="s">
        <v>208</v>
      </c>
      <c r="O1334" t="s">
        <v>24</v>
      </c>
      <c r="P1334">
        <v>32552</v>
      </c>
      <c r="Q1334" t="s">
        <v>123</v>
      </c>
      <c r="S1334" t="s">
        <v>38</v>
      </c>
    </row>
    <row r="1335" spans="1:19" x14ac:dyDescent="0.3">
      <c r="A1335">
        <v>39555</v>
      </c>
      <c r="B1335" t="s">
        <v>28</v>
      </c>
      <c r="C1335" t="s">
        <v>124</v>
      </c>
      <c r="D1335" t="s">
        <v>23</v>
      </c>
      <c r="E1335" t="s">
        <v>117</v>
      </c>
      <c r="F1335" s="6" t="str">
        <f t="shared" si="20"/>
        <v>6ML</v>
      </c>
      <c r="G1335" s="7">
        <v>46254</v>
      </c>
      <c r="H1335" s="8">
        <v>0.61458333333333337</v>
      </c>
      <c r="I1335" s="7">
        <v>46254</v>
      </c>
      <c r="J1335" s="1">
        <v>46254</v>
      </c>
      <c r="K1335" s="1">
        <v>46254</v>
      </c>
      <c r="L1335" t="s">
        <v>75</v>
      </c>
      <c r="M1335" t="s">
        <v>129</v>
      </c>
      <c r="N1335" s="9" t="s">
        <v>208</v>
      </c>
      <c r="O1335" t="s">
        <v>24</v>
      </c>
      <c r="P1335">
        <v>32551</v>
      </c>
      <c r="Q1335" t="s">
        <v>123</v>
      </c>
      <c r="S1335" t="s">
        <v>38</v>
      </c>
    </row>
    <row r="1336" spans="1:19" x14ac:dyDescent="0.3">
      <c r="A1336">
        <v>36671</v>
      </c>
      <c r="B1336" t="s">
        <v>28</v>
      </c>
      <c r="C1336" t="s">
        <v>15</v>
      </c>
      <c r="D1336" t="s">
        <v>16</v>
      </c>
      <c r="E1336" t="s">
        <v>112</v>
      </c>
      <c r="F1336" s="6" t="str">
        <f t="shared" si="20"/>
        <v>6MC</v>
      </c>
      <c r="G1336" s="1">
        <v>46205</v>
      </c>
      <c r="H1336" s="13">
        <v>0.51388888888888895</v>
      </c>
      <c r="I1336" s="1">
        <v>46205</v>
      </c>
      <c r="K1336" s="1">
        <v>46255</v>
      </c>
      <c r="L1336" t="s">
        <v>283</v>
      </c>
      <c r="M1336" t="s">
        <v>178</v>
      </c>
      <c r="N1336" t="s">
        <v>208</v>
      </c>
      <c r="O1336" t="s">
        <v>27</v>
      </c>
      <c r="P1336">
        <v>30734</v>
      </c>
      <c r="Q1336" t="s">
        <v>123</v>
      </c>
      <c r="S1336" t="s">
        <v>330</v>
      </c>
    </row>
    <row r="1337" spans="1:19" x14ac:dyDescent="0.3">
      <c r="A1337">
        <v>36671</v>
      </c>
      <c r="B1337" t="s">
        <v>28</v>
      </c>
      <c r="C1337" t="s">
        <v>15</v>
      </c>
      <c r="D1337" t="s">
        <v>16</v>
      </c>
      <c r="E1337" t="s">
        <v>112</v>
      </c>
      <c r="F1337" s="6" t="str">
        <f t="shared" si="20"/>
        <v>6MC</v>
      </c>
      <c r="G1337" s="1">
        <v>46205</v>
      </c>
      <c r="H1337" s="13">
        <v>0.51388888888888895</v>
      </c>
      <c r="I1337" s="1">
        <v>46205</v>
      </c>
      <c r="K1337" s="1">
        <v>46255</v>
      </c>
      <c r="L1337" t="s">
        <v>283</v>
      </c>
      <c r="M1337" t="s">
        <v>178</v>
      </c>
      <c r="N1337" t="s">
        <v>208</v>
      </c>
      <c r="O1337" t="s">
        <v>27</v>
      </c>
      <c r="P1337">
        <v>30734</v>
      </c>
      <c r="Q1337" t="s">
        <v>123</v>
      </c>
      <c r="R1337">
        <v>46894</v>
      </c>
      <c r="S1337" t="s">
        <v>330</v>
      </c>
    </row>
    <row r="1338" spans="1:19" x14ac:dyDescent="0.3">
      <c r="A1338">
        <v>36674</v>
      </c>
      <c r="B1338" t="s">
        <v>28</v>
      </c>
      <c r="C1338" t="s">
        <v>15</v>
      </c>
      <c r="D1338" t="s">
        <v>16</v>
      </c>
      <c r="E1338" t="s">
        <v>35</v>
      </c>
      <c r="F1338" s="6" t="str">
        <f t="shared" si="20"/>
        <v>2ML</v>
      </c>
      <c r="G1338" s="1">
        <v>46205</v>
      </c>
      <c r="H1338" s="13">
        <v>0.5229166666666667</v>
      </c>
      <c r="I1338" s="1">
        <v>46205</v>
      </c>
      <c r="K1338" s="1">
        <v>46255</v>
      </c>
      <c r="L1338" t="s">
        <v>284</v>
      </c>
      <c r="M1338" t="s">
        <v>126</v>
      </c>
      <c r="N1338" t="s">
        <v>208</v>
      </c>
      <c r="O1338" t="s">
        <v>27</v>
      </c>
      <c r="P1338">
        <v>30737</v>
      </c>
      <c r="Q1338" t="s">
        <v>123</v>
      </c>
      <c r="S1338" t="s">
        <v>331</v>
      </c>
    </row>
    <row r="1339" spans="1:19" x14ac:dyDescent="0.3">
      <c r="A1339">
        <v>36674</v>
      </c>
      <c r="B1339" t="s">
        <v>28</v>
      </c>
      <c r="C1339" t="s">
        <v>15</v>
      </c>
      <c r="D1339" t="s">
        <v>16</v>
      </c>
      <c r="E1339" t="s">
        <v>35</v>
      </c>
      <c r="F1339" s="6" t="str">
        <f t="shared" si="20"/>
        <v>2ML</v>
      </c>
      <c r="G1339" s="1">
        <v>46205</v>
      </c>
      <c r="H1339" s="13">
        <v>0.5229166666666667</v>
      </c>
      <c r="I1339" s="1">
        <v>46205</v>
      </c>
      <c r="K1339" s="1">
        <v>46255</v>
      </c>
      <c r="L1339" t="s">
        <v>284</v>
      </c>
      <c r="M1339" t="s">
        <v>126</v>
      </c>
      <c r="N1339" t="s">
        <v>208</v>
      </c>
      <c r="O1339" t="s">
        <v>27</v>
      </c>
      <c r="P1339">
        <v>30737</v>
      </c>
      <c r="Q1339" t="s">
        <v>123</v>
      </c>
      <c r="R1339">
        <v>46896</v>
      </c>
      <c r="S1339" t="s">
        <v>331</v>
      </c>
    </row>
    <row r="1340" spans="1:19" x14ac:dyDescent="0.3">
      <c r="A1340">
        <v>36675</v>
      </c>
      <c r="B1340" t="s">
        <v>28</v>
      </c>
      <c r="C1340" t="s">
        <v>15</v>
      </c>
      <c r="D1340" t="s">
        <v>16</v>
      </c>
      <c r="E1340" t="s">
        <v>47</v>
      </c>
      <c r="F1340" s="6" t="str">
        <f t="shared" si="20"/>
        <v>3ML</v>
      </c>
      <c r="G1340" s="1">
        <v>46205</v>
      </c>
      <c r="H1340" s="13">
        <v>0.5229166666666667</v>
      </c>
      <c r="I1340" s="1">
        <v>46205</v>
      </c>
      <c r="K1340" s="1">
        <v>46255</v>
      </c>
      <c r="L1340" t="s">
        <v>284</v>
      </c>
      <c r="M1340" t="s">
        <v>126</v>
      </c>
      <c r="N1340" t="s">
        <v>208</v>
      </c>
      <c r="O1340" t="s">
        <v>27</v>
      </c>
      <c r="P1340">
        <v>30738</v>
      </c>
      <c r="Q1340" t="s">
        <v>123</v>
      </c>
      <c r="S1340" t="s">
        <v>331</v>
      </c>
    </row>
    <row r="1341" spans="1:19" x14ac:dyDescent="0.3">
      <c r="A1341">
        <v>36675</v>
      </c>
      <c r="B1341" t="s">
        <v>28</v>
      </c>
      <c r="C1341" t="s">
        <v>15</v>
      </c>
      <c r="D1341" t="s">
        <v>16</v>
      </c>
      <c r="E1341" t="s">
        <v>47</v>
      </c>
      <c r="F1341" s="6" t="str">
        <f t="shared" si="20"/>
        <v>3ML</v>
      </c>
      <c r="G1341" s="1">
        <v>46205</v>
      </c>
      <c r="H1341" s="13">
        <v>0.5229166666666667</v>
      </c>
      <c r="I1341" s="1">
        <v>46205</v>
      </c>
      <c r="K1341" s="1">
        <v>46255</v>
      </c>
      <c r="L1341" t="s">
        <v>284</v>
      </c>
      <c r="M1341" t="s">
        <v>126</v>
      </c>
      <c r="N1341" t="s">
        <v>208</v>
      </c>
      <c r="O1341" t="s">
        <v>27</v>
      </c>
      <c r="P1341">
        <v>30738</v>
      </c>
      <c r="Q1341" t="s">
        <v>123</v>
      </c>
      <c r="R1341">
        <v>46897</v>
      </c>
      <c r="S1341" t="s">
        <v>331</v>
      </c>
    </row>
    <row r="1342" spans="1:19" x14ac:dyDescent="0.3">
      <c r="A1342">
        <v>36676</v>
      </c>
      <c r="B1342" t="s">
        <v>28</v>
      </c>
      <c r="C1342" t="s">
        <v>15</v>
      </c>
      <c r="D1342" t="s">
        <v>16</v>
      </c>
      <c r="E1342" t="s">
        <v>46</v>
      </c>
      <c r="F1342" s="6" t="str">
        <f t="shared" ref="F1342:F1391" si="21">MID(E1342,1,3)</f>
        <v>6ML</v>
      </c>
      <c r="G1342" s="1">
        <v>46205</v>
      </c>
      <c r="H1342" s="13">
        <v>0.5229166666666667</v>
      </c>
      <c r="I1342" s="1">
        <v>46205</v>
      </c>
      <c r="K1342" s="1">
        <v>46255</v>
      </c>
      <c r="L1342" t="s">
        <v>284</v>
      </c>
      <c r="M1342" t="s">
        <v>126</v>
      </c>
      <c r="N1342" t="s">
        <v>208</v>
      </c>
      <c r="O1342" t="s">
        <v>27</v>
      </c>
      <c r="P1342">
        <v>30739</v>
      </c>
      <c r="Q1342" t="s">
        <v>123</v>
      </c>
      <c r="S1342" t="s">
        <v>331</v>
      </c>
    </row>
    <row r="1343" spans="1:19" x14ac:dyDescent="0.3">
      <c r="A1343">
        <v>36676</v>
      </c>
      <c r="B1343" t="s">
        <v>28</v>
      </c>
      <c r="C1343" t="s">
        <v>15</v>
      </c>
      <c r="D1343" t="s">
        <v>16</v>
      </c>
      <c r="E1343" t="s">
        <v>46</v>
      </c>
      <c r="F1343" s="6" t="str">
        <f t="shared" si="21"/>
        <v>6ML</v>
      </c>
      <c r="G1343" s="1">
        <v>46205</v>
      </c>
      <c r="H1343" s="13">
        <v>0.5229166666666667</v>
      </c>
      <c r="I1343" s="1">
        <v>46205</v>
      </c>
      <c r="K1343" s="1">
        <v>46255</v>
      </c>
      <c r="L1343" t="s">
        <v>284</v>
      </c>
      <c r="M1343" t="s">
        <v>126</v>
      </c>
      <c r="N1343" t="s">
        <v>208</v>
      </c>
      <c r="O1343" t="s">
        <v>27</v>
      </c>
      <c r="P1343">
        <v>30739</v>
      </c>
      <c r="Q1343" t="s">
        <v>123</v>
      </c>
      <c r="R1343">
        <v>46898</v>
      </c>
      <c r="S1343" t="s">
        <v>331</v>
      </c>
    </row>
    <row r="1344" spans="1:19" x14ac:dyDescent="0.3">
      <c r="A1344">
        <v>36690</v>
      </c>
      <c r="B1344" t="s">
        <v>28</v>
      </c>
      <c r="C1344" t="s">
        <v>15</v>
      </c>
      <c r="D1344" t="s">
        <v>16</v>
      </c>
      <c r="E1344" t="s">
        <v>113</v>
      </c>
      <c r="F1344" s="6" t="str">
        <f t="shared" si="21"/>
        <v>2MC</v>
      </c>
      <c r="G1344" s="1">
        <v>46205</v>
      </c>
      <c r="H1344" s="13">
        <v>0.77361111111111114</v>
      </c>
      <c r="I1344" s="1">
        <v>46205</v>
      </c>
      <c r="J1344" s="1">
        <v>46205</v>
      </c>
      <c r="K1344" s="1">
        <v>46255</v>
      </c>
      <c r="L1344" t="s">
        <v>285</v>
      </c>
      <c r="M1344" t="s">
        <v>128</v>
      </c>
      <c r="N1344" t="s">
        <v>208</v>
      </c>
      <c r="O1344" t="s">
        <v>18</v>
      </c>
      <c r="P1344">
        <v>30751</v>
      </c>
      <c r="Q1344" t="s">
        <v>123</v>
      </c>
      <c r="S1344" t="s">
        <v>22</v>
      </c>
    </row>
    <row r="1345" spans="1:19" x14ac:dyDescent="0.3">
      <c r="A1345">
        <v>36690</v>
      </c>
      <c r="B1345" t="s">
        <v>28</v>
      </c>
      <c r="C1345" t="s">
        <v>15</v>
      </c>
      <c r="D1345" t="s">
        <v>16</v>
      </c>
      <c r="E1345" t="s">
        <v>113</v>
      </c>
      <c r="F1345" s="6" t="str">
        <f t="shared" si="21"/>
        <v>2MC</v>
      </c>
      <c r="G1345" s="1">
        <v>46205</v>
      </c>
      <c r="H1345" s="13">
        <v>0.77361111111111114</v>
      </c>
      <c r="I1345" s="1">
        <v>46205</v>
      </c>
      <c r="J1345" s="1">
        <v>46205</v>
      </c>
      <c r="K1345" s="1">
        <v>46255</v>
      </c>
      <c r="L1345" t="s">
        <v>285</v>
      </c>
      <c r="M1345" t="s">
        <v>128</v>
      </c>
      <c r="N1345" t="s">
        <v>208</v>
      </c>
      <c r="O1345" t="s">
        <v>18</v>
      </c>
      <c r="P1345">
        <v>30751</v>
      </c>
      <c r="Q1345" t="s">
        <v>123</v>
      </c>
      <c r="R1345">
        <v>46901</v>
      </c>
      <c r="S1345" t="s">
        <v>22</v>
      </c>
    </row>
    <row r="1346" spans="1:19" x14ac:dyDescent="0.3">
      <c r="A1346">
        <v>36691</v>
      </c>
      <c r="B1346" t="s">
        <v>28</v>
      </c>
      <c r="C1346" t="s">
        <v>15</v>
      </c>
      <c r="D1346" t="s">
        <v>16</v>
      </c>
      <c r="E1346" t="s">
        <v>122</v>
      </c>
      <c r="F1346" s="6" t="str">
        <f t="shared" si="21"/>
        <v>3MC</v>
      </c>
      <c r="G1346" s="1">
        <v>46205</v>
      </c>
      <c r="H1346" s="13">
        <v>0.77361111111111114</v>
      </c>
      <c r="I1346" s="1">
        <v>46205</v>
      </c>
      <c r="J1346" s="1">
        <v>46205</v>
      </c>
      <c r="K1346" s="1">
        <v>46255</v>
      </c>
      <c r="L1346" t="s">
        <v>285</v>
      </c>
      <c r="M1346" t="s">
        <v>128</v>
      </c>
      <c r="N1346" t="s">
        <v>208</v>
      </c>
      <c r="O1346" t="s">
        <v>18</v>
      </c>
      <c r="P1346">
        <v>30752</v>
      </c>
      <c r="Q1346" t="s">
        <v>123</v>
      </c>
      <c r="S1346" t="s">
        <v>22</v>
      </c>
    </row>
    <row r="1347" spans="1:19" x14ac:dyDescent="0.3">
      <c r="A1347">
        <v>36691</v>
      </c>
      <c r="B1347" t="s">
        <v>28</v>
      </c>
      <c r="C1347" t="s">
        <v>15</v>
      </c>
      <c r="D1347" t="s">
        <v>16</v>
      </c>
      <c r="E1347" t="s">
        <v>122</v>
      </c>
      <c r="F1347" s="6" t="str">
        <f t="shared" si="21"/>
        <v>3MC</v>
      </c>
      <c r="G1347" s="1">
        <v>46205</v>
      </c>
      <c r="H1347" s="13">
        <v>0.77361111111111114</v>
      </c>
      <c r="I1347" s="1">
        <v>46205</v>
      </c>
      <c r="J1347" s="1">
        <v>46205</v>
      </c>
      <c r="K1347" s="1">
        <v>46255</v>
      </c>
      <c r="L1347" t="s">
        <v>285</v>
      </c>
      <c r="M1347" t="s">
        <v>128</v>
      </c>
      <c r="N1347" t="s">
        <v>208</v>
      </c>
      <c r="O1347" t="s">
        <v>18</v>
      </c>
      <c r="P1347">
        <v>30752</v>
      </c>
      <c r="Q1347" t="s">
        <v>123</v>
      </c>
      <c r="R1347">
        <v>46902</v>
      </c>
      <c r="S1347" t="s">
        <v>22</v>
      </c>
    </row>
    <row r="1348" spans="1:19" x14ac:dyDescent="0.3">
      <c r="A1348">
        <v>36692</v>
      </c>
      <c r="B1348" t="s">
        <v>28</v>
      </c>
      <c r="C1348" t="s">
        <v>15</v>
      </c>
      <c r="D1348" t="s">
        <v>16</v>
      </c>
      <c r="E1348" t="s">
        <v>114</v>
      </c>
      <c r="F1348" s="6" t="str">
        <f t="shared" si="21"/>
        <v>6MC</v>
      </c>
      <c r="G1348" s="1">
        <v>46205</v>
      </c>
      <c r="H1348" s="13">
        <v>0.77361111111111114</v>
      </c>
      <c r="I1348" s="1">
        <v>46205</v>
      </c>
      <c r="J1348" s="1">
        <v>46205</v>
      </c>
      <c r="K1348" s="1">
        <v>46255</v>
      </c>
      <c r="L1348" t="s">
        <v>285</v>
      </c>
      <c r="M1348" t="s">
        <v>128</v>
      </c>
      <c r="N1348" t="s">
        <v>208</v>
      </c>
      <c r="O1348" t="s">
        <v>18</v>
      </c>
      <c r="P1348">
        <v>30753</v>
      </c>
      <c r="Q1348" t="s">
        <v>123</v>
      </c>
      <c r="S1348" t="s">
        <v>22</v>
      </c>
    </row>
    <row r="1349" spans="1:19" x14ac:dyDescent="0.3">
      <c r="A1349">
        <v>36692</v>
      </c>
      <c r="B1349" t="s">
        <v>28</v>
      </c>
      <c r="C1349" t="s">
        <v>15</v>
      </c>
      <c r="D1349" t="s">
        <v>16</v>
      </c>
      <c r="E1349" t="s">
        <v>114</v>
      </c>
      <c r="F1349" s="6" t="str">
        <f t="shared" si="21"/>
        <v>6MC</v>
      </c>
      <c r="G1349" s="1">
        <v>46205</v>
      </c>
      <c r="H1349" s="13">
        <v>0.77361111111111114</v>
      </c>
      <c r="I1349" s="1">
        <v>46205</v>
      </c>
      <c r="J1349" s="1">
        <v>46205</v>
      </c>
      <c r="K1349" s="1">
        <v>46255</v>
      </c>
      <c r="L1349" t="s">
        <v>285</v>
      </c>
      <c r="M1349" t="s">
        <v>128</v>
      </c>
      <c r="N1349" t="s">
        <v>208</v>
      </c>
      <c r="O1349" t="s">
        <v>18</v>
      </c>
      <c r="P1349">
        <v>30753</v>
      </c>
      <c r="Q1349" t="s">
        <v>123</v>
      </c>
      <c r="R1349">
        <v>46903</v>
      </c>
      <c r="S1349" t="s">
        <v>22</v>
      </c>
    </row>
    <row r="1350" spans="1:19" x14ac:dyDescent="0.3">
      <c r="A1350">
        <v>36699</v>
      </c>
      <c r="B1350" t="s">
        <v>28</v>
      </c>
      <c r="C1350" t="s">
        <v>15</v>
      </c>
      <c r="D1350" t="s">
        <v>16</v>
      </c>
      <c r="E1350" t="s">
        <v>51</v>
      </c>
      <c r="F1350" s="6" t="str">
        <f t="shared" si="21"/>
        <v>2MC</v>
      </c>
      <c r="G1350" s="1">
        <v>46206</v>
      </c>
      <c r="H1350" s="13">
        <v>0.39305555555555555</v>
      </c>
      <c r="I1350" s="1">
        <v>46206</v>
      </c>
      <c r="K1350" s="1">
        <v>46255</v>
      </c>
      <c r="L1350" t="s">
        <v>286</v>
      </c>
      <c r="M1350">
        <v>1620</v>
      </c>
      <c r="N1350" t="s">
        <v>208</v>
      </c>
      <c r="O1350" t="s">
        <v>27</v>
      </c>
      <c r="P1350">
        <v>30759</v>
      </c>
      <c r="Q1350" t="s">
        <v>123</v>
      </c>
      <c r="S1350" t="s">
        <v>331</v>
      </c>
    </row>
    <row r="1351" spans="1:19" x14ac:dyDescent="0.3">
      <c r="A1351">
        <v>36699</v>
      </c>
      <c r="B1351" t="s">
        <v>28</v>
      </c>
      <c r="C1351" t="s">
        <v>15</v>
      </c>
      <c r="D1351" t="s">
        <v>16</v>
      </c>
      <c r="E1351" t="s">
        <v>51</v>
      </c>
      <c r="F1351" s="6" t="str">
        <f t="shared" si="21"/>
        <v>2MC</v>
      </c>
      <c r="G1351" s="1">
        <v>46206</v>
      </c>
      <c r="H1351" s="13">
        <v>0.39305555555555555</v>
      </c>
      <c r="I1351" s="1">
        <v>46206</v>
      </c>
      <c r="K1351" s="1">
        <v>46255</v>
      </c>
      <c r="L1351" t="s">
        <v>286</v>
      </c>
      <c r="M1351">
        <v>1620</v>
      </c>
      <c r="N1351" t="s">
        <v>208</v>
      </c>
      <c r="O1351" t="s">
        <v>27</v>
      </c>
      <c r="P1351">
        <v>30759</v>
      </c>
      <c r="Q1351" t="s">
        <v>123</v>
      </c>
      <c r="R1351">
        <v>46905</v>
      </c>
      <c r="S1351" t="s">
        <v>331</v>
      </c>
    </row>
    <row r="1352" spans="1:19" x14ac:dyDescent="0.3">
      <c r="A1352">
        <v>36700</v>
      </c>
      <c r="B1352" t="s">
        <v>28</v>
      </c>
      <c r="C1352" t="s">
        <v>15</v>
      </c>
      <c r="D1352" t="s">
        <v>16</v>
      </c>
      <c r="E1352" t="s">
        <v>53</v>
      </c>
      <c r="F1352" s="6" t="str">
        <f t="shared" si="21"/>
        <v>3MC</v>
      </c>
      <c r="G1352" s="1">
        <v>46206</v>
      </c>
      <c r="H1352" s="13">
        <v>0.39305555555555555</v>
      </c>
      <c r="I1352" s="1">
        <v>46206</v>
      </c>
      <c r="J1352" s="1">
        <v>46206</v>
      </c>
      <c r="K1352" s="1">
        <v>46255</v>
      </c>
      <c r="L1352" t="s">
        <v>286</v>
      </c>
      <c r="M1352">
        <v>1620</v>
      </c>
      <c r="N1352" t="s">
        <v>208</v>
      </c>
      <c r="O1352" t="s">
        <v>27</v>
      </c>
      <c r="P1352">
        <v>30760</v>
      </c>
      <c r="Q1352" t="s">
        <v>123</v>
      </c>
      <c r="S1352" t="s">
        <v>331</v>
      </c>
    </row>
    <row r="1353" spans="1:19" x14ac:dyDescent="0.3">
      <c r="A1353">
        <v>36700</v>
      </c>
      <c r="B1353" t="s">
        <v>28</v>
      </c>
      <c r="C1353" t="s">
        <v>15</v>
      </c>
      <c r="D1353" t="s">
        <v>16</v>
      </c>
      <c r="E1353" t="s">
        <v>53</v>
      </c>
      <c r="F1353" s="6" t="str">
        <f t="shared" si="21"/>
        <v>3MC</v>
      </c>
      <c r="G1353" s="1">
        <v>46206</v>
      </c>
      <c r="H1353" s="13">
        <v>0.39305555555555555</v>
      </c>
      <c r="I1353" s="1">
        <v>46206</v>
      </c>
      <c r="J1353" s="1">
        <v>46206</v>
      </c>
      <c r="K1353" s="1">
        <v>46255</v>
      </c>
      <c r="L1353" t="s">
        <v>286</v>
      </c>
      <c r="M1353">
        <v>1620</v>
      </c>
      <c r="N1353" t="s">
        <v>208</v>
      </c>
      <c r="O1353" t="s">
        <v>27</v>
      </c>
      <c r="P1353">
        <v>30760</v>
      </c>
      <c r="Q1353" t="s">
        <v>123</v>
      </c>
      <c r="R1353">
        <v>46906</v>
      </c>
      <c r="S1353" t="s">
        <v>331</v>
      </c>
    </row>
    <row r="1354" spans="1:19" x14ac:dyDescent="0.3">
      <c r="A1354">
        <v>36701</v>
      </c>
      <c r="B1354" t="s">
        <v>28</v>
      </c>
      <c r="C1354" t="s">
        <v>15</v>
      </c>
      <c r="D1354" t="s">
        <v>16</v>
      </c>
      <c r="E1354" t="s">
        <v>111</v>
      </c>
      <c r="F1354" s="6" t="str">
        <f t="shared" si="21"/>
        <v>6MC</v>
      </c>
      <c r="G1354" s="1">
        <v>46206</v>
      </c>
      <c r="H1354" s="13">
        <v>0.39305555555555555</v>
      </c>
      <c r="I1354" s="1">
        <v>46206</v>
      </c>
      <c r="K1354" s="1">
        <v>46255</v>
      </c>
      <c r="L1354" t="s">
        <v>286</v>
      </c>
      <c r="M1354">
        <v>1620</v>
      </c>
      <c r="N1354" t="s">
        <v>208</v>
      </c>
      <c r="O1354" t="s">
        <v>27</v>
      </c>
      <c r="P1354">
        <v>30761</v>
      </c>
      <c r="Q1354" t="s">
        <v>123</v>
      </c>
      <c r="S1354" t="s">
        <v>331</v>
      </c>
    </row>
    <row r="1355" spans="1:19" x14ac:dyDescent="0.3">
      <c r="A1355">
        <v>36701</v>
      </c>
      <c r="B1355" t="s">
        <v>28</v>
      </c>
      <c r="C1355" t="s">
        <v>15</v>
      </c>
      <c r="D1355" t="s">
        <v>16</v>
      </c>
      <c r="E1355" t="s">
        <v>111</v>
      </c>
      <c r="F1355" s="6" t="str">
        <f t="shared" si="21"/>
        <v>6MC</v>
      </c>
      <c r="G1355" s="1">
        <v>46206</v>
      </c>
      <c r="H1355" s="13">
        <v>0.39305555555555555</v>
      </c>
      <c r="I1355" s="1">
        <v>46206</v>
      </c>
      <c r="K1355" s="1">
        <v>46255</v>
      </c>
      <c r="L1355" t="s">
        <v>286</v>
      </c>
      <c r="M1355">
        <v>1620</v>
      </c>
      <c r="N1355" t="s">
        <v>208</v>
      </c>
      <c r="O1355" t="s">
        <v>27</v>
      </c>
      <c r="P1355">
        <v>30761</v>
      </c>
      <c r="Q1355" t="s">
        <v>123</v>
      </c>
      <c r="R1355">
        <v>46907</v>
      </c>
      <c r="S1355" t="s">
        <v>331</v>
      </c>
    </row>
    <row r="1356" spans="1:19" x14ac:dyDescent="0.3">
      <c r="A1356">
        <v>36891</v>
      </c>
      <c r="B1356" t="s">
        <v>28</v>
      </c>
      <c r="C1356" t="s">
        <v>15</v>
      </c>
      <c r="D1356" t="s">
        <v>16</v>
      </c>
      <c r="E1356" t="s">
        <v>115</v>
      </c>
      <c r="F1356" s="6" t="str">
        <f t="shared" si="21"/>
        <v>2ML</v>
      </c>
      <c r="G1356" s="1">
        <v>46209</v>
      </c>
      <c r="H1356" s="13">
        <v>0.37847222222222227</v>
      </c>
      <c r="I1356" s="1">
        <v>46209</v>
      </c>
      <c r="K1356" s="1">
        <v>46255</v>
      </c>
      <c r="L1356" t="s">
        <v>64</v>
      </c>
      <c r="M1356" t="s">
        <v>129</v>
      </c>
      <c r="N1356" t="s">
        <v>208</v>
      </c>
      <c r="O1356" t="s">
        <v>24</v>
      </c>
      <c r="P1356">
        <v>30842</v>
      </c>
      <c r="Q1356" t="s">
        <v>123</v>
      </c>
      <c r="S1356" t="s">
        <v>38</v>
      </c>
    </row>
    <row r="1357" spans="1:19" x14ac:dyDescent="0.3">
      <c r="A1357">
        <v>36891</v>
      </c>
      <c r="B1357" t="s">
        <v>28</v>
      </c>
      <c r="C1357" t="s">
        <v>15</v>
      </c>
      <c r="D1357" t="s">
        <v>16</v>
      </c>
      <c r="E1357" t="s">
        <v>115</v>
      </c>
      <c r="F1357" s="6" t="str">
        <f t="shared" si="21"/>
        <v>2ML</v>
      </c>
      <c r="G1357" s="1">
        <v>46209</v>
      </c>
      <c r="H1357" s="13">
        <v>0.37847222222222227</v>
      </c>
      <c r="I1357" s="1">
        <v>46209</v>
      </c>
      <c r="K1357" s="1">
        <v>46255</v>
      </c>
      <c r="L1357" t="s">
        <v>64</v>
      </c>
      <c r="M1357" t="s">
        <v>129</v>
      </c>
      <c r="N1357" t="s">
        <v>208</v>
      </c>
      <c r="O1357" t="s">
        <v>24</v>
      </c>
      <c r="P1357">
        <v>30842</v>
      </c>
      <c r="Q1357" t="s">
        <v>123</v>
      </c>
      <c r="R1357">
        <v>46913</v>
      </c>
      <c r="S1357" t="s">
        <v>38</v>
      </c>
    </row>
    <row r="1358" spans="1:19" x14ac:dyDescent="0.3">
      <c r="A1358">
        <v>36892</v>
      </c>
      <c r="B1358" t="s">
        <v>28</v>
      </c>
      <c r="C1358" t="s">
        <v>15</v>
      </c>
      <c r="D1358" t="s">
        <v>16</v>
      </c>
      <c r="E1358" t="s">
        <v>116</v>
      </c>
      <c r="F1358" s="6" t="str">
        <f t="shared" si="21"/>
        <v>3ML</v>
      </c>
      <c r="G1358" s="1">
        <v>46209</v>
      </c>
      <c r="H1358" s="13">
        <v>0.37847222222222227</v>
      </c>
      <c r="I1358" s="1">
        <v>46209</v>
      </c>
      <c r="K1358" s="1">
        <v>46255</v>
      </c>
      <c r="L1358" t="s">
        <v>64</v>
      </c>
      <c r="M1358" t="s">
        <v>129</v>
      </c>
      <c r="N1358" t="s">
        <v>208</v>
      </c>
      <c r="O1358" t="s">
        <v>24</v>
      </c>
      <c r="P1358">
        <v>30843</v>
      </c>
      <c r="Q1358" t="s">
        <v>123</v>
      </c>
      <c r="S1358" t="s">
        <v>38</v>
      </c>
    </row>
    <row r="1359" spans="1:19" x14ac:dyDescent="0.3">
      <c r="A1359">
        <v>36892</v>
      </c>
      <c r="B1359" t="s">
        <v>28</v>
      </c>
      <c r="C1359" t="s">
        <v>15</v>
      </c>
      <c r="D1359" t="s">
        <v>16</v>
      </c>
      <c r="E1359" t="s">
        <v>116</v>
      </c>
      <c r="F1359" s="6" t="str">
        <f t="shared" si="21"/>
        <v>3ML</v>
      </c>
      <c r="G1359" s="1">
        <v>46209</v>
      </c>
      <c r="H1359" s="13">
        <v>0.37847222222222227</v>
      </c>
      <c r="I1359" s="1">
        <v>46209</v>
      </c>
      <c r="K1359" s="1">
        <v>46255</v>
      </c>
      <c r="L1359" t="s">
        <v>64</v>
      </c>
      <c r="M1359" t="s">
        <v>129</v>
      </c>
      <c r="N1359" t="s">
        <v>208</v>
      </c>
      <c r="O1359" t="s">
        <v>24</v>
      </c>
      <c r="P1359">
        <v>30843</v>
      </c>
      <c r="Q1359" t="s">
        <v>123</v>
      </c>
      <c r="R1359">
        <v>46914</v>
      </c>
      <c r="S1359" t="s">
        <v>38</v>
      </c>
    </row>
    <row r="1360" spans="1:19" x14ac:dyDescent="0.3">
      <c r="A1360">
        <v>36893</v>
      </c>
      <c r="B1360" t="s">
        <v>28</v>
      </c>
      <c r="C1360" t="s">
        <v>15</v>
      </c>
      <c r="D1360" t="s">
        <v>16</v>
      </c>
      <c r="E1360" t="s">
        <v>117</v>
      </c>
      <c r="F1360" s="6" t="str">
        <f t="shared" si="21"/>
        <v>6ML</v>
      </c>
      <c r="G1360" s="1">
        <v>46209</v>
      </c>
      <c r="H1360" s="13">
        <v>0.37847222222222227</v>
      </c>
      <c r="I1360" s="1">
        <v>46209</v>
      </c>
      <c r="K1360" s="1">
        <v>46255</v>
      </c>
      <c r="L1360" t="s">
        <v>64</v>
      </c>
      <c r="M1360" t="s">
        <v>129</v>
      </c>
      <c r="N1360" t="s">
        <v>208</v>
      </c>
      <c r="O1360" t="s">
        <v>24</v>
      </c>
      <c r="P1360">
        <v>30844</v>
      </c>
      <c r="Q1360" t="s">
        <v>123</v>
      </c>
      <c r="S1360" t="s">
        <v>38</v>
      </c>
    </row>
    <row r="1361" spans="1:19" x14ac:dyDescent="0.3">
      <c r="A1361">
        <v>36893</v>
      </c>
      <c r="B1361" t="s">
        <v>28</v>
      </c>
      <c r="C1361" t="s">
        <v>15</v>
      </c>
      <c r="D1361" t="s">
        <v>16</v>
      </c>
      <c r="E1361" t="s">
        <v>117</v>
      </c>
      <c r="F1361" s="6" t="str">
        <f t="shared" si="21"/>
        <v>6ML</v>
      </c>
      <c r="G1361" s="1">
        <v>46209</v>
      </c>
      <c r="H1361" s="13">
        <v>0.37847222222222227</v>
      </c>
      <c r="I1361" s="1">
        <v>46209</v>
      </c>
      <c r="K1361" s="1">
        <v>46255</v>
      </c>
      <c r="L1361" t="s">
        <v>64</v>
      </c>
      <c r="M1361" t="s">
        <v>129</v>
      </c>
      <c r="N1361" t="s">
        <v>208</v>
      </c>
      <c r="O1361" t="s">
        <v>24</v>
      </c>
      <c r="P1361">
        <v>30844</v>
      </c>
      <c r="Q1361" t="s">
        <v>123</v>
      </c>
      <c r="R1361">
        <v>46915</v>
      </c>
      <c r="S1361" t="s">
        <v>38</v>
      </c>
    </row>
    <row r="1362" spans="1:19" x14ac:dyDescent="0.3">
      <c r="A1362">
        <v>37053</v>
      </c>
      <c r="B1362" t="s">
        <v>28</v>
      </c>
      <c r="C1362" t="s">
        <v>15</v>
      </c>
      <c r="D1362" t="s">
        <v>16</v>
      </c>
      <c r="E1362" t="s">
        <v>46</v>
      </c>
      <c r="F1362" s="6" t="str">
        <f t="shared" si="21"/>
        <v>6ML</v>
      </c>
      <c r="G1362" s="1">
        <v>46211</v>
      </c>
      <c r="H1362" s="13">
        <v>0.3611111111111111</v>
      </c>
      <c r="I1362" s="1">
        <v>46211</v>
      </c>
      <c r="J1362" s="1">
        <v>46237</v>
      </c>
      <c r="K1362" s="1">
        <v>46256</v>
      </c>
      <c r="L1362" t="s">
        <v>288</v>
      </c>
      <c r="M1362" t="s">
        <v>146</v>
      </c>
      <c r="N1362" t="s">
        <v>208</v>
      </c>
      <c r="O1362" t="s">
        <v>27</v>
      </c>
      <c r="P1362">
        <v>30939</v>
      </c>
      <c r="Q1362" t="s">
        <v>123</v>
      </c>
      <c r="S1362" t="s">
        <v>332</v>
      </c>
    </row>
    <row r="1363" spans="1:19" x14ac:dyDescent="0.3">
      <c r="A1363">
        <v>37053</v>
      </c>
      <c r="B1363" t="s">
        <v>28</v>
      </c>
      <c r="C1363" t="s">
        <v>15</v>
      </c>
      <c r="D1363" t="s">
        <v>16</v>
      </c>
      <c r="E1363" t="s">
        <v>46</v>
      </c>
      <c r="F1363" s="6" t="str">
        <f t="shared" si="21"/>
        <v>6ML</v>
      </c>
      <c r="G1363" s="1">
        <v>46211</v>
      </c>
      <c r="H1363" s="13">
        <v>0.3611111111111111</v>
      </c>
      <c r="I1363" s="1">
        <v>46211</v>
      </c>
      <c r="J1363" s="1">
        <v>46237</v>
      </c>
      <c r="K1363" s="1">
        <v>46256</v>
      </c>
      <c r="L1363" t="s">
        <v>288</v>
      </c>
      <c r="M1363" t="s">
        <v>146</v>
      </c>
      <c r="N1363" t="s">
        <v>208</v>
      </c>
      <c r="O1363" t="s">
        <v>27</v>
      </c>
      <c r="P1363">
        <v>30939</v>
      </c>
      <c r="Q1363" t="s">
        <v>123</v>
      </c>
      <c r="R1363">
        <v>46928</v>
      </c>
      <c r="S1363" t="s">
        <v>332</v>
      </c>
    </row>
    <row r="1364" spans="1:19" x14ac:dyDescent="0.3">
      <c r="A1364">
        <v>37217</v>
      </c>
      <c r="B1364" t="s">
        <v>28</v>
      </c>
      <c r="C1364" t="s">
        <v>15</v>
      </c>
      <c r="D1364" t="s">
        <v>16</v>
      </c>
      <c r="E1364" t="s">
        <v>35</v>
      </c>
      <c r="F1364" s="6" t="str">
        <f t="shared" si="21"/>
        <v>2ML</v>
      </c>
      <c r="G1364" s="1">
        <v>46216</v>
      </c>
      <c r="H1364" s="13">
        <v>0.37083333333333335</v>
      </c>
      <c r="I1364" s="1">
        <v>46216</v>
      </c>
      <c r="K1364" s="1">
        <v>46258</v>
      </c>
      <c r="L1364" t="s">
        <v>181</v>
      </c>
      <c r="M1364" t="s">
        <v>126</v>
      </c>
      <c r="N1364" t="s">
        <v>208</v>
      </c>
      <c r="O1364" t="s">
        <v>25</v>
      </c>
      <c r="P1364">
        <v>31025</v>
      </c>
      <c r="Q1364" t="s">
        <v>123</v>
      </c>
      <c r="S1364" t="s">
        <v>26</v>
      </c>
    </row>
    <row r="1365" spans="1:19" x14ac:dyDescent="0.3">
      <c r="A1365">
        <v>37217</v>
      </c>
      <c r="B1365" t="s">
        <v>28</v>
      </c>
      <c r="C1365" t="s">
        <v>15</v>
      </c>
      <c r="D1365" t="s">
        <v>16</v>
      </c>
      <c r="E1365" t="s">
        <v>35</v>
      </c>
      <c r="F1365" s="6" t="str">
        <f t="shared" si="21"/>
        <v>2ML</v>
      </c>
      <c r="G1365" s="1">
        <v>46216</v>
      </c>
      <c r="H1365" s="13">
        <v>0.37083333333333335</v>
      </c>
      <c r="I1365" s="1">
        <v>46216</v>
      </c>
      <c r="K1365" s="1">
        <v>46258</v>
      </c>
      <c r="L1365" t="s">
        <v>181</v>
      </c>
      <c r="M1365" t="s">
        <v>126</v>
      </c>
      <c r="N1365" t="s">
        <v>208</v>
      </c>
      <c r="O1365" t="s">
        <v>25</v>
      </c>
      <c r="P1365">
        <v>31025</v>
      </c>
      <c r="Q1365" t="s">
        <v>123</v>
      </c>
      <c r="R1365">
        <v>46982</v>
      </c>
      <c r="S1365" t="s">
        <v>26</v>
      </c>
    </row>
    <row r="1366" spans="1:19" x14ac:dyDescent="0.3">
      <c r="A1366">
        <v>37219</v>
      </c>
      <c r="B1366" t="s">
        <v>28</v>
      </c>
      <c r="C1366" t="s">
        <v>15</v>
      </c>
      <c r="D1366" t="s">
        <v>16</v>
      </c>
      <c r="E1366" t="s">
        <v>46</v>
      </c>
      <c r="F1366" s="6" t="str">
        <f t="shared" si="21"/>
        <v>6ML</v>
      </c>
      <c r="G1366" s="1">
        <v>46216</v>
      </c>
      <c r="H1366" s="13">
        <v>0.37083333333333335</v>
      </c>
      <c r="I1366" s="1">
        <v>46216</v>
      </c>
      <c r="K1366" s="1">
        <v>46258</v>
      </c>
      <c r="L1366" t="s">
        <v>181</v>
      </c>
      <c r="M1366" t="s">
        <v>126</v>
      </c>
      <c r="N1366" t="s">
        <v>208</v>
      </c>
      <c r="O1366" t="s">
        <v>25</v>
      </c>
      <c r="P1366">
        <v>31027</v>
      </c>
      <c r="Q1366" t="s">
        <v>123</v>
      </c>
      <c r="S1366" t="s">
        <v>26</v>
      </c>
    </row>
    <row r="1367" spans="1:19" x14ac:dyDescent="0.3">
      <c r="A1367">
        <v>37219</v>
      </c>
      <c r="B1367" t="s">
        <v>28</v>
      </c>
      <c r="C1367" t="s">
        <v>15</v>
      </c>
      <c r="D1367" t="s">
        <v>16</v>
      </c>
      <c r="E1367" t="s">
        <v>46</v>
      </c>
      <c r="F1367" s="6" t="str">
        <f t="shared" si="21"/>
        <v>6ML</v>
      </c>
      <c r="G1367" s="1">
        <v>46216</v>
      </c>
      <c r="H1367" s="13">
        <v>0.37083333333333335</v>
      </c>
      <c r="I1367" s="1">
        <v>46216</v>
      </c>
      <c r="K1367" s="1">
        <v>46258</v>
      </c>
      <c r="L1367" t="s">
        <v>181</v>
      </c>
      <c r="M1367" t="s">
        <v>126</v>
      </c>
      <c r="N1367" t="s">
        <v>208</v>
      </c>
      <c r="O1367" t="s">
        <v>25</v>
      </c>
      <c r="P1367">
        <v>31027</v>
      </c>
      <c r="Q1367" t="s">
        <v>123</v>
      </c>
      <c r="R1367">
        <v>46984</v>
      </c>
      <c r="S1367" t="s">
        <v>26</v>
      </c>
    </row>
    <row r="1368" spans="1:19" x14ac:dyDescent="0.3">
      <c r="A1368">
        <v>37467</v>
      </c>
      <c r="B1368" t="s">
        <v>28</v>
      </c>
      <c r="C1368" t="s">
        <v>15</v>
      </c>
      <c r="D1368" t="s">
        <v>16</v>
      </c>
      <c r="E1368" t="s">
        <v>115</v>
      </c>
      <c r="F1368" s="6" t="str">
        <f t="shared" si="21"/>
        <v>2ML</v>
      </c>
      <c r="G1368" s="1">
        <v>46220</v>
      </c>
      <c r="H1368" s="13">
        <v>0.5625</v>
      </c>
      <c r="I1368" s="1">
        <v>46220</v>
      </c>
      <c r="K1368" s="1">
        <v>46258</v>
      </c>
      <c r="L1368" t="s">
        <v>55</v>
      </c>
      <c r="M1368" t="s">
        <v>131</v>
      </c>
      <c r="N1368" t="s">
        <v>208</v>
      </c>
      <c r="O1368" t="s">
        <v>25</v>
      </c>
      <c r="P1368">
        <v>31202</v>
      </c>
      <c r="Q1368" t="s">
        <v>123</v>
      </c>
      <c r="R1368">
        <v>47099</v>
      </c>
      <c r="S1368" t="s">
        <v>26</v>
      </c>
    </row>
    <row r="1369" spans="1:19" x14ac:dyDescent="0.3">
      <c r="A1369">
        <v>37467</v>
      </c>
      <c r="B1369" t="s">
        <v>28</v>
      </c>
      <c r="C1369" t="s">
        <v>15</v>
      </c>
      <c r="D1369" t="s">
        <v>16</v>
      </c>
      <c r="E1369" t="s">
        <v>115</v>
      </c>
      <c r="F1369" s="6" t="str">
        <f t="shared" si="21"/>
        <v>2ML</v>
      </c>
      <c r="G1369" s="1">
        <v>46220</v>
      </c>
      <c r="H1369" s="13">
        <v>0.5625</v>
      </c>
      <c r="I1369" s="1">
        <v>46220</v>
      </c>
      <c r="K1369" s="1">
        <v>46258</v>
      </c>
      <c r="L1369" t="s">
        <v>55</v>
      </c>
      <c r="M1369" t="s">
        <v>131</v>
      </c>
      <c r="N1369" t="s">
        <v>208</v>
      </c>
      <c r="O1369" t="s">
        <v>25</v>
      </c>
      <c r="P1369">
        <v>31202</v>
      </c>
      <c r="Q1369" t="s">
        <v>123</v>
      </c>
      <c r="S1369" t="s">
        <v>26</v>
      </c>
    </row>
    <row r="1370" spans="1:19" x14ac:dyDescent="0.3">
      <c r="A1370">
        <v>37468</v>
      </c>
      <c r="B1370" t="s">
        <v>28</v>
      </c>
      <c r="C1370" t="s">
        <v>15</v>
      </c>
      <c r="D1370" t="s">
        <v>16</v>
      </c>
      <c r="E1370" t="s">
        <v>116</v>
      </c>
      <c r="F1370" s="6" t="str">
        <f t="shared" si="21"/>
        <v>3ML</v>
      </c>
      <c r="G1370" s="1">
        <v>46220</v>
      </c>
      <c r="H1370" s="13">
        <v>0.5625</v>
      </c>
      <c r="I1370" s="1">
        <v>46220</v>
      </c>
      <c r="K1370" s="1">
        <v>46258</v>
      </c>
      <c r="L1370" t="s">
        <v>55</v>
      </c>
      <c r="M1370" t="s">
        <v>131</v>
      </c>
      <c r="N1370" t="s">
        <v>208</v>
      </c>
      <c r="O1370" t="s">
        <v>25</v>
      </c>
      <c r="P1370">
        <v>31203</v>
      </c>
      <c r="Q1370" t="s">
        <v>123</v>
      </c>
      <c r="R1370">
        <v>47100</v>
      </c>
      <c r="S1370" t="s">
        <v>26</v>
      </c>
    </row>
    <row r="1371" spans="1:19" x14ac:dyDescent="0.3">
      <c r="A1371">
        <v>37468</v>
      </c>
      <c r="B1371" t="s">
        <v>28</v>
      </c>
      <c r="C1371" t="s">
        <v>15</v>
      </c>
      <c r="D1371" t="s">
        <v>16</v>
      </c>
      <c r="E1371" t="s">
        <v>116</v>
      </c>
      <c r="F1371" s="6" t="str">
        <f t="shared" si="21"/>
        <v>3ML</v>
      </c>
      <c r="G1371" s="1">
        <v>46220</v>
      </c>
      <c r="H1371" s="13">
        <v>0.5625</v>
      </c>
      <c r="I1371" s="1">
        <v>46220</v>
      </c>
      <c r="K1371" s="1">
        <v>46258</v>
      </c>
      <c r="L1371" t="s">
        <v>55</v>
      </c>
      <c r="M1371" t="s">
        <v>131</v>
      </c>
      <c r="N1371" t="s">
        <v>208</v>
      </c>
      <c r="O1371" t="s">
        <v>25</v>
      </c>
      <c r="P1371">
        <v>31203</v>
      </c>
      <c r="Q1371" t="s">
        <v>123</v>
      </c>
      <c r="S1371" t="s">
        <v>26</v>
      </c>
    </row>
    <row r="1372" spans="1:19" x14ac:dyDescent="0.3">
      <c r="A1372">
        <v>37469</v>
      </c>
      <c r="B1372" t="s">
        <v>28</v>
      </c>
      <c r="C1372" t="s">
        <v>15</v>
      </c>
      <c r="D1372" t="s">
        <v>16</v>
      </c>
      <c r="E1372" t="s">
        <v>117</v>
      </c>
      <c r="F1372" s="6" t="str">
        <f t="shared" si="21"/>
        <v>6ML</v>
      </c>
      <c r="G1372" s="1">
        <v>46220</v>
      </c>
      <c r="H1372" s="13">
        <v>0.5625</v>
      </c>
      <c r="I1372" s="1">
        <v>46220</v>
      </c>
      <c r="K1372" s="1">
        <v>46258</v>
      </c>
      <c r="L1372" t="s">
        <v>55</v>
      </c>
      <c r="M1372" t="s">
        <v>131</v>
      </c>
      <c r="N1372" t="s">
        <v>208</v>
      </c>
      <c r="O1372" t="s">
        <v>25</v>
      </c>
      <c r="P1372">
        <v>31204</v>
      </c>
      <c r="Q1372" t="s">
        <v>123</v>
      </c>
      <c r="R1372">
        <v>47101</v>
      </c>
      <c r="S1372" t="s">
        <v>26</v>
      </c>
    </row>
    <row r="1373" spans="1:19" x14ac:dyDescent="0.3">
      <c r="A1373">
        <v>37469</v>
      </c>
      <c r="B1373" t="s">
        <v>28</v>
      </c>
      <c r="C1373" t="s">
        <v>15</v>
      </c>
      <c r="D1373" t="s">
        <v>16</v>
      </c>
      <c r="E1373" t="s">
        <v>117</v>
      </c>
      <c r="F1373" s="6" t="str">
        <f t="shared" si="21"/>
        <v>6ML</v>
      </c>
      <c r="G1373" s="1">
        <v>46220</v>
      </c>
      <c r="H1373" s="13">
        <v>0.5625</v>
      </c>
      <c r="I1373" s="1">
        <v>46220</v>
      </c>
      <c r="K1373" s="1">
        <v>46258</v>
      </c>
      <c r="L1373" t="s">
        <v>55</v>
      </c>
      <c r="M1373" t="s">
        <v>131</v>
      </c>
      <c r="N1373" t="s">
        <v>208</v>
      </c>
      <c r="O1373" t="s">
        <v>25</v>
      </c>
      <c r="P1373">
        <v>31204</v>
      </c>
      <c r="Q1373" t="s">
        <v>123</v>
      </c>
      <c r="S1373" t="s">
        <v>26</v>
      </c>
    </row>
    <row r="1374" spans="1:19" x14ac:dyDescent="0.3">
      <c r="A1374">
        <v>39064</v>
      </c>
      <c r="B1374" t="s">
        <v>28</v>
      </c>
      <c r="C1374" t="s">
        <v>15</v>
      </c>
      <c r="D1374" t="s">
        <v>16</v>
      </c>
      <c r="E1374" t="s">
        <v>116</v>
      </c>
      <c r="F1374" s="6" t="str">
        <f t="shared" si="21"/>
        <v>3ML</v>
      </c>
      <c r="G1374" s="1">
        <v>46247</v>
      </c>
      <c r="H1374" s="13">
        <v>0.47013888888888888</v>
      </c>
      <c r="I1374" s="1">
        <v>46247</v>
      </c>
      <c r="K1374" s="1">
        <v>46261</v>
      </c>
      <c r="L1374" t="s">
        <v>54</v>
      </c>
      <c r="M1374" t="s">
        <v>129</v>
      </c>
      <c r="N1374" t="s">
        <v>208</v>
      </c>
      <c r="O1374" t="s">
        <v>24</v>
      </c>
      <c r="P1374">
        <v>32309</v>
      </c>
      <c r="Q1374" t="s">
        <v>19</v>
      </c>
      <c r="R1374">
        <v>47705</v>
      </c>
      <c r="S1374" t="s">
        <v>38</v>
      </c>
    </row>
    <row r="1375" spans="1:19" x14ac:dyDescent="0.3">
      <c r="A1375">
        <v>39064</v>
      </c>
      <c r="B1375" t="s">
        <v>28</v>
      </c>
      <c r="C1375" t="s">
        <v>15</v>
      </c>
      <c r="D1375" t="s">
        <v>16</v>
      </c>
      <c r="E1375" t="s">
        <v>116</v>
      </c>
      <c r="F1375" s="6" t="str">
        <f t="shared" si="21"/>
        <v>3ML</v>
      </c>
      <c r="G1375" s="1">
        <v>46247</v>
      </c>
      <c r="H1375" s="13">
        <v>0.47013888888888888</v>
      </c>
      <c r="I1375" s="1">
        <v>46247</v>
      </c>
      <c r="K1375" s="1">
        <v>46261</v>
      </c>
      <c r="L1375" t="s">
        <v>54</v>
      </c>
      <c r="M1375" t="s">
        <v>129</v>
      </c>
      <c r="N1375" t="s">
        <v>208</v>
      </c>
      <c r="O1375" t="s">
        <v>24</v>
      </c>
      <c r="P1375">
        <v>32309</v>
      </c>
      <c r="Q1375" t="s">
        <v>19</v>
      </c>
      <c r="R1375">
        <v>47749</v>
      </c>
      <c r="S1375" t="s">
        <v>38</v>
      </c>
    </row>
    <row r="1376" spans="1:19" x14ac:dyDescent="0.3">
      <c r="A1376">
        <v>39525</v>
      </c>
      <c r="B1376" t="s">
        <v>28</v>
      </c>
      <c r="C1376" t="s">
        <v>15</v>
      </c>
      <c r="D1376" t="s">
        <v>16</v>
      </c>
      <c r="E1376" t="s">
        <v>115</v>
      </c>
      <c r="F1376" s="6" t="str">
        <f t="shared" si="21"/>
        <v>2ML</v>
      </c>
      <c r="G1376" s="1">
        <v>46254</v>
      </c>
      <c r="H1376" s="13">
        <v>0.32430555555555557</v>
      </c>
      <c r="I1376" s="1">
        <v>46254</v>
      </c>
      <c r="K1376" s="1">
        <v>46258</v>
      </c>
      <c r="L1376" t="s">
        <v>36</v>
      </c>
      <c r="M1376" t="s">
        <v>129</v>
      </c>
      <c r="N1376" t="s">
        <v>208</v>
      </c>
      <c r="O1376" t="s">
        <v>24</v>
      </c>
      <c r="P1376">
        <v>32533</v>
      </c>
      <c r="Q1376" t="s">
        <v>19</v>
      </c>
      <c r="R1376">
        <v>47749</v>
      </c>
      <c r="S1376" t="s">
        <v>38</v>
      </c>
    </row>
    <row r="1377" spans="1:19" x14ac:dyDescent="0.3">
      <c r="A1377">
        <v>39525</v>
      </c>
      <c r="B1377" t="s">
        <v>28</v>
      </c>
      <c r="C1377" t="s">
        <v>15</v>
      </c>
      <c r="D1377" t="s">
        <v>16</v>
      </c>
      <c r="E1377" t="s">
        <v>115</v>
      </c>
      <c r="F1377" s="6" t="str">
        <f t="shared" si="21"/>
        <v>2ML</v>
      </c>
      <c r="G1377" s="1">
        <v>46254</v>
      </c>
      <c r="H1377" s="13">
        <v>0.32430555555555557</v>
      </c>
      <c r="I1377" s="1">
        <v>46254</v>
      </c>
      <c r="K1377" s="1">
        <v>46258</v>
      </c>
      <c r="L1377" t="s">
        <v>36</v>
      </c>
      <c r="M1377" t="s">
        <v>129</v>
      </c>
      <c r="N1377" t="s">
        <v>208</v>
      </c>
      <c r="O1377" t="s">
        <v>24</v>
      </c>
      <c r="P1377">
        <v>32533</v>
      </c>
      <c r="Q1377" t="s">
        <v>19</v>
      </c>
      <c r="R1377">
        <v>47539</v>
      </c>
      <c r="S1377" t="s">
        <v>38</v>
      </c>
    </row>
    <row r="1378" spans="1:19" x14ac:dyDescent="0.3">
      <c r="A1378">
        <v>39526</v>
      </c>
      <c r="B1378" t="s">
        <v>28</v>
      </c>
      <c r="C1378" t="s">
        <v>15</v>
      </c>
      <c r="D1378" t="s">
        <v>16</v>
      </c>
      <c r="E1378" t="s">
        <v>116</v>
      </c>
      <c r="F1378" s="6" t="str">
        <f t="shared" si="21"/>
        <v>3ML</v>
      </c>
      <c r="G1378" s="1">
        <v>46254</v>
      </c>
      <c r="H1378" s="13">
        <v>0.32430555555555557</v>
      </c>
      <c r="I1378" s="1">
        <v>46254</v>
      </c>
      <c r="K1378" s="1">
        <v>46258</v>
      </c>
      <c r="L1378" t="s">
        <v>36</v>
      </c>
      <c r="M1378" t="s">
        <v>129</v>
      </c>
      <c r="N1378" t="s">
        <v>208</v>
      </c>
      <c r="O1378" t="s">
        <v>24</v>
      </c>
      <c r="P1378">
        <v>32534</v>
      </c>
      <c r="Q1378" t="s">
        <v>19</v>
      </c>
      <c r="R1378">
        <v>47749</v>
      </c>
      <c r="S1378" t="s">
        <v>38</v>
      </c>
    </row>
    <row r="1379" spans="1:19" x14ac:dyDescent="0.3">
      <c r="A1379">
        <v>39526</v>
      </c>
      <c r="B1379" t="s">
        <v>28</v>
      </c>
      <c r="C1379" t="s">
        <v>15</v>
      </c>
      <c r="D1379" t="s">
        <v>16</v>
      </c>
      <c r="E1379" t="s">
        <v>116</v>
      </c>
      <c r="F1379" s="6" t="str">
        <f t="shared" si="21"/>
        <v>3ML</v>
      </c>
      <c r="G1379" s="1">
        <v>46254</v>
      </c>
      <c r="H1379" s="13">
        <v>0.32430555555555557</v>
      </c>
      <c r="I1379" s="1">
        <v>46254</v>
      </c>
      <c r="K1379" s="1">
        <v>46258</v>
      </c>
      <c r="L1379" t="s">
        <v>36</v>
      </c>
      <c r="M1379" t="s">
        <v>129</v>
      </c>
      <c r="N1379" t="s">
        <v>208</v>
      </c>
      <c r="O1379" t="s">
        <v>24</v>
      </c>
      <c r="P1379">
        <v>32534</v>
      </c>
      <c r="Q1379" t="s">
        <v>19</v>
      </c>
      <c r="R1379">
        <v>47538</v>
      </c>
      <c r="S1379" t="s">
        <v>38</v>
      </c>
    </row>
    <row r="1380" spans="1:19" x14ac:dyDescent="0.3">
      <c r="A1380">
        <v>39527</v>
      </c>
      <c r="B1380" t="s">
        <v>28</v>
      </c>
      <c r="C1380" t="s">
        <v>15</v>
      </c>
      <c r="D1380" t="s">
        <v>16</v>
      </c>
      <c r="E1380" t="s">
        <v>117</v>
      </c>
      <c r="F1380" s="6" t="str">
        <f t="shared" si="21"/>
        <v>6ML</v>
      </c>
      <c r="G1380" s="1">
        <v>46254</v>
      </c>
      <c r="H1380" s="13">
        <v>0.32430555555555557</v>
      </c>
      <c r="I1380" s="1">
        <v>46254</v>
      </c>
      <c r="K1380" s="1">
        <v>46258</v>
      </c>
      <c r="L1380" t="s">
        <v>36</v>
      </c>
      <c r="M1380" t="s">
        <v>129</v>
      </c>
      <c r="N1380" t="s">
        <v>208</v>
      </c>
      <c r="O1380" t="s">
        <v>24</v>
      </c>
      <c r="P1380">
        <v>32535</v>
      </c>
      <c r="Q1380" t="s">
        <v>19</v>
      </c>
      <c r="R1380">
        <v>47749</v>
      </c>
      <c r="S1380" t="s">
        <v>38</v>
      </c>
    </row>
    <row r="1381" spans="1:19" x14ac:dyDescent="0.3">
      <c r="A1381">
        <v>39527</v>
      </c>
      <c r="B1381" t="s">
        <v>28</v>
      </c>
      <c r="C1381" t="s">
        <v>15</v>
      </c>
      <c r="D1381" t="s">
        <v>16</v>
      </c>
      <c r="E1381" t="s">
        <v>117</v>
      </c>
      <c r="F1381" s="6" t="str">
        <f t="shared" si="21"/>
        <v>6ML</v>
      </c>
      <c r="G1381" s="1">
        <v>46254</v>
      </c>
      <c r="H1381" s="13">
        <v>0.32430555555555557</v>
      </c>
      <c r="I1381" s="1">
        <v>46254</v>
      </c>
      <c r="K1381" s="1">
        <v>46258</v>
      </c>
      <c r="L1381" t="s">
        <v>36</v>
      </c>
      <c r="M1381" t="s">
        <v>129</v>
      </c>
      <c r="N1381" t="s">
        <v>208</v>
      </c>
      <c r="O1381" t="s">
        <v>24</v>
      </c>
      <c r="P1381">
        <v>32535</v>
      </c>
      <c r="Q1381" t="s">
        <v>19</v>
      </c>
      <c r="R1381">
        <v>47537</v>
      </c>
      <c r="S1381" t="s">
        <v>38</v>
      </c>
    </row>
    <row r="1382" spans="1:19" x14ac:dyDescent="0.3">
      <c r="A1382">
        <v>39553</v>
      </c>
      <c r="B1382" t="s">
        <v>28</v>
      </c>
      <c r="C1382" t="s">
        <v>15</v>
      </c>
      <c r="D1382" t="s">
        <v>16</v>
      </c>
      <c r="E1382" t="s">
        <v>115</v>
      </c>
      <c r="F1382" s="6" t="str">
        <f t="shared" si="21"/>
        <v>2ML</v>
      </c>
      <c r="G1382" s="1">
        <v>46254</v>
      </c>
      <c r="H1382" s="13">
        <v>0.61458333333333337</v>
      </c>
      <c r="I1382" s="1">
        <v>46254</v>
      </c>
      <c r="J1382" s="1">
        <v>46254</v>
      </c>
      <c r="K1382" s="1">
        <v>46258</v>
      </c>
      <c r="L1382" t="s">
        <v>75</v>
      </c>
      <c r="M1382" t="s">
        <v>129</v>
      </c>
      <c r="N1382" t="s">
        <v>208</v>
      </c>
      <c r="O1382" t="s">
        <v>24</v>
      </c>
      <c r="P1382">
        <v>32553</v>
      </c>
      <c r="Q1382" t="s">
        <v>19</v>
      </c>
      <c r="R1382">
        <v>47749</v>
      </c>
      <c r="S1382" t="s">
        <v>38</v>
      </c>
    </row>
    <row r="1383" spans="1:19" x14ac:dyDescent="0.3">
      <c r="A1383">
        <v>39553</v>
      </c>
      <c r="B1383" t="s">
        <v>28</v>
      </c>
      <c r="C1383" t="s">
        <v>15</v>
      </c>
      <c r="D1383" t="s">
        <v>16</v>
      </c>
      <c r="E1383" t="s">
        <v>115</v>
      </c>
      <c r="F1383" s="6" t="str">
        <f t="shared" si="21"/>
        <v>2ML</v>
      </c>
      <c r="G1383" s="1">
        <v>46254</v>
      </c>
      <c r="H1383" s="13">
        <v>0.61458333333333337</v>
      </c>
      <c r="I1383" s="1">
        <v>46254</v>
      </c>
      <c r="J1383" s="1">
        <v>46254</v>
      </c>
      <c r="K1383" s="1">
        <v>46258</v>
      </c>
      <c r="L1383" t="s">
        <v>75</v>
      </c>
      <c r="M1383" t="s">
        <v>129</v>
      </c>
      <c r="N1383" t="s">
        <v>208</v>
      </c>
      <c r="O1383" t="s">
        <v>24</v>
      </c>
      <c r="P1383">
        <v>32553</v>
      </c>
      <c r="Q1383" t="s">
        <v>19</v>
      </c>
      <c r="R1383">
        <v>47528</v>
      </c>
      <c r="S1383" t="s">
        <v>38</v>
      </c>
    </row>
    <row r="1384" spans="1:19" x14ac:dyDescent="0.3">
      <c r="A1384">
        <v>39555</v>
      </c>
      <c r="B1384" t="s">
        <v>28</v>
      </c>
      <c r="C1384" t="s">
        <v>15</v>
      </c>
      <c r="D1384" t="s">
        <v>16</v>
      </c>
      <c r="E1384" t="s">
        <v>117</v>
      </c>
      <c r="F1384" s="6" t="str">
        <f t="shared" si="21"/>
        <v>6ML</v>
      </c>
      <c r="G1384" s="1">
        <v>46254</v>
      </c>
      <c r="H1384" s="13">
        <v>0.61458333333333337</v>
      </c>
      <c r="I1384" s="1">
        <v>46254</v>
      </c>
      <c r="J1384" s="1">
        <v>46254</v>
      </c>
      <c r="K1384" s="1">
        <v>46258</v>
      </c>
      <c r="L1384" t="s">
        <v>75</v>
      </c>
      <c r="M1384" t="s">
        <v>129</v>
      </c>
      <c r="N1384" t="s">
        <v>208</v>
      </c>
      <c r="O1384" t="s">
        <v>24</v>
      </c>
      <c r="P1384">
        <v>32551</v>
      </c>
      <c r="Q1384" t="s">
        <v>19</v>
      </c>
      <c r="R1384">
        <v>47749</v>
      </c>
      <c r="S1384" t="s">
        <v>38</v>
      </c>
    </row>
    <row r="1385" spans="1:19" x14ac:dyDescent="0.3">
      <c r="A1385">
        <v>39555</v>
      </c>
      <c r="B1385" t="s">
        <v>28</v>
      </c>
      <c r="C1385" t="s">
        <v>15</v>
      </c>
      <c r="D1385" t="s">
        <v>16</v>
      </c>
      <c r="E1385" t="s">
        <v>117</v>
      </c>
      <c r="F1385" s="6" t="str">
        <f t="shared" si="21"/>
        <v>6ML</v>
      </c>
      <c r="G1385" s="1">
        <v>46254</v>
      </c>
      <c r="H1385" s="13">
        <v>0.61458333333333337</v>
      </c>
      <c r="I1385" s="1">
        <v>46254</v>
      </c>
      <c r="J1385" s="1">
        <v>46254</v>
      </c>
      <c r="K1385" s="1">
        <v>46258</v>
      </c>
      <c r="L1385" t="s">
        <v>75</v>
      </c>
      <c r="M1385" t="s">
        <v>129</v>
      </c>
      <c r="N1385" t="s">
        <v>208</v>
      </c>
      <c r="O1385" t="s">
        <v>24</v>
      </c>
      <c r="P1385">
        <v>32551</v>
      </c>
      <c r="Q1385" t="s">
        <v>19</v>
      </c>
      <c r="R1385">
        <v>47526</v>
      </c>
      <c r="S1385" t="s">
        <v>38</v>
      </c>
    </row>
    <row r="1386" spans="1:19" x14ac:dyDescent="0.3">
      <c r="A1386">
        <v>40326</v>
      </c>
      <c r="B1386" t="s">
        <v>28</v>
      </c>
      <c r="C1386" t="s">
        <v>124</v>
      </c>
      <c r="D1386" t="s">
        <v>23</v>
      </c>
      <c r="E1386" t="s">
        <v>51</v>
      </c>
      <c r="F1386" s="6" t="str">
        <f t="shared" si="21"/>
        <v>2MC</v>
      </c>
      <c r="G1386" s="1">
        <v>46259</v>
      </c>
      <c r="H1386" s="13">
        <v>0.8569444444444444</v>
      </c>
      <c r="I1386" s="1">
        <v>46259</v>
      </c>
      <c r="J1386" s="1">
        <v>46259</v>
      </c>
      <c r="K1386" s="1">
        <v>46259</v>
      </c>
      <c r="L1386" t="s">
        <v>333</v>
      </c>
      <c r="M1386" t="s">
        <v>130</v>
      </c>
      <c r="N1386" t="s">
        <v>208</v>
      </c>
      <c r="O1386" t="s">
        <v>18</v>
      </c>
      <c r="P1386">
        <v>32798</v>
      </c>
      <c r="Q1386" t="s">
        <v>123</v>
      </c>
      <c r="S1386" t="s">
        <v>224</v>
      </c>
    </row>
    <row r="1387" spans="1:19" x14ac:dyDescent="0.3">
      <c r="A1387">
        <v>40327</v>
      </c>
      <c r="B1387" t="s">
        <v>28</v>
      </c>
      <c r="C1387" t="s">
        <v>124</v>
      </c>
      <c r="D1387" t="s">
        <v>23</v>
      </c>
      <c r="E1387" t="s">
        <v>53</v>
      </c>
      <c r="F1387" s="6" t="str">
        <f t="shared" si="21"/>
        <v>3MC</v>
      </c>
      <c r="G1387" s="1">
        <v>46259</v>
      </c>
      <c r="H1387" s="13">
        <v>0.8569444444444444</v>
      </c>
      <c r="I1387" s="1">
        <v>46259</v>
      </c>
      <c r="J1387" s="1">
        <v>46259</v>
      </c>
      <c r="K1387" s="1">
        <v>46259</v>
      </c>
      <c r="L1387" t="s">
        <v>333</v>
      </c>
      <c r="M1387" t="s">
        <v>130</v>
      </c>
      <c r="N1387" t="s">
        <v>208</v>
      </c>
      <c r="O1387" t="s">
        <v>18</v>
      </c>
      <c r="P1387">
        <v>32799</v>
      </c>
      <c r="Q1387" t="s">
        <v>123</v>
      </c>
      <c r="S1387" t="s">
        <v>224</v>
      </c>
    </row>
    <row r="1388" spans="1:19" x14ac:dyDescent="0.3">
      <c r="A1388">
        <v>40328</v>
      </c>
      <c r="B1388" t="s">
        <v>28</v>
      </c>
      <c r="C1388" t="s">
        <v>124</v>
      </c>
      <c r="D1388" t="s">
        <v>23</v>
      </c>
      <c r="E1388" t="s">
        <v>52</v>
      </c>
      <c r="F1388" s="6" t="str">
        <f t="shared" si="21"/>
        <v>6MC</v>
      </c>
      <c r="G1388" s="1">
        <v>46259</v>
      </c>
      <c r="H1388" s="13">
        <v>0.8569444444444444</v>
      </c>
      <c r="I1388" s="1">
        <v>46259</v>
      </c>
      <c r="J1388" s="1">
        <v>46259</v>
      </c>
      <c r="K1388" s="1">
        <v>46259</v>
      </c>
      <c r="L1388" t="s">
        <v>333</v>
      </c>
      <c r="M1388" t="s">
        <v>130</v>
      </c>
      <c r="N1388" t="s">
        <v>208</v>
      </c>
      <c r="O1388" t="s">
        <v>18</v>
      </c>
      <c r="P1388">
        <v>32800</v>
      </c>
      <c r="Q1388" t="s">
        <v>123</v>
      </c>
      <c r="S1388" t="s">
        <v>224</v>
      </c>
    </row>
    <row r="1389" spans="1:19" x14ac:dyDescent="0.3">
      <c r="A1389">
        <v>40359</v>
      </c>
      <c r="B1389" t="s">
        <v>28</v>
      </c>
      <c r="C1389" t="s">
        <v>124</v>
      </c>
      <c r="D1389" t="s">
        <v>23</v>
      </c>
      <c r="E1389" t="s">
        <v>51</v>
      </c>
      <c r="F1389" s="6" t="str">
        <f t="shared" si="21"/>
        <v>2MC</v>
      </c>
      <c r="G1389" s="1">
        <v>46260</v>
      </c>
      <c r="H1389" s="13">
        <v>0.78333333333333333</v>
      </c>
      <c r="I1389" s="1">
        <v>46260</v>
      </c>
      <c r="J1389" s="1">
        <v>46260</v>
      </c>
      <c r="K1389" s="1">
        <v>46260</v>
      </c>
      <c r="L1389" t="s">
        <v>334</v>
      </c>
      <c r="M1389" t="s">
        <v>155</v>
      </c>
      <c r="N1389" t="s">
        <v>208</v>
      </c>
      <c r="O1389" t="s">
        <v>18</v>
      </c>
      <c r="P1389">
        <v>32828</v>
      </c>
      <c r="Q1389" t="s">
        <v>123</v>
      </c>
      <c r="S1389" t="s">
        <v>22</v>
      </c>
    </row>
    <row r="1390" spans="1:19" x14ac:dyDescent="0.3">
      <c r="A1390">
        <v>40360</v>
      </c>
      <c r="B1390" t="s">
        <v>28</v>
      </c>
      <c r="C1390" t="s">
        <v>124</v>
      </c>
      <c r="D1390" t="s">
        <v>23</v>
      </c>
      <c r="E1390" t="s">
        <v>53</v>
      </c>
      <c r="F1390" s="6" t="str">
        <f t="shared" si="21"/>
        <v>3MC</v>
      </c>
      <c r="G1390" s="1">
        <v>46260</v>
      </c>
      <c r="H1390" s="13">
        <v>0.78333333333333333</v>
      </c>
      <c r="I1390" s="1">
        <v>46260</v>
      </c>
      <c r="J1390" s="1">
        <v>46260</v>
      </c>
      <c r="K1390" s="1">
        <v>46260</v>
      </c>
      <c r="L1390" t="s">
        <v>334</v>
      </c>
      <c r="M1390" t="s">
        <v>155</v>
      </c>
      <c r="N1390" t="s">
        <v>208</v>
      </c>
      <c r="O1390" t="s">
        <v>18</v>
      </c>
      <c r="P1390">
        <v>32829</v>
      </c>
      <c r="Q1390" t="s">
        <v>123</v>
      </c>
      <c r="S1390" t="s">
        <v>22</v>
      </c>
    </row>
    <row r="1391" spans="1:19" x14ac:dyDescent="0.3">
      <c r="A1391">
        <v>40361</v>
      </c>
      <c r="B1391" t="s">
        <v>28</v>
      </c>
      <c r="C1391" t="s">
        <v>124</v>
      </c>
      <c r="D1391" t="s">
        <v>23</v>
      </c>
      <c r="E1391" t="s">
        <v>52</v>
      </c>
      <c r="F1391" s="6" t="str">
        <f t="shared" si="21"/>
        <v>6MC</v>
      </c>
      <c r="G1391" s="1">
        <v>46260</v>
      </c>
      <c r="H1391" s="13">
        <v>0.78333333333333333</v>
      </c>
      <c r="I1391" s="1">
        <v>46260</v>
      </c>
      <c r="J1391" s="1">
        <v>46260</v>
      </c>
      <c r="K1391" s="1">
        <v>46260</v>
      </c>
      <c r="L1391" t="s">
        <v>334</v>
      </c>
      <c r="M1391" t="s">
        <v>155</v>
      </c>
      <c r="N1391" t="s">
        <v>208</v>
      </c>
      <c r="O1391" t="s">
        <v>18</v>
      </c>
      <c r="P1391">
        <v>32830</v>
      </c>
      <c r="Q1391" t="s">
        <v>123</v>
      </c>
      <c r="S1391" t="s">
        <v>22</v>
      </c>
    </row>
  </sheetData>
  <autoFilter ref="A1:S120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2026-08-28T15:33:43Z</dcterms:modified>
</cp:coreProperties>
</file>