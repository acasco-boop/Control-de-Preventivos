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26'!$A$1:$S$1243</definedName>
  </definedNames>
  <calcPr calcId="162913"/>
  <pivotCaches>
    <pivotCache cacheId="4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243" i="1" l="1"/>
  <c r="S1242" i="1"/>
  <c r="S1241" i="1"/>
  <c r="S1240" i="1"/>
  <c r="S1239" i="1"/>
  <c r="S1238" i="1"/>
  <c r="S1237" i="1"/>
  <c r="S1236" i="1"/>
  <c r="S1235" i="1"/>
  <c r="S1234" i="1"/>
  <c r="S1233" i="1"/>
  <c r="S1232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F1243" i="1" l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 l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<sst xmlns="http://schemas.openxmlformats.org/spreadsheetml/2006/main" count="11801" uniqueCount="309">
  <si>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</si>
  <si>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</si>
  <si>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</si>
  <si>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</si>
  <si>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</si>
  <si>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</si>
  <si>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</si>
  <si>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</si>
  <si>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</si>
  <si>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</si>
  <si>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</si>
  <si>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</si>
  <si>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</si>
  <si>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</si>
  <si>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</si>
  <si>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</si>
  <si>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</si>
  <si>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</si>
  <si>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</si>
  <si>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</si>
  <si>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</si>
  <si>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</si>
  <si>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</si>
  <si>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</si>
  <si>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</si>
  <si>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</si>
  <si>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</si>
  <si>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</si>
  <si>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</si>
  <si>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</si>
  <si>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</si>
  <si>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</si>
  <si>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</si>
  <si>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</si>
  <si>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</si>
  <si>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</si>
  <si>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</si>
  <si>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</si>
  <si>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</si>
  <si>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</si>
  <si>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</si>
  <si>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</si>
  <si>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</si>
  <si>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</si>
  <si>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</si>
  <si>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</si>
  <si>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</si>
  <si>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</si>
  <si>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</si>
  <si>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</si>
  <si>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</si>
  <si>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</si>
  <si>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</si>
  <si>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</si>
  <si>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</si>
  <si>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</si>
  <si>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</si>
  <si>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</si>
  <si>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</si>
  <si>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</si>
  <si>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</si>
  <si>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</si>
  <si>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</si>
  <si>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</si>
  <si>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</si>
  <si>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</si>
  <si>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</si>
  <si>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</si>
  <si>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</si>
  <si>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</si>
  <si>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</si>
  <si>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</si>
  <si>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</si>
  <si>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</si>
  <si>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</si>
  <si>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</si>
  <si>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</si>
  <si>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</si>
  <si>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</si>
  <si>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</si>
  <si>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</si>
  <si>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</si>
  <si>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</si>
  <si>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</si>
  <si>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</si>
  <si>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</si>
  <si>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</si>
  <si>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</si>
  <si>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</si>
  <si>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</si>
  <si>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</si>
  <si>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</si>
  <si>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</si>
  <si>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</si>
  <si>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</si>
  <si>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</si>
  <si>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</si>
  <si>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</si>
  <si>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</si>
  <si>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</si>
  <si>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</si>
  <si>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</si>
  <si>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</si>
  <si>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</si>
  <si>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</si>
  <si>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</si>
  <si>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</si>
  <si>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</si>
  <si>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</si>
  <si>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</si>
  <si>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</si>
  <si>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</si>
  <si>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</si>
  <si>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</si>
  <si>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</si>
  <si>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</si>
  <si>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</si>
  <si>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</si>
  <si>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</si>
  <si>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</si>
  <si>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</si>
  <si>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</si>
  <si>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</si>
  <si>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</si>
  <si>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</si>
  <si>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</si>
  <si>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</si>
  <si>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</si>
  <si>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</si>
  <si>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</si>
  <si>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</si>
  <si>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</si>
  <si>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</si>
  <si>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</si>
  <si>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</si>
  <si>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</si>
  <si>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</si>
  <si>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</si>
  <si>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</si>
  <si>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</si>
  <si>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</si>
  <si>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</si>
  <si>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</si>
  <si>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</si>
  <si>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</si>
  <si>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</si>
  <si>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</si>
  <si>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</si>
  <si>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</si>
  <si>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</si>
  <si>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</si>
  <si>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</si>
  <si>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</si>
  <si>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</si>
  <si>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</si>
  <si>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</si>
  <si>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</si>
  <si>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</si>
  <si>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</si>
  <si>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</si>
  <si>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</si>
  <si>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</si>
  <si>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</si>
  <si>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</si>
  <si>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</si>
  <si>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</si>
  <si>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</si>
  <si>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</si>
  <si>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</si>
  <si>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</si>
  <si>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</si>
  <si>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</si>
  <si>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</si>
  <si>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</si>
  <si>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</si>
  <si>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</si>
  <si>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</si>
  <si>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</si>
  <si>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</si>
  <si>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</si>
  <si>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</si>
  <si>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</si>
  <si>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</si>
  <si>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</si>
  <si>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</si>
  <si>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</si>
  <si>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</si>
  <si>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</si>
  <si>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</si>
  <si>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</si>
  <si>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</si>
  <si>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</si>
  <si>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</si>
  <si>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</si>
  <si>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</si>
  <si>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</si>
  <si>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</si>
  <si>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</si>
  <si>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</si>
  <si>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</si>
  <si>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</si>
  <si>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</si>
  <si>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</si>
  <si>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</si>
  <si>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</si>
  <si>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</si>
  <si>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</si>
  <si>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</si>
  <si>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</si>
  <si>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</si>
  <si>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</si>
  <si>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</si>
  <si>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</si>
  <si>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</si>
  <si>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</si>
  <si>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</si>
  <si>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</si>
  <si>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</si>
  <si>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</si>
  <si>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</si>
  <si>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</si>
  <si>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</si>
  <si>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</si>
  <si>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</si>
  <si>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</si>
  <si>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</si>
  <si>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</si>
  <si>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</si>
  <si>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</si>
  <si>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</si>
  <si>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</si>
  <si>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</si>
  <si>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</si>
  <si>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</si>
  <si>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</si>
  <si>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</si>
  <si>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</si>
  <si>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</si>
  <si>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</si>
  <si>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</si>
  <si>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</si>
  <si>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</si>
  <si>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</si>
  <si>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</si>
  <si>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</si>
  <si>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</si>
  <si>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</si>
  <si>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</si>
  <si>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</si>
  <si>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</si>
  <si>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</si>
  <si>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</si>
  <si>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</si>
  <si>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</si>
  <si>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</si>
  <si>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</si>
  <si>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</si>
  <si>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</si>
  <si>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</si>
  <si>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</si>
  <si>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</si>
  <si>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</si>
  <si>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</si>
  <si>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</si>
  <si>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</si>
  <si>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</si>
  <si>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</si>
  <si>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</si>
  <si>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</si>
  <si>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</si>
  <si>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</si>
  <si>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</si>
  <si>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</si>
  <si>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</si>
  <si>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</si>
  <si>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</si>
  <si>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</si>
  <si>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</si>
  <si>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</si>
  <si>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</si>
  <si>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</si>
  <si>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</si>
  <si>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</si>
  <si>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</si>
  <si>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</si>
  <si>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</si>
  <si>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</si>
  <si>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</si>
  <si>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</si>
  <si>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</si>
  <si>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</si>
  <si>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</si>
  <si>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</si>
  <si>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</si>
  <si>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</si>
  <si>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6ML 4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</si>
  <si>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</si>
  <si>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</si>
  <si>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</si>
  <si>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</si>
  <si>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</si>
  <si>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</si>
  <si>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</si>
  <si>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</si>
  <si>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</si>
  <si>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</si>
  <si>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Topacio</t>
  </si>
  <si>
    <t>Molca</t>
  </si>
  <si>
    <t>Taller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</si>
</sst>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CIMSA_BS AS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CIMSA_BS AS</v>
          </cell>
        </row>
        <row r="15515">
          <cell r="D15515" t="str">
            <v>AF865RVJulio2026</v>
          </cell>
          <cell r="E15515" t="str">
            <v>CIMSA_BS AS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CIMSA_BS AS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Sin Operación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33.398418055556" createdVersion="6" refreshedVersion="6" minRefreshableVersion="3" recordCount="1242">
  <cacheSource type="worksheet">
    <worksheetSource ref="A1:S1243" sheet="Preventivos Realizados List 26"/>
  </cacheSource>
  <cacheFields count="19">
    <cacheField name="Nro. orden" numFmtId="0">
      <sharedItems containsSemiMixedTypes="0" containsString="0" containsNumber="1" containsInteger="1" minValue="26992" maxValue="37806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7-24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7-24T00:00:00" count="115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</sharedItems>
    </cacheField>
    <cacheField name="Fecha estimada de cierre" numFmtId="0">
      <sharedItems containsNonDate="0" containsDate="1" containsString="0" containsBlank="1" minDate="2026-01-02T00:00:00" maxDate="2026-07-23T00:00:00"/>
    </cacheField>
    <cacheField name="Fecha de cierre" numFmtId="0">
      <sharedItems containsNonDate="0" containsDate="1" containsString="0" containsBlank="1" minDate="2026-01-02T00:00:00" maxDate="2026-07-23T00:00:00"/>
    </cacheField>
    <cacheField name="Código de equipo" numFmtId="0">
      <sharedItems count="180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AG176NA"/>
        <s v="KIP032"/>
        <s v="GLT551"/>
        <s v="AB010RV" u="1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1415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5099"/>
    </cacheField>
    <cacheField name="CC Grupo" numFmtId="0">
      <sharedItems containsBlank="1" count="37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m u="1"/>
        <s v="MolCa - Molino Cañuelas" u="1"/>
        <s v="SUC_ROS - Sucursal Rosario" u="1"/>
        <s v="CCUDyAZA - Compañía Industrial Cer Alianz" u="1"/>
        <s v="CCUCoAZA - Compañía Industrial Cer Alianz" u="1"/>
        <s v="CENCOMLD - Cencosud MZA Larga Distancia" u="1"/>
        <s v="Arcor - Arcor" u="1"/>
        <s v="CCU_MZA - Compañía Industrial Cervecera" u="1"/>
        <s v="Topacio - Topacio" u="1"/>
        <s v="ALFAVINI - ALFAVIN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42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37"/>
    <s v="Preventivo"/>
    <s v="Cerrada"/>
    <s v="Si"/>
    <s v="3ML 1"/>
    <x v="4"/>
    <d v="2026-07-01T00:00:00"/>
    <d v="1899-12-30T08:01:00"/>
    <x v="101"/>
    <m/>
    <d v="2026-07-10T00:00:00"/>
    <x v="38"/>
    <s v="AXOR 2541"/>
    <x v="3"/>
    <s v="C000002"/>
    <n v="30710"/>
    <s v="C"/>
    <n v="44991"/>
    <x v="1"/>
  </r>
  <r>
    <n v="36637"/>
    <s v="Preventivo"/>
    <s v="Cerrada"/>
    <s v="Si"/>
    <s v="3ML 1"/>
    <x v="4"/>
    <d v="2026-07-01T00:00:00"/>
    <d v="1899-12-30T08:01:00"/>
    <x v="101"/>
    <m/>
    <d v="2026-07-10T00:00:00"/>
    <x v="38"/>
    <s v="AXOR 2541"/>
    <x v="3"/>
    <s v="C000002"/>
    <n v="30710"/>
    <s v="C"/>
    <n v="44943"/>
    <x v="1"/>
  </r>
  <r>
    <n v="36638"/>
    <s v="Preventivo"/>
    <s v="Cerrada"/>
    <s v="Si"/>
    <s v="6ML 1"/>
    <x v="5"/>
    <d v="2026-07-01T00:00:00"/>
    <d v="1899-12-30T08:01:00"/>
    <x v="101"/>
    <d v="2026-07-01T00:00:00"/>
    <d v="2026-07-10T00:00:00"/>
    <x v="38"/>
    <s v="AXOR 2541"/>
    <x v="3"/>
    <s v="C000002"/>
    <n v="30709"/>
    <s v="C"/>
    <n v="44991"/>
    <x v="1"/>
  </r>
  <r>
    <n v="36638"/>
    <s v="Preventivo"/>
    <s v="Cerrada"/>
    <s v="Si"/>
    <s v="6ML 1"/>
    <x v="5"/>
    <d v="2026-07-01T00:00:00"/>
    <d v="1899-12-30T08:01:00"/>
    <x v="101"/>
    <d v="2026-07-01T00:00:00"/>
    <d v="2026-07-10T00:00:00"/>
    <x v="38"/>
    <s v="AXOR 2541"/>
    <x v="3"/>
    <s v="C000002"/>
    <n v="30709"/>
    <s v="C"/>
    <n v="44944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0"/>
    <s v="Preventivo"/>
    <s v="Cerrada"/>
    <s v="Si"/>
    <s v="3MC"/>
    <x v="1"/>
    <d v="2026-07-02T00:00:00"/>
    <d v="1899-12-30T12:20:00"/>
    <x v="102"/>
    <m/>
    <d v="2026-07-10T00:00:00"/>
    <x v="166"/>
    <s v="ATEGO 1418"/>
    <x v="3"/>
    <s v="C000004"/>
    <n v="30733"/>
    <s v="O"/>
    <m/>
    <x v="24"/>
  </r>
  <r>
    <n v="36670"/>
    <s v="Preventivo"/>
    <s v="Cerrada"/>
    <s v="Si"/>
    <s v="3MC"/>
    <x v="1"/>
    <d v="2026-07-02T00:00:00"/>
    <d v="1899-12-30T12:20:00"/>
    <x v="102"/>
    <m/>
    <d v="2026-07-10T00:00:00"/>
    <x v="166"/>
    <s v="ATEGO 1418"/>
    <x v="3"/>
    <s v="C000004"/>
    <n v="30733"/>
    <s v="O"/>
    <n v="45049"/>
    <x v="24"/>
  </r>
  <r>
    <n v="36671"/>
    <s v="Preventivo"/>
    <s v="Cerrada"/>
    <s v="No"/>
    <s v="6MC 2"/>
    <x v="2"/>
    <d v="2026-07-02T00:00:00"/>
    <d v="1899-12-30T12:20:00"/>
    <x v="102"/>
    <m/>
    <d v="2026-07-10T00:00:00"/>
    <x v="166"/>
    <s v="ATEGO 1418"/>
    <x v="3"/>
    <s v="C000004"/>
    <n v="30734"/>
    <s v="O"/>
    <m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75"/>
    <s v="Preventivo"/>
    <s v="Cerrada"/>
    <s v="No"/>
    <s v="3ML"/>
    <x v="4"/>
    <d v="2026-07-02T00:00:00"/>
    <d v="1899-12-30T12:33:00"/>
    <x v="102"/>
    <m/>
    <d v="2026-07-10T00:00:00"/>
    <x v="167"/>
    <s v="AXOR 1933"/>
    <x v="3"/>
    <s v="C000004"/>
    <n v="30738"/>
    <s v="O"/>
    <m/>
    <x v="16"/>
  </r>
  <r>
    <n v="36676"/>
    <s v="Preventivo"/>
    <s v="Cerrada"/>
    <s v="No"/>
    <s v="6ML"/>
    <x v="5"/>
    <d v="2026-07-02T00:00:00"/>
    <d v="1899-12-30T12:33:00"/>
    <x v="102"/>
    <m/>
    <d v="2026-07-10T00:00:00"/>
    <x v="167"/>
    <s v="AXOR 1933"/>
    <x v="3"/>
    <s v="C000004"/>
    <n v="30739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1"/>
    <s v="Preventivo"/>
    <s v="Cerrada"/>
    <s v="No"/>
    <s v="3MC 1"/>
    <x v="1"/>
    <d v="2026-07-02T00:00:00"/>
    <d v="1899-12-30T18:34:00"/>
    <x v="102"/>
    <d v="2026-07-02T00:00:00"/>
    <d v="2026-07-10T00:00:00"/>
    <x v="168"/>
    <s v="TECTOR EVO 170E28"/>
    <x v="3"/>
    <s v="C000001"/>
    <n v="30752"/>
    <s v="O"/>
    <m/>
    <x v="0"/>
  </r>
  <r>
    <n v="36692"/>
    <s v="Preventivo"/>
    <s v="Cerrada"/>
    <s v="No"/>
    <s v="6MC 3"/>
    <x v="2"/>
    <d v="2026-07-02T00:00:00"/>
    <d v="1899-12-30T18:34:00"/>
    <x v="102"/>
    <d v="2026-07-02T00:00:00"/>
    <d v="2026-07-10T00:00:00"/>
    <x v="168"/>
    <s v="TECTOR EVO 170E28"/>
    <x v="3"/>
    <s v="C000001"/>
    <n v="30753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700"/>
    <s v="Preventivo"/>
    <s v="Liberada"/>
    <s v="No"/>
    <s v="3MC"/>
    <x v="1"/>
    <d v="2026-07-03T00:00:00"/>
    <d v="1899-12-30T09:26:00"/>
    <x v="103"/>
    <m/>
    <m/>
    <x v="169"/>
    <n v="1620"/>
    <x v="3"/>
    <s v="C000004"/>
    <n v="30760"/>
    <s v="O"/>
    <m/>
    <x v="25"/>
  </r>
  <r>
    <n v="36701"/>
    <s v="Preventivo"/>
    <s v="Cerrada"/>
    <s v="No"/>
    <s v="6MC 1"/>
    <x v="2"/>
    <d v="2026-07-03T00:00:00"/>
    <d v="1899-12-30T09:26:00"/>
    <x v="103"/>
    <m/>
    <d v="2026-07-10T00:00:00"/>
    <x v="169"/>
    <n v="1620"/>
    <x v="3"/>
    <s v="C000004"/>
    <n v="30761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6892"/>
    <s v="Preventivo"/>
    <s v="Cerrada"/>
    <s v="No"/>
    <s v="3ML 1"/>
    <x v="4"/>
    <d v="2026-07-06T00:00:00"/>
    <d v="1899-12-30T09:05:00"/>
    <x v="104"/>
    <m/>
    <d v="2026-07-10T00:00:00"/>
    <x v="2"/>
    <s v="AXOR 2541"/>
    <x v="3"/>
    <s v="C000002"/>
    <n v="30843"/>
    <s v="O"/>
    <m/>
    <x v="1"/>
  </r>
  <r>
    <n v="36893"/>
    <s v="Preventivo"/>
    <s v="Cerrada"/>
    <s v="No"/>
    <s v="6ML 1"/>
    <x v="5"/>
    <d v="2026-07-06T00:00:00"/>
    <d v="1899-12-30T09:05:00"/>
    <x v="104"/>
    <m/>
    <d v="2026-07-10T00:00:00"/>
    <x v="2"/>
    <s v="AXOR 2541"/>
    <x v="3"/>
    <s v="C000002"/>
    <n v="30844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41"/>
    <s v="Preventivo"/>
    <s v="Cerrada"/>
    <s v="Si"/>
    <s v="3MC"/>
    <x v="1"/>
    <d v="2026-07-07T00:00:00"/>
    <d v="1899-12-30T19:43:00"/>
    <x v="105"/>
    <d v="2026-07-07T00:00:00"/>
    <d v="2026-07-07T00:00:00"/>
    <x v="170"/>
    <s v="TECTOR EVO 170E28"/>
    <x v="3"/>
    <s v="C000001"/>
    <n v="30928"/>
    <s v="C"/>
    <n v="44990"/>
    <x v="0"/>
  </r>
  <r>
    <n v="37041"/>
    <s v="Preventivo"/>
    <s v="Cerrada"/>
    <s v="Si"/>
    <s v="3MC"/>
    <x v="1"/>
    <d v="2026-07-07T00:00:00"/>
    <d v="1899-12-30T19:43:00"/>
    <x v="105"/>
    <d v="2026-07-07T00:00:00"/>
    <d v="2026-07-07T00:00:00"/>
    <x v="170"/>
    <s v="TECTOR EVO 170E28"/>
    <x v="3"/>
    <s v="C000001"/>
    <n v="30928"/>
    <s v="C"/>
    <n v="44976"/>
    <x v="0"/>
  </r>
  <r>
    <n v="37042"/>
    <s v="Preventivo"/>
    <s v="Cerrada"/>
    <s v="Si"/>
    <s v="6MC"/>
    <x v="2"/>
    <d v="2026-07-07T00:00:00"/>
    <d v="1899-12-30T19:43:00"/>
    <x v="105"/>
    <d v="2026-07-07T00:00:00"/>
    <d v="2026-07-07T00:00:00"/>
    <x v="170"/>
    <s v="TECTOR EVO 170E28"/>
    <x v="3"/>
    <s v="C000001"/>
    <n v="30927"/>
    <s v="C"/>
    <n v="44990"/>
    <x v="0"/>
  </r>
  <r>
    <n v="37042"/>
    <s v="Preventivo"/>
    <s v="Cerrada"/>
    <s v="Si"/>
    <s v="6MC"/>
    <x v="2"/>
    <d v="2026-07-07T00:00:00"/>
    <d v="1899-12-30T19:43:00"/>
    <x v="105"/>
    <d v="2026-07-07T00:00:00"/>
    <d v="2026-07-07T00:00:00"/>
    <x v="170"/>
    <s v="TECTOR EVO 170E28"/>
    <x v="3"/>
    <s v="C000001"/>
    <n v="30927"/>
    <s v="C"/>
    <n v="44977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052"/>
    <s v="Preventivo"/>
    <s v="Cerrada"/>
    <s v="Si"/>
    <s v="3ML"/>
    <x v="4"/>
    <d v="2026-07-08T00:00:00"/>
    <d v="1899-12-30T08:40:00"/>
    <x v="106"/>
    <d v="2026-07-08T00:00:00"/>
    <d v="2026-07-08T00:00:00"/>
    <x v="171"/>
    <s v="ATEGO 1729"/>
    <x v="3"/>
    <s v="C000004"/>
    <n v="30940"/>
    <s v="C"/>
    <n v="44981"/>
    <x v="8"/>
  </r>
  <r>
    <n v="37052"/>
    <s v="Preventivo"/>
    <s v="Cerrada"/>
    <s v="Si"/>
    <s v="3ML"/>
    <x v="4"/>
    <d v="2026-07-08T00:00:00"/>
    <d v="1899-12-30T08:40:00"/>
    <x v="106"/>
    <d v="2026-07-08T00:00:00"/>
    <d v="2026-07-08T00:00:00"/>
    <x v="171"/>
    <s v="ATEGO 1729"/>
    <x v="3"/>
    <s v="C000004"/>
    <n v="30940"/>
    <s v="C"/>
    <n v="44995"/>
    <x v="8"/>
  </r>
  <r>
    <n v="37053"/>
    <s v="Preventivo"/>
    <s v="Liberada"/>
    <s v="No"/>
    <s v="6ML"/>
    <x v="5"/>
    <d v="2026-07-08T00:00:00"/>
    <d v="1899-12-30T08:40:00"/>
    <x v="106"/>
    <m/>
    <m/>
    <x v="171"/>
    <s v="ATEGO 1729"/>
    <x v="3"/>
    <s v="C000004"/>
    <n v="30939"/>
    <s v="O"/>
    <m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18"/>
    <s v="Preventivo"/>
    <s v="Liberada"/>
    <s v="No"/>
    <s v="3ML"/>
    <x v="4"/>
    <d v="2026-07-13T00:00:00"/>
    <d v="1899-12-30T08:54:00"/>
    <x v="107"/>
    <m/>
    <m/>
    <x v="77"/>
    <s v="AXOR 1933"/>
    <x v="3"/>
    <s v="C000003"/>
    <n v="31026"/>
    <s v="O"/>
    <m/>
    <x v="2"/>
  </r>
  <r>
    <n v="37219"/>
    <s v="Preventivo"/>
    <s v="Liberada"/>
    <s v="No"/>
    <s v="6ML"/>
    <x v="5"/>
    <d v="2026-07-13T00:00:00"/>
    <d v="1899-12-30T08:54:00"/>
    <x v="107"/>
    <m/>
    <m/>
    <x v="77"/>
    <s v="AXOR 1933"/>
    <x v="3"/>
    <s v="C000003"/>
    <n v="31027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31"/>
    <s v="Preventivo"/>
    <s v="Cerrada"/>
    <s v="Si"/>
    <s v="3ML 4"/>
    <x v="4"/>
    <d v="2026-07-13T00:00:00"/>
    <d v="1899-12-30T13:11:00"/>
    <x v="107"/>
    <d v="2026-07-13T00:00:00"/>
    <d v="2026-07-13T00:00:00"/>
    <x v="33"/>
    <s v="G310"/>
    <x v="2"/>
    <s v="C000003"/>
    <n v="31037"/>
    <s v="C"/>
    <n v="44963"/>
    <x v="2"/>
  </r>
  <r>
    <n v="37231"/>
    <s v="Preventivo"/>
    <s v="Cerrada"/>
    <s v="Si"/>
    <s v="3ML 4"/>
    <x v="4"/>
    <d v="2026-07-13T00:00:00"/>
    <d v="1899-12-30T13:11:00"/>
    <x v="107"/>
    <d v="2026-07-13T00:00:00"/>
    <d v="2026-07-13T00:00:00"/>
    <x v="33"/>
    <s v="G310"/>
    <x v="2"/>
    <s v="C000003"/>
    <n v="31037"/>
    <s v="C"/>
    <n v="44964"/>
    <x v="2"/>
  </r>
  <r>
    <n v="37232"/>
    <s v="Preventivo"/>
    <s v="Cerrada"/>
    <s v="Si"/>
    <s v="6ML 3"/>
    <x v="5"/>
    <d v="2026-07-13T00:00:00"/>
    <d v="1899-12-30T13:11:00"/>
    <x v="107"/>
    <d v="2026-07-13T00:00:00"/>
    <d v="2026-07-13T00:00:00"/>
    <x v="33"/>
    <s v="G310"/>
    <x v="2"/>
    <s v="C000003"/>
    <n v="31038"/>
    <s v="C"/>
    <n v="44965"/>
    <x v="2"/>
  </r>
  <r>
    <n v="37232"/>
    <s v="Preventivo"/>
    <s v="Cerrada"/>
    <s v="Si"/>
    <s v="6ML 3"/>
    <x v="5"/>
    <d v="2026-07-13T00:00:00"/>
    <d v="1899-12-30T13:11:00"/>
    <x v="107"/>
    <d v="2026-07-13T00:00:00"/>
    <d v="2026-07-13T00:00:00"/>
    <x v="33"/>
    <s v="G310"/>
    <x v="2"/>
    <s v="C000003"/>
    <n v="31038"/>
    <s v="C"/>
    <n v="44966"/>
    <x v="2"/>
  </r>
  <r>
    <n v="37250"/>
    <s v="Preventivo"/>
    <s v="Libe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1"/>
    <s v="Preventivo"/>
    <s v="Liberada"/>
    <s v="No"/>
    <s v="6MC 3"/>
    <x v="2"/>
    <d v="2026-07-13T00:00:00"/>
    <d v="1899-12-30T16:22:00"/>
    <x v="107"/>
    <d v="2026-07-13T00:00:00"/>
    <d v="2026-07-13T00:00:00"/>
    <x v="172"/>
    <s v="TECTOR 160E21"/>
    <x v="3"/>
    <s v="C000004"/>
    <n v="31047"/>
    <s v="O"/>
    <m/>
    <x v="7"/>
  </r>
  <r>
    <n v="37256"/>
    <s v="Preventivo"/>
    <s v="Libe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57"/>
    <s v="Preventivo"/>
    <s v="Liberada"/>
    <s v="No"/>
    <s v="3MC"/>
    <x v="1"/>
    <d v="2026-07-14T00:00:00"/>
    <d v="1899-12-30T10:31:00"/>
    <x v="108"/>
    <d v="2026-07-14T00:00:00"/>
    <d v="2026-07-14T00:00:00"/>
    <x v="173"/>
    <n v="710"/>
    <x v="1"/>
    <s v="C000003"/>
    <n v="31051"/>
    <s v="O"/>
    <m/>
    <x v="22"/>
  </r>
  <r>
    <n v="37283"/>
    <s v="Preventivo"/>
    <s v="Libe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284"/>
    <s v="Preventivo"/>
    <s v="Liberada"/>
    <s v="No"/>
    <s v="3MC"/>
    <x v="1"/>
    <d v="2026-07-14T00:00:00"/>
    <d v="1899-12-30T19:08:00"/>
    <x v="108"/>
    <d v="2026-07-14T00:00:00"/>
    <d v="2026-07-14T00:00:00"/>
    <x v="174"/>
    <s v="ATEGO 1726"/>
    <x v="3"/>
    <s v="C000001"/>
    <n v="31074"/>
    <s v="O"/>
    <m/>
    <x v="0"/>
  </r>
  <r>
    <n v="37285"/>
    <s v="Preventivo"/>
    <s v="Liberada"/>
    <s v="No"/>
    <s v="6MC 2"/>
    <x v="2"/>
    <d v="2026-07-14T00:00:00"/>
    <d v="1899-12-30T19:08:00"/>
    <x v="108"/>
    <d v="2026-07-14T00:00:00"/>
    <d v="2026-07-14T00:00:00"/>
    <x v="174"/>
    <s v="ATEGO 1726"/>
    <x v="3"/>
    <s v="C000001"/>
    <n v="31075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468"/>
    <s v="Preventivo"/>
    <s v="Liberada"/>
    <s v="No"/>
    <s v="3ML 1"/>
    <x v="4"/>
    <d v="2026-07-17T00:00:00"/>
    <d v="1899-12-30T13:30:00"/>
    <x v="109"/>
    <m/>
    <m/>
    <x v="44"/>
    <s v="ACTROS 2045"/>
    <x v="3"/>
    <s v="C000003"/>
    <n v="31203"/>
    <s v="O"/>
    <m/>
    <x v="2"/>
  </r>
  <r>
    <n v="37469"/>
    <s v="Preventivo"/>
    <s v="Liberada"/>
    <s v="No"/>
    <s v="6ML 1"/>
    <x v="5"/>
    <d v="2026-07-17T00:00:00"/>
    <d v="1899-12-30T13:30:00"/>
    <x v="109"/>
    <m/>
    <m/>
    <x v="44"/>
    <s v="ACTROS 2045"/>
    <x v="3"/>
    <s v="C000003"/>
    <n v="31204"/>
    <s v="O"/>
    <m/>
    <x v="2"/>
  </r>
  <r>
    <n v="37515"/>
    <s v="Preventivo"/>
    <s v="Liberada"/>
    <s v="No"/>
    <s v="2MC 1"/>
    <x v="0"/>
    <d v="2026-07-21T00:00:00"/>
    <d v="1899-12-30T10:49:00"/>
    <x v="110"/>
    <m/>
    <m/>
    <x v="175"/>
    <n v="1624"/>
    <x v="2"/>
    <s v="C000002"/>
    <n v="31276"/>
    <s v="O"/>
    <m/>
    <x v="21"/>
  </r>
  <r>
    <n v="37516"/>
    <s v="Preventivo"/>
    <s v="Liberada"/>
    <s v="No"/>
    <s v="3MC"/>
    <x v="1"/>
    <d v="2026-07-21T00:00:00"/>
    <d v="1899-12-30T10:49:00"/>
    <x v="110"/>
    <m/>
    <m/>
    <x v="175"/>
    <n v="1624"/>
    <x v="2"/>
    <s v="C000002"/>
    <n v="31277"/>
    <s v="O"/>
    <m/>
    <x v="21"/>
  </r>
  <r>
    <n v="37518"/>
    <s v="Preventivo"/>
    <s v="Liberada"/>
    <s v="No"/>
    <s v="6MC 1"/>
    <x v="2"/>
    <d v="2026-07-21T00:00:00"/>
    <d v="1899-12-30T10:49:00"/>
    <x v="110"/>
    <m/>
    <m/>
    <x v="175"/>
    <n v="1624"/>
    <x v="2"/>
    <s v="C000002"/>
    <n v="31279"/>
    <s v="O"/>
    <m/>
    <x v="21"/>
  </r>
  <r>
    <n v="37524"/>
    <s v="Preventivo"/>
    <s v="Liberada"/>
    <s v="No"/>
    <s v="2ML 4"/>
    <x v="3"/>
    <d v="2026-07-21T00:00:00"/>
    <d v="1899-12-30T11:40:00"/>
    <x v="111"/>
    <m/>
    <m/>
    <x v="66"/>
    <s v="G310"/>
    <x v="2"/>
    <s v="C000003"/>
    <n v="31302"/>
    <s v="O"/>
    <m/>
    <x v="2"/>
  </r>
  <r>
    <n v="37525"/>
    <s v="Preventivo"/>
    <s v="Liberada"/>
    <s v="No"/>
    <s v="3ML 4"/>
    <x v="4"/>
    <d v="2026-07-21T00:00:00"/>
    <d v="1899-12-30T11:41:00"/>
    <x v="111"/>
    <m/>
    <m/>
    <x v="66"/>
    <s v="G310"/>
    <x v="2"/>
    <s v="C000003"/>
    <n v="31303"/>
    <s v="O"/>
    <m/>
    <x v="2"/>
  </r>
  <r>
    <n v="37526"/>
    <s v="Preventivo"/>
    <s v="Liberada"/>
    <s v="No"/>
    <s v="6ML 4"/>
    <x v="5"/>
    <d v="2026-07-21T00:00:00"/>
    <d v="1899-12-30T11:41:00"/>
    <x v="111"/>
    <m/>
    <m/>
    <x v="66"/>
    <s v="G310"/>
    <x v="2"/>
    <s v="C000003"/>
    <n v="31304"/>
    <s v="O"/>
    <m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549"/>
    <s v="Preventivo"/>
    <s v="Liberada"/>
    <s v="No"/>
    <s v="6MC"/>
    <x v="2"/>
    <d v="2026-07-21T00:00:00"/>
    <d v="1899-12-30T16:04:00"/>
    <x v="112"/>
    <d v="2026-07-21T00:00:00"/>
    <d v="2026-07-21T00:00:00"/>
    <x v="176"/>
    <s v="TECTOR 160E21"/>
    <x v="3"/>
    <s v="C000004"/>
    <n v="31346"/>
    <s v="O"/>
    <m/>
    <x v="7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60"/>
    <s v="Preventivo"/>
    <s v="Cerrada"/>
    <s v="Si"/>
    <s v="3ML"/>
    <x v="4"/>
    <d v="2026-07-22T00:00:00"/>
    <d v="1899-12-30T10:13:00"/>
    <x v="113"/>
    <d v="2026-07-22T00:00:00"/>
    <d v="2026-07-22T00:00:00"/>
    <x v="108"/>
    <s v="AXOR 1933"/>
    <x v="1"/>
    <s v="C000003"/>
    <n v="31374"/>
    <s v="C"/>
    <n v="45088"/>
    <x v="2"/>
  </r>
  <r>
    <n v="37760"/>
    <s v="Preventivo"/>
    <s v="Cerrada"/>
    <s v="Si"/>
    <s v="3ML"/>
    <x v="4"/>
    <d v="2026-07-22T00:00:00"/>
    <d v="1899-12-30T10:13:00"/>
    <x v="113"/>
    <d v="2026-07-22T00:00:00"/>
    <d v="2026-07-22T00:00:00"/>
    <x v="108"/>
    <s v="AXOR 1933"/>
    <x v="1"/>
    <s v="C000003"/>
    <n v="31374"/>
    <s v="C"/>
    <n v="45089"/>
    <x v="2"/>
  </r>
  <r>
    <n v="37761"/>
    <s v="Preventivo"/>
    <s v="Cerrada"/>
    <s v="Si"/>
    <s v="6ML"/>
    <x v="5"/>
    <d v="2026-07-22T00:00:00"/>
    <d v="1899-12-30T11:53:00"/>
    <x v="113"/>
    <d v="2026-07-22T00:00:00"/>
    <d v="2026-07-22T00:00:00"/>
    <x v="108"/>
    <s v="AXOR 1933"/>
    <x v="1"/>
    <s v="C000003"/>
    <n v="31375"/>
    <s v="C"/>
    <n v="45090"/>
    <x v="2"/>
  </r>
  <r>
    <n v="37761"/>
    <s v="Preventivo"/>
    <s v="Cerrada"/>
    <s v="Si"/>
    <s v="6ML"/>
    <x v="5"/>
    <d v="2026-07-22T00:00:00"/>
    <d v="1899-12-30T11:53:00"/>
    <x v="113"/>
    <d v="2026-07-22T00:00:00"/>
    <d v="2026-07-22T00:00:00"/>
    <x v="108"/>
    <s v="AXOR 1933"/>
    <x v="1"/>
    <s v="C000003"/>
    <n v="31375"/>
    <s v="C"/>
    <n v="45091"/>
    <x v="2"/>
  </r>
  <r>
    <n v="37791"/>
    <s v="Preventivo"/>
    <s v="Liberada"/>
    <s v="No"/>
    <s v="2ML"/>
    <x v="3"/>
    <d v="2026-07-23T00:00:00"/>
    <d v="1899-12-30T15:29:00"/>
    <x v="113"/>
    <m/>
    <m/>
    <x v="177"/>
    <s v="ATEGO 1725"/>
    <x v="2"/>
    <s v="C000003"/>
    <n v="31403"/>
    <s v="O"/>
    <m/>
    <x v="2"/>
  </r>
  <r>
    <n v="37792"/>
    <s v="Preventivo"/>
    <s v="Liberada"/>
    <s v="No"/>
    <s v="3ML"/>
    <x v="4"/>
    <d v="2026-07-23T00:00:00"/>
    <d v="1899-12-30T15:29:00"/>
    <x v="113"/>
    <m/>
    <m/>
    <x v="177"/>
    <s v="ATEGO 1725"/>
    <x v="2"/>
    <s v="C000003"/>
    <n v="31404"/>
    <s v="O"/>
    <m/>
    <x v="2"/>
  </r>
  <r>
    <n v="37794"/>
    <s v="Preventivo"/>
    <s v="Liberada"/>
    <s v="No"/>
    <s v="6ML"/>
    <x v="5"/>
    <d v="2026-07-23T00:00:00"/>
    <d v="1899-12-30T15:45:00"/>
    <x v="113"/>
    <m/>
    <m/>
    <x v="177"/>
    <s v="ATEGO 1725"/>
    <x v="2"/>
    <s v="C000003"/>
    <n v="31406"/>
    <s v="O"/>
    <m/>
    <x v="2"/>
  </r>
  <r>
    <n v="37799"/>
    <s v="Preventivo"/>
    <s v="Liberada"/>
    <s v="No"/>
    <s v="2MC"/>
    <x v="0"/>
    <d v="2026-07-23T00:00:00"/>
    <d v="1899-12-30T16:12:00"/>
    <x v="114"/>
    <m/>
    <m/>
    <x v="178"/>
    <n v="1624"/>
    <x v="2"/>
    <s v="C000002"/>
    <n v="31408"/>
    <s v="O"/>
    <m/>
    <x v="26"/>
  </r>
  <r>
    <n v="37800"/>
    <s v="Preventivo"/>
    <s v="Liberada"/>
    <s v="No"/>
    <s v="3MC"/>
    <x v="1"/>
    <d v="2026-07-23T00:00:00"/>
    <d v="1899-12-30T16:12:00"/>
    <x v="114"/>
    <m/>
    <m/>
    <x v="178"/>
    <n v="1624"/>
    <x v="2"/>
    <s v="C000002"/>
    <n v="31409"/>
    <s v="O"/>
    <m/>
    <x v="26"/>
  </r>
  <r>
    <n v="37801"/>
    <s v="Preventivo"/>
    <s v="Liberada"/>
    <s v="No"/>
    <s v="6MC"/>
    <x v="2"/>
    <d v="2026-07-23T00:00:00"/>
    <d v="1899-12-30T16:12:00"/>
    <x v="114"/>
    <m/>
    <m/>
    <x v="178"/>
    <n v="1624"/>
    <x v="2"/>
    <s v="C000002"/>
    <n v="31410"/>
    <s v="O"/>
    <m/>
    <x v="26"/>
  </r>
  <r>
    <n v="37804"/>
    <s v="Preventivo"/>
    <s v="Liberada"/>
    <s v="No"/>
    <s v="2ML 4"/>
    <x v="3"/>
    <d v="2026-07-23T00:00:00"/>
    <d v="1899-12-30T16:33:00"/>
    <x v="114"/>
    <m/>
    <m/>
    <x v="28"/>
    <s v="G310"/>
    <x v="2"/>
    <s v="C000003"/>
    <n v="31413"/>
    <s v="O"/>
    <m/>
    <x v="2"/>
  </r>
  <r>
    <n v="37805"/>
    <s v="Preventivo"/>
    <s v="Liberada"/>
    <s v="No"/>
    <s v="3ML 4"/>
    <x v="4"/>
    <d v="2026-07-23T00:00:00"/>
    <d v="1899-12-30T16:33:00"/>
    <x v="114"/>
    <m/>
    <m/>
    <x v="28"/>
    <s v="G310"/>
    <x v="2"/>
    <s v="C000003"/>
    <n v="31414"/>
    <s v="O"/>
    <m/>
    <x v="2"/>
  </r>
  <r>
    <n v="37806"/>
    <s v="Preventivo"/>
    <s v="Liberada"/>
    <s v="No"/>
    <s v="6ML 3"/>
    <x v="5"/>
    <d v="2026-07-23T00:00:00"/>
    <d v="1899-12-30T16:33:00"/>
    <x v="114"/>
    <m/>
    <m/>
    <x v="28"/>
    <s v="G310"/>
    <x v="2"/>
    <s v="C000003"/>
    <n v="31415"/>
    <s v="O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4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19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80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m="1" x="179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7">
        <item x="1"/>
        <item x="17"/>
        <item m="1" x="36"/>
        <item m="1" x="33"/>
        <item m="1" x="34"/>
        <item m="1" x="31"/>
        <item m="1" x="30"/>
        <item x="6"/>
        <item x="21"/>
        <item m="1" x="32"/>
        <item x="5"/>
        <item x="20"/>
        <item x="0"/>
        <item x="2"/>
        <item x="15"/>
        <item m="1" x="28"/>
        <item x="11"/>
        <item x="26"/>
        <item x="14"/>
        <item x="22"/>
        <item x="9"/>
        <item x="12"/>
        <item m="1" x="29"/>
        <item x="19"/>
        <item x="18"/>
        <item m="1" x="35"/>
        <item x="16"/>
        <item m="1" x="27"/>
        <item x="3"/>
        <item x="4"/>
        <item x="7"/>
        <item x="8"/>
        <item x="10"/>
        <item x="13"/>
        <item x="23"/>
        <item x="24"/>
        <item x="25"/>
      </items>
    </pivotField>
  </pivotFields>
  <rowFields count="5">
    <field x="11"/>
    <field x="8"/>
    <field x="5"/>
    <field x="18"/>
    <field x="13"/>
  </rowFields>
  <rowItems count="218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>
      <x v="7"/>
      <x v="12"/>
      <x v="1"/>
      <x/>
      <x/>
    </i>
    <i r="1">
      <x v="53"/>
      <x v="1"/>
      <x/>
      <x/>
    </i>
    <i>
      <x v="8"/>
      <x v="2"/>
      <x v="1"/>
      <x/>
      <x/>
    </i>
    <i r="1">
      <x v="50"/>
      <x v="1"/>
      <x/>
      <x/>
    </i>
    <i>
      <x v="9"/>
      <x v="6"/>
      <x v="1"/>
      <x/>
      <x/>
    </i>
    <i r="1">
      <x v="43"/>
      <x v="1"/>
      <x/>
      <x/>
    </i>
    <i>
      <x v="10"/>
      <x v="19"/>
      <x v="1"/>
      <x v="29"/>
      <x v="2"/>
    </i>
    <i r="1">
      <x v="56"/>
      <x v="1"/>
      <x v="29"/>
      <x v="2"/>
    </i>
    <i r="1">
      <x v="95"/>
      <x v="1"/>
      <x v="29"/>
      <x v="2"/>
    </i>
    <i>
      <x v="11"/>
      <x v="15"/>
      <x v="1"/>
      <x v="13"/>
      <x v="2"/>
    </i>
    <i r="1">
      <x v="60"/>
      <x v="1"/>
      <x v="13"/>
      <x v="2"/>
    </i>
    <i>
      <x v="12"/>
      <x v="3"/>
      <x v="1"/>
      <x v="13"/>
      <x v="3"/>
    </i>
    <i r="1">
      <x v="63"/>
      <x v="1"/>
      <x v="13"/>
      <x v="3"/>
    </i>
    <i r="1">
      <x v="112"/>
      <x v="1"/>
      <x v="13"/>
      <x v="3"/>
    </i>
    <i>
      <x v="13"/>
      <x v="24"/>
      <x v="2"/>
      <x v="20"/>
      <x v="2"/>
    </i>
    <i>
      <x v="14"/>
      <x v="10"/>
      <x/>
      <x v="12"/>
      <x/>
    </i>
    <i>
      <x v="15"/>
      <x/>
      <x/>
      <x v="12"/>
      <x/>
    </i>
    <i>
      <x v="16"/>
      <x v="3"/>
      <x/>
      <x v="12"/>
      <x/>
    </i>
    <i r="1">
      <x v="27"/>
      <x/>
      <x v="12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12"/>
      <x/>
    </i>
    <i>
      <x v="20"/>
      <x/>
      <x/>
      <x v="12"/>
      <x/>
    </i>
    <i>
      <x v="21"/>
      <x v="28"/>
      <x v="2"/>
      <x v="32"/>
      <x/>
    </i>
    <i>
      <x v="22"/>
      <x v="21"/>
      <x/>
      <x v="12"/>
      <x/>
    </i>
    <i>
      <x v="23"/>
      <x v="21"/>
      <x/>
      <x v="12"/>
      <x/>
    </i>
    <i>
      <x v="24"/>
      <x v="7"/>
      <x/>
      <x v="7"/>
      <x v="2"/>
    </i>
    <i>
      <x v="25"/>
      <x v="7"/>
      <x/>
      <x v="12"/>
      <x/>
    </i>
    <i>
      <x v="26"/>
      <x v="3"/>
      <x/>
      <x v="12"/>
      <x/>
    </i>
    <i>
      <x v="27"/>
      <x v="3"/>
      <x v="1"/>
      <x v="29"/>
      <x v="2"/>
    </i>
    <i r="1">
      <x v="75"/>
      <x v="1"/>
      <x v="29"/>
      <x v="2"/>
    </i>
    <i>
      <x v="28"/>
      <x v="22"/>
      <x v="1"/>
      <x v="13"/>
      <x v="2"/>
    </i>
    <i r="1">
      <x v="54"/>
      <x v="1"/>
      <x v="13"/>
      <x/>
    </i>
    <i r="1">
      <x v="109"/>
      <x v="1"/>
      <x v="13"/>
      <x v="1"/>
    </i>
    <i>
      <x v="29"/>
      <x v="17"/>
      <x/>
      <x v="31"/>
      <x/>
    </i>
    <i>
      <x v="30"/>
      <x v="15"/>
      <x/>
      <x v="7"/>
      <x v="2"/>
    </i>
    <i>
      <x v="31"/>
      <x v="29"/>
      <x/>
      <x v="16"/>
      <x/>
    </i>
    <i>
      <x v="32"/>
      <x v="26"/>
      <x/>
      <x v="7"/>
      <x v="2"/>
    </i>
    <i r="1">
      <x v="84"/>
      <x/>
      <x v="7"/>
      <x v="2"/>
    </i>
    <i>
      <x v="33"/>
      <x v="25"/>
      <x v="1"/>
      <x v="13"/>
      <x v="3"/>
    </i>
    <i r="1">
      <x v="80"/>
      <x v="1"/>
      <x v="13"/>
      <x v="3"/>
    </i>
    <i>
      <x v="34"/>
      <x v="2"/>
      <x/>
      <x v="28"/>
      <x/>
    </i>
    <i>
      <x v="35"/>
      <x v="7"/>
      <x/>
      <x v="30"/>
      <x/>
    </i>
    <i>
      <x v="36"/>
      <x v="10"/>
      <x/>
      <x v="28"/>
      <x/>
    </i>
    <i r="1">
      <x v="28"/>
      <x/>
      <x v="28"/>
      <x/>
    </i>
    <i>
      <x v="37"/>
      <x v="19"/>
      <x/>
      <x v="30"/>
      <x/>
    </i>
    <i>
      <x v="38"/>
      <x v="11"/>
      <x/>
      <x v="12"/>
      <x/>
    </i>
    <i>
      <x v="39"/>
      <x v="23"/>
      <x v="1"/>
      <x/>
      <x/>
    </i>
    <i r="1">
      <x v="88"/>
      <x v="1"/>
      <x/>
      <x v="1"/>
    </i>
    <i>
      <x v="40"/>
      <x v="19"/>
      <x v="1"/>
      <x v="13"/>
      <x v="3"/>
    </i>
    <i>
      <x v="41"/>
      <x v="9"/>
      <x v="1"/>
      <x v="13"/>
      <x/>
    </i>
    <i r="1">
      <x v="72"/>
      <x v="1"/>
      <x v="13"/>
      <x v="2"/>
    </i>
    <i>
      <x v="42"/>
      <x v="20"/>
      <x/>
      <x v="12"/>
      <x/>
    </i>
    <i>
      <x v="43"/>
      <x v="5"/>
      <x v="2"/>
      <x v="10"/>
      <x v="2"/>
    </i>
    <i>
      <x v="44"/>
      <x v="18"/>
      <x v="1"/>
      <x v="13"/>
      <x v="3"/>
    </i>
    <i r="1">
      <x v="61"/>
      <x v="1"/>
      <x v="13"/>
      <x v="3"/>
    </i>
    <i r="1">
      <x v="107"/>
      <x v="1"/>
      <x v="13"/>
      <x v="2"/>
    </i>
    <i>
      <x v="45"/>
      <x v="14"/>
      <x v="1"/>
      <x v="13"/>
      <x v="2"/>
    </i>
    <i r="1">
      <x v="63"/>
      <x v="1"/>
      <x v="13"/>
      <x v="2"/>
    </i>
    <i r="1">
      <x v="114"/>
      <x v="1"/>
      <x v="13"/>
      <x v="2"/>
    </i>
    <i>
      <x v="46"/>
      <x v="2"/>
      <x v="1"/>
      <x v="13"/>
      <x v="3"/>
    </i>
    <i r="1">
      <x v="47"/>
      <x v="1"/>
      <x v="13"/>
      <x v="3"/>
    </i>
    <i r="1">
      <x v="98"/>
      <x v="1"/>
      <x v="13"/>
      <x v="3"/>
    </i>
    <i>
      <x v="47"/>
      <x v="19"/>
      <x/>
      <x v="28"/>
      <x/>
    </i>
    <i>
      <x v="48"/>
      <x v="21"/>
      <x/>
      <x v="12"/>
      <x/>
    </i>
    <i r="1">
      <x v="27"/>
      <x/>
      <x v="12"/>
      <x/>
    </i>
    <i>
      <x v="49"/>
      <x v="8"/>
      <x/>
      <x v="30"/>
      <x/>
    </i>
    <i>
      <x v="51"/>
      <x v="30"/>
      <x v="1"/>
      <x v="29"/>
      <x v="2"/>
    </i>
    <i r="1">
      <x v="82"/>
      <x v="1"/>
      <x v="29"/>
      <x v="2"/>
    </i>
    <i>
      <x v="52"/>
      <x v="31"/>
      <x v="1"/>
      <x v="13"/>
      <x v="3"/>
    </i>
    <i r="1">
      <x v="93"/>
      <x v="1"/>
      <x v="13"/>
      <x v="2"/>
    </i>
    <i>
      <x v="53"/>
      <x v="33"/>
      <x v="1"/>
      <x v="13"/>
      <x v="2"/>
    </i>
    <i r="1">
      <x v="73"/>
      <x v="1"/>
      <x v="13"/>
      <x v="2"/>
    </i>
    <i>
      <x v="54"/>
      <x v="34"/>
      <x/>
      <x v="21"/>
      <x v="3"/>
    </i>
    <i>
      <x v="55"/>
      <x v="34"/>
      <x/>
      <x v="33"/>
      <x v="2"/>
    </i>
    <i>
      <x v="56"/>
      <x v="34"/>
      <x/>
      <x v="12"/>
      <x/>
    </i>
    <i>
      <x v="57"/>
      <x v="35"/>
      <x/>
      <x v="33"/>
      <x v="2"/>
    </i>
    <i>
      <x v="58"/>
      <x v="36"/>
      <x/>
      <x v="33"/>
      <x v="2"/>
    </i>
    <i>
      <x v="59"/>
      <x v="36"/>
      <x/>
      <x v="13"/>
      <x/>
    </i>
    <i>
      <x v="60"/>
      <x v="36"/>
      <x v="1"/>
      <x v="29"/>
      <x v="2"/>
    </i>
    <i>
      <x v="61"/>
      <x v="37"/>
      <x/>
      <x v="33"/>
      <x v="2"/>
    </i>
    <i>
      <x v="62"/>
      <x v="37"/>
      <x v="2"/>
      <x v="20"/>
      <x v="2"/>
    </i>
    <i>
      <x v="63"/>
      <x v="38"/>
      <x/>
      <x v="28"/>
      <x/>
    </i>
    <i>
      <x v="64"/>
      <x v="38"/>
      <x/>
      <x v="12"/>
      <x/>
    </i>
    <i>
      <x v="65"/>
      <x v="39"/>
      <x v="1"/>
      <x v="13"/>
      <x/>
    </i>
    <i r="1">
      <x v="90"/>
      <x v="1"/>
      <x v="13"/>
      <x v="1"/>
    </i>
    <i>
      <x v="66"/>
      <x v="40"/>
      <x v="1"/>
      <x v="13"/>
      <x v="2"/>
    </i>
    <i r="1">
      <x v="111"/>
      <x v="1"/>
      <x v="13"/>
      <x v="2"/>
    </i>
    <i>
      <x v="67"/>
      <x v="41"/>
      <x v="1"/>
      <x v="12"/>
      <x/>
    </i>
    <i>
      <x v="68"/>
      <x v="42"/>
      <x/>
      <x v="28"/>
      <x/>
    </i>
    <i>
      <x v="69"/>
      <x v="44"/>
      <x/>
      <x v="30"/>
      <x/>
    </i>
    <i>
      <x v="70"/>
      <x v="45"/>
      <x v="2"/>
      <x v="18"/>
      <x/>
    </i>
    <i>
      <x v="71"/>
      <x v="45"/>
      <x v="1"/>
      <x v="29"/>
      <x v="2"/>
    </i>
    <i>
      <x v="72"/>
      <x v="46"/>
      <x/>
      <x v="30"/>
      <x/>
    </i>
    <i>
      <x v="73"/>
      <x v="48"/>
      <x v="1"/>
      <x/>
      <x/>
    </i>
    <i>
      <x v="74"/>
      <x v="49"/>
      <x/>
      <x v="28"/>
      <x/>
    </i>
    <i>
      <x v="75"/>
      <x v="49"/>
      <x/>
      <x v="30"/>
      <x/>
    </i>
    <i>
      <x v="76"/>
      <x v="51"/>
      <x/>
      <x v="14"/>
      <x/>
    </i>
    <i>
      <x v="77"/>
      <x v="51"/>
      <x v="1"/>
      <x v="13"/>
      <x/>
    </i>
    <i r="1">
      <x v="107"/>
      <x v="1"/>
      <x v="13"/>
      <x v="1"/>
    </i>
    <i>
      <x v="78"/>
      <x v="51"/>
      <x/>
      <x v="26"/>
      <x/>
    </i>
    <i>
      <x v="79"/>
      <x v="51"/>
      <x/>
      <x v="12"/>
      <x/>
    </i>
    <i>
      <x v="80"/>
      <x v="51"/>
      <x/>
      <x v="28"/>
      <x/>
    </i>
    <i>
      <x v="81"/>
      <x v="51"/>
      <x/>
      <x v="28"/>
      <x/>
    </i>
    <i>
      <x v="82"/>
      <x v="52"/>
      <x/>
      <x v="28"/>
      <x/>
    </i>
    <i>
      <x v="83"/>
      <x v="53"/>
      <x v="1"/>
      <x v="14"/>
      <x/>
    </i>
    <i>
      <x v="84"/>
      <x v="53"/>
      <x/>
      <x v="26"/>
      <x/>
    </i>
    <i>
      <x v="85"/>
      <x v="53"/>
      <x/>
      <x v="28"/>
      <x/>
    </i>
    <i>
      <x v="86"/>
      <x v="53"/>
      <x/>
      <x v="28"/>
      <x/>
    </i>
    <i>
      <x v="87"/>
      <x v="53"/>
      <x/>
      <x v="33"/>
      <x v="2"/>
    </i>
    <i>
      <x v="88"/>
      <x v="53"/>
      <x v="1"/>
      <x v="29"/>
      <x v="2"/>
    </i>
    <i>
      <x v="89"/>
      <x v="54"/>
      <x/>
      <x v="30"/>
      <x/>
    </i>
    <i>
      <x v="90"/>
      <x v="55"/>
      <x/>
      <x v="16"/>
      <x/>
    </i>
    <i>
      <x v="91"/>
      <x v="56"/>
      <x/>
      <x v="1"/>
      <x/>
    </i>
    <i>
      <x v="92"/>
      <x v="57"/>
      <x/>
      <x v="16"/>
      <x/>
    </i>
    <i>
      <x v="93"/>
      <x v="58"/>
      <x/>
      <x v="24"/>
      <x v="3"/>
    </i>
    <i>
      <x v="94"/>
      <x v="58"/>
      <x/>
      <x v="28"/>
      <x/>
    </i>
    <i>
      <x v="95"/>
      <x v="59"/>
      <x/>
      <x v="26"/>
      <x/>
    </i>
    <i>
      <x v="96"/>
      <x v="58"/>
      <x v="1"/>
      <x v="29"/>
      <x v="2"/>
    </i>
    <i>
      <x v="97"/>
      <x v="62"/>
      <x v="2"/>
      <x v="20"/>
      <x v="2"/>
    </i>
    <i>
      <x v="98"/>
      <x v="99"/>
      <x v="1"/>
      <x v="13"/>
      <x v="3"/>
    </i>
    <i>
      <x v="99"/>
      <x v="63"/>
      <x/>
      <x v="28"/>
      <x v="1"/>
    </i>
    <i>
      <x v="100"/>
      <x v="64"/>
      <x/>
      <x v="14"/>
      <x v="1"/>
    </i>
    <i>
      <x v="101"/>
      <x v="65"/>
      <x v="1"/>
      <x v="31"/>
      <x v="1"/>
    </i>
    <i>
      <x v="102"/>
      <x v="65"/>
      <x/>
      <x v="28"/>
      <x v="1"/>
    </i>
    <i>
      <x v="103"/>
      <x v="65"/>
      <x/>
      <x v="16"/>
      <x v="1"/>
    </i>
    <i>
      <x v="104"/>
      <x v="65"/>
      <x/>
      <x v="28"/>
      <x/>
    </i>
    <i>
      <x v="105"/>
      <x v="66"/>
      <x/>
      <x v="16"/>
      <x v="1"/>
    </i>
    <i>
      <x v="106"/>
      <x v="66"/>
      <x v="1"/>
      <x v="13"/>
      <x v="3"/>
    </i>
    <i>
      <x v="107"/>
      <x v="66"/>
      <x/>
      <x v="28"/>
      <x v="1"/>
    </i>
    <i>
      <x v="108"/>
      <x v="67"/>
      <x v="1"/>
      <x v="13"/>
      <x v="1"/>
    </i>
    <i r="1">
      <x v="113"/>
      <x v="1"/>
      <x v="13"/>
      <x v="3"/>
    </i>
    <i>
      <x v="109"/>
      <x v="67"/>
      <x/>
      <x v="14"/>
      <x v="1"/>
    </i>
    <i>
      <x v="110"/>
      <x v="67"/>
      <x/>
      <x v="16"/>
      <x v="1"/>
    </i>
    <i>
      <x v="111"/>
      <x v="67"/>
      <x/>
      <x v="16"/>
      <x v="1"/>
    </i>
    <i>
      <x v="112"/>
      <x v="67"/>
      <x/>
      <x v="1"/>
      <x v="1"/>
    </i>
    <i>
      <x v="113"/>
      <x v="68"/>
      <x v="2"/>
      <x v="26"/>
      <x/>
    </i>
    <i>
      <x v="114"/>
      <x v="69"/>
      <x/>
      <x v="18"/>
      <x v="1"/>
    </i>
    <i>
      <x v="115"/>
      <x v="70"/>
      <x/>
      <x v="30"/>
      <x v="1"/>
    </i>
    <i>
      <x v="116"/>
      <x v="70"/>
      <x/>
      <x v="16"/>
      <x v="1"/>
    </i>
    <i>
      <x v="117"/>
      <x v="70"/>
      <x v="2"/>
      <x v="18"/>
      <x v="1"/>
    </i>
    <i>
      <x v="119"/>
      <x v="70"/>
      <x/>
      <x v="30"/>
      <x v="1"/>
    </i>
    <i>
      <x v="120"/>
      <x v="71"/>
      <x/>
      <x v="26"/>
      <x v="1"/>
    </i>
    <i>
      <x v="121"/>
      <x v="70"/>
      <x/>
      <x v="33"/>
      <x v="2"/>
    </i>
    <i r="1">
      <x v="94"/>
      <x/>
      <x v="12"/>
      <x v="1"/>
    </i>
    <i>
      <x v="122"/>
      <x v="71"/>
      <x v="1"/>
      <x v="29"/>
      <x v="2"/>
    </i>
    <i>
      <x v="123"/>
      <x v="74"/>
      <x/>
      <x v="12"/>
      <x v="1"/>
    </i>
    <i>
      <x v="124"/>
      <x v="74"/>
      <x/>
      <x v="12"/>
      <x v="1"/>
    </i>
    <i>
      <x v="125"/>
      <x v="75"/>
      <x v="2"/>
      <x v="12"/>
      <x v="1"/>
    </i>
    <i>
      <x v="126"/>
      <x v="75"/>
      <x/>
      <x v="12"/>
      <x v="1"/>
    </i>
    <i>
      <x v="127"/>
      <x v="76"/>
      <x/>
      <x v="12"/>
      <x v="1"/>
    </i>
    <i>
      <x v="128"/>
      <x v="77"/>
      <x v="1"/>
      <x v="13"/>
      <x v="3"/>
    </i>
    <i>
      <x v="129"/>
      <x v="78"/>
      <x/>
      <x v="7"/>
      <x v="2"/>
    </i>
    <i>
      <x v="130"/>
      <x v="78"/>
      <x/>
      <x v="7"/>
      <x v="2"/>
    </i>
    <i>
      <x v="131"/>
      <x v="79"/>
      <x v="2"/>
      <x v="20"/>
      <x v="2"/>
    </i>
    <i>
      <x v="132"/>
      <x v="80"/>
      <x/>
      <x v="13"/>
      <x v="1"/>
    </i>
    <i>
      <x v="133"/>
      <x v="81"/>
      <x/>
      <x v="29"/>
      <x v="3"/>
    </i>
    <i>
      <x v="134"/>
      <x v="80"/>
      <x/>
      <x v="12"/>
      <x v="1"/>
    </i>
    <i>
      <x v="135"/>
      <x v="80"/>
      <x/>
      <x v="7"/>
      <x v="2"/>
    </i>
    <i>
      <x v="136"/>
      <x v="80"/>
      <x/>
      <x v="7"/>
      <x v="2"/>
    </i>
    <i>
      <x v="137"/>
      <x v="82"/>
      <x v="1"/>
      <x v="31"/>
      <x v="1"/>
    </i>
    <i>
      <x v="138"/>
      <x v="85"/>
      <x/>
      <x v="23"/>
      <x v="2"/>
    </i>
    <i>
      <x v="139"/>
      <x v="85"/>
      <x/>
      <x v="7"/>
      <x v="2"/>
    </i>
    <i>
      <x v="140"/>
      <x v="83"/>
      <x/>
      <x v="21"/>
      <x v="3"/>
    </i>
    <i>
      <x v="141"/>
      <x v="83"/>
      <x/>
      <x v="26"/>
      <x v="1"/>
    </i>
    <i>
      <x v="142"/>
      <x v="83"/>
      <x/>
      <x v="12"/>
      <x v="1"/>
    </i>
    <i>
      <x v="143"/>
      <x v="86"/>
      <x/>
      <x v="11"/>
      <x v="3"/>
    </i>
    <i>
      <x v="144"/>
      <x v="87"/>
      <x/>
      <x v="30"/>
      <x v="1"/>
    </i>
    <i>
      <x v="145"/>
      <x v="87"/>
      <x/>
      <x v="28"/>
      <x v="1"/>
    </i>
    <i>
      <x v="146"/>
      <x v="89"/>
      <x/>
      <x v="30"/>
      <x v="1"/>
    </i>
    <i>
      <x v="147"/>
      <x v="89"/>
      <x/>
      <x v="30"/>
      <x v="1"/>
    </i>
    <i>
      <x v="149"/>
      <x v="89"/>
      <x v="1"/>
      <x v="29"/>
      <x v="2"/>
    </i>
    <i>
      <x v="150"/>
      <x v="90"/>
      <x/>
      <x v="28"/>
      <x v="1"/>
    </i>
    <i>
      <x v="151"/>
      <x v="90"/>
      <x/>
      <x v="28"/>
      <x v="1"/>
    </i>
    <i>
      <x v="152"/>
      <x v="91"/>
      <x/>
      <x v="12"/>
      <x v="1"/>
    </i>
    <i>
      <x v="153"/>
      <x v="91"/>
      <x/>
      <x v="28"/>
      <x v="1"/>
    </i>
    <i>
      <x v="154"/>
      <x v="92"/>
      <x/>
      <x v="19"/>
      <x v="3"/>
    </i>
    <i>
      <x v="155"/>
      <x v="93"/>
      <x/>
      <x v="30"/>
      <x v="1"/>
    </i>
    <i>
      <x v="156"/>
      <x v="93"/>
      <x v="1"/>
      <x v="13"/>
      <x v="3"/>
    </i>
    <i>
      <x v="157"/>
      <x v="93"/>
      <x/>
      <x v="30"/>
      <x v="1"/>
    </i>
    <i>
      <x v="158"/>
      <x v="95"/>
      <x/>
      <x v="12"/>
      <x v="1"/>
    </i>
    <i>
      <x v="159"/>
      <x v="96"/>
      <x/>
      <x v="12"/>
      <x v="1"/>
    </i>
    <i>
      <x v="160"/>
      <x v="96"/>
      <x/>
      <x v="28"/>
      <x v="1"/>
    </i>
    <i>
      <x v="161"/>
      <x v="96"/>
      <x/>
      <x v="28"/>
      <x v="1"/>
    </i>
    <i>
      <x v="162"/>
      <x v="97"/>
      <x/>
      <x v="24"/>
      <x v="3"/>
    </i>
    <i>
      <x v="163"/>
      <x v="97"/>
      <x/>
      <x v="28"/>
      <x v="1"/>
    </i>
    <i>
      <x v="164"/>
      <x v="99"/>
      <x/>
      <x v="34"/>
      <x v="1"/>
    </i>
    <i>
      <x v="165"/>
      <x v="97"/>
      <x v="2"/>
      <x v="23"/>
      <x v="2"/>
    </i>
    <i>
      <x v="166"/>
      <x v="97"/>
      <x v="1"/>
      <x v="13"/>
      <x v="2"/>
    </i>
    <i>
      <x v="167"/>
      <x v="102"/>
      <x/>
      <x v="35"/>
      <x v="1"/>
    </i>
    <i>
      <x v="168"/>
      <x v="102"/>
      <x v="1"/>
      <x v="26"/>
      <x v="1"/>
    </i>
    <i>
      <x v="169"/>
      <x v="102"/>
      <x/>
      <x v="12"/>
      <x v="1"/>
    </i>
    <i>
      <x v="170"/>
      <x v="103"/>
      <x/>
      <x v="36"/>
      <x v="1"/>
    </i>
    <i>
      <x v="171"/>
      <x v="105"/>
      <x/>
      <x v="12"/>
      <x v="1"/>
    </i>
    <i>
      <x v="172"/>
      <x v="106"/>
      <x v="1"/>
      <x v="31"/>
      <x v="1"/>
    </i>
    <i>
      <x v="173"/>
      <x v="107"/>
      <x/>
      <x v="30"/>
      <x v="1"/>
    </i>
    <i>
      <x v="174"/>
      <x v="108"/>
      <x/>
      <x v="19"/>
      <x v="3"/>
    </i>
    <i>
      <x v="175"/>
      <x v="108"/>
      <x/>
      <x v="12"/>
      <x v="1"/>
    </i>
    <i>
      <x v="176"/>
      <x v="110"/>
      <x/>
      <x v="8"/>
      <x v="2"/>
    </i>
    <i>
      <x v="178"/>
      <x v="113"/>
      <x v="1"/>
      <x v="13"/>
      <x v="2"/>
    </i>
    <i>
      <x v="179"/>
      <x v="114"/>
      <x/>
      <x v="17"/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9"/>
  <sheetViews>
    <sheetView tabSelected="1" workbookViewId="0">
      <selection activeCell="D3" sqref="D3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308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69</v>
      </c>
      <c r="B12" s="4">
        <v>46051</v>
      </c>
      <c r="C12" s="3" t="s">
        <v>35</v>
      </c>
      <c r="D12" s="3" t="s">
        <v>38</v>
      </c>
      <c r="E12" s="3" t="s">
        <v>21</v>
      </c>
    </row>
    <row r="13" spans="1:5" x14ac:dyDescent="0.3">
      <c r="A13" s="3" t="s">
        <v>69</v>
      </c>
      <c r="B13" s="4">
        <v>46204</v>
      </c>
      <c r="C13" s="3" t="s">
        <v>35</v>
      </c>
      <c r="D13" s="3" t="s">
        <v>38</v>
      </c>
      <c r="E13" s="3" t="s">
        <v>208</v>
      </c>
    </row>
    <row r="14" spans="1:5" x14ac:dyDescent="0.3">
      <c r="A14" s="3" t="s">
        <v>70</v>
      </c>
      <c r="B14" s="4">
        <v>46029</v>
      </c>
      <c r="C14" s="3" t="s">
        <v>35</v>
      </c>
      <c r="D14" s="3" t="s">
        <v>38</v>
      </c>
      <c r="E14" s="3" t="s">
        <v>21</v>
      </c>
    </row>
    <row r="15" spans="1:5" x14ac:dyDescent="0.3">
      <c r="A15" s="3" t="s">
        <v>70</v>
      </c>
      <c r="B15" s="4">
        <v>46126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92</v>
      </c>
      <c r="B16" s="4">
        <v>46041</v>
      </c>
      <c r="C16" s="3" t="s">
        <v>35</v>
      </c>
      <c r="D16" s="3" t="s">
        <v>38</v>
      </c>
      <c r="E16" s="3" t="s">
        <v>21</v>
      </c>
    </row>
    <row r="17" spans="1:5" x14ac:dyDescent="0.3">
      <c r="A17" s="3" t="s">
        <v>92</v>
      </c>
      <c r="B17" s="4">
        <v>46127</v>
      </c>
      <c r="C17" s="3" t="s">
        <v>35</v>
      </c>
      <c r="D17" s="3" t="s">
        <v>38</v>
      </c>
      <c r="E17" s="3" t="s">
        <v>21</v>
      </c>
    </row>
    <row r="18" spans="1:5" x14ac:dyDescent="0.3">
      <c r="A18" s="3" t="s">
        <v>54</v>
      </c>
      <c r="B18" s="4">
        <v>46028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54</v>
      </c>
      <c r="B19" s="4">
        <v>46123</v>
      </c>
      <c r="C19" s="3" t="s">
        <v>35</v>
      </c>
      <c r="D19" s="3" t="s">
        <v>38</v>
      </c>
      <c r="E19" s="3" t="s">
        <v>21</v>
      </c>
    </row>
    <row r="20" spans="1:5" x14ac:dyDescent="0.3">
      <c r="A20" s="3" t="s">
        <v>75</v>
      </c>
      <c r="B20" s="4">
        <v>46032</v>
      </c>
      <c r="C20" s="3" t="s">
        <v>35</v>
      </c>
      <c r="D20" s="3" t="s">
        <v>38</v>
      </c>
      <c r="E20" s="3" t="s">
        <v>21</v>
      </c>
    </row>
    <row r="21" spans="1:5" x14ac:dyDescent="0.3">
      <c r="A21" s="3" t="s">
        <v>75</v>
      </c>
      <c r="B21" s="4">
        <v>46102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76</v>
      </c>
      <c r="B22" s="4">
        <v>46050</v>
      </c>
      <c r="C22" s="3" t="s">
        <v>35</v>
      </c>
      <c r="D22" s="3" t="s">
        <v>299</v>
      </c>
      <c r="E22" s="3" t="s">
        <v>17</v>
      </c>
    </row>
    <row r="23" spans="1:5" x14ac:dyDescent="0.3">
      <c r="A23" s="3" t="s">
        <v>76</v>
      </c>
      <c r="B23" s="4">
        <v>46132</v>
      </c>
      <c r="C23" s="3" t="s">
        <v>35</v>
      </c>
      <c r="D23" s="3" t="s">
        <v>299</v>
      </c>
      <c r="E23" s="3" t="s">
        <v>17</v>
      </c>
    </row>
    <row r="24" spans="1:5" x14ac:dyDescent="0.3">
      <c r="A24" s="3" t="s">
        <v>76</v>
      </c>
      <c r="B24" s="4">
        <v>46195</v>
      </c>
      <c r="C24" s="3" t="s">
        <v>35</v>
      </c>
      <c r="D24" s="3" t="s">
        <v>299</v>
      </c>
      <c r="E24" s="3" t="s">
        <v>17</v>
      </c>
    </row>
    <row r="25" spans="1:5" x14ac:dyDescent="0.3">
      <c r="A25" s="3" t="s">
        <v>73</v>
      </c>
      <c r="B25" s="4">
        <v>46044</v>
      </c>
      <c r="C25" s="3" t="s">
        <v>35</v>
      </c>
      <c r="D25" s="3" t="s">
        <v>26</v>
      </c>
      <c r="E25" s="3" t="s">
        <v>17</v>
      </c>
    </row>
    <row r="26" spans="1:5" x14ac:dyDescent="0.3">
      <c r="A26" s="3" t="s">
        <v>73</v>
      </c>
      <c r="B26" s="4">
        <v>46139</v>
      </c>
      <c r="C26" s="3" t="s">
        <v>35</v>
      </c>
      <c r="D26" s="3" t="s">
        <v>26</v>
      </c>
      <c r="E26" s="3" t="s">
        <v>17</v>
      </c>
    </row>
    <row r="27" spans="1:5" x14ac:dyDescent="0.3">
      <c r="A27" s="3" t="s">
        <v>61</v>
      </c>
      <c r="B27" s="4">
        <v>46029</v>
      </c>
      <c r="C27" s="3" t="s">
        <v>35</v>
      </c>
      <c r="D27" s="3" t="s">
        <v>26</v>
      </c>
      <c r="E27" s="3" t="s">
        <v>31</v>
      </c>
    </row>
    <row r="28" spans="1:5" x14ac:dyDescent="0.3">
      <c r="A28" s="3" t="s">
        <v>61</v>
      </c>
      <c r="B28" s="4">
        <v>46146</v>
      </c>
      <c r="C28" s="3" t="s">
        <v>35</v>
      </c>
      <c r="D28" s="3" t="s">
        <v>26</v>
      </c>
      <c r="E28" s="3" t="s">
        <v>31</v>
      </c>
    </row>
    <row r="29" spans="1:5" x14ac:dyDescent="0.3">
      <c r="A29" s="3" t="s">
        <v>61</v>
      </c>
      <c r="B29" s="4">
        <v>46224</v>
      </c>
      <c r="C29" s="3" t="s">
        <v>35</v>
      </c>
      <c r="D29" s="3" t="s">
        <v>26</v>
      </c>
      <c r="E29" s="3" t="s">
        <v>31</v>
      </c>
    </row>
    <row r="30" spans="1:5" x14ac:dyDescent="0.3">
      <c r="A30" s="3" t="s">
        <v>102</v>
      </c>
      <c r="B30" s="4">
        <v>46057</v>
      </c>
      <c r="C30" s="3" t="s">
        <v>108</v>
      </c>
      <c r="D30" s="3" t="s">
        <v>45</v>
      </c>
      <c r="E30" s="3" t="s">
        <v>17</v>
      </c>
    </row>
    <row r="31" spans="1:5" x14ac:dyDescent="0.3">
      <c r="A31" s="3" t="s">
        <v>81</v>
      </c>
      <c r="B31" s="4">
        <v>46037</v>
      </c>
      <c r="C31" s="3" t="s">
        <v>51</v>
      </c>
      <c r="D31" s="3" t="s">
        <v>22</v>
      </c>
      <c r="E31" s="3" t="s">
        <v>21</v>
      </c>
    </row>
    <row r="32" spans="1:5" x14ac:dyDescent="0.3">
      <c r="A32" s="3" t="s">
        <v>89</v>
      </c>
      <c r="B32" s="4">
        <v>46024</v>
      </c>
      <c r="C32" s="3" t="s">
        <v>51</v>
      </c>
      <c r="D32" s="3" t="s">
        <v>22</v>
      </c>
      <c r="E32" s="3" t="s">
        <v>21</v>
      </c>
    </row>
    <row r="33" spans="1:5" x14ac:dyDescent="0.3">
      <c r="A33" s="3" t="s">
        <v>90</v>
      </c>
      <c r="B33" s="4">
        <v>46029</v>
      </c>
      <c r="C33" s="3" t="s">
        <v>51</v>
      </c>
      <c r="D33" s="3" t="s">
        <v>22</v>
      </c>
      <c r="E33" s="3" t="s">
        <v>21</v>
      </c>
    </row>
    <row r="34" spans="1:5" x14ac:dyDescent="0.3">
      <c r="A34" s="3" t="s">
        <v>90</v>
      </c>
      <c r="B34" s="4">
        <v>46065</v>
      </c>
      <c r="C34" s="3" t="s">
        <v>51</v>
      </c>
      <c r="D34" s="3" t="s">
        <v>22</v>
      </c>
      <c r="E34" s="3" t="s">
        <v>21</v>
      </c>
    </row>
    <row r="35" spans="1:5" x14ac:dyDescent="0.3">
      <c r="A35" s="3" t="s">
        <v>91</v>
      </c>
      <c r="B35" s="4">
        <v>46042</v>
      </c>
      <c r="C35" s="3" t="s">
        <v>35</v>
      </c>
      <c r="D35" s="3" t="s">
        <v>38</v>
      </c>
      <c r="E35" s="3" t="s">
        <v>21</v>
      </c>
    </row>
    <row r="36" spans="1:5" x14ac:dyDescent="0.3">
      <c r="A36" s="3" t="s">
        <v>91</v>
      </c>
      <c r="B36" s="4">
        <v>46175</v>
      </c>
      <c r="C36" s="3" t="s">
        <v>35</v>
      </c>
      <c r="D36" s="3" t="s">
        <v>38</v>
      </c>
      <c r="E36" s="3" t="s">
        <v>208</v>
      </c>
    </row>
    <row r="37" spans="1:5" x14ac:dyDescent="0.3">
      <c r="A37" s="3" t="s">
        <v>67</v>
      </c>
      <c r="B37" s="4">
        <v>46046</v>
      </c>
      <c r="C37" s="3" t="s">
        <v>35</v>
      </c>
      <c r="D37" s="3" t="s">
        <v>38</v>
      </c>
      <c r="E37" s="3" t="s">
        <v>21</v>
      </c>
    </row>
    <row r="38" spans="1:5" x14ac:dyDescent="0.3">
      <c r="A38" s="3" t="s">
        <v>67</v>
      </c>
      <c r="B38" s="4">
        <v>46161</v>
      </c>
      <c r="C38" s="3" t="s">
        <v>35</v>
      </c>
      <c r="D38" s="3" t="s">
        <v>38</v>
      </c>
      <c r="E38" s="3" t="s">
        <v>208</v>
      </c>
    </row>
    <row r="39" spans="1:5" x14ac:dyDescent="0.3">
      <c r="A39" s="3" t="s">
        <v>77</v>
      </c>
      <c r="B39" s="4">
        <v>46031</v>
      </c>
      <c r="C39" s="3" t="s">
        <v>51</v>
      </c>
      <c r="D39" s="3" t="s">
        <v>22</v>
      </c>
      <c r="E39" s="3" t="s">
        <v>21</v>
      </c>
    </row>
    <row r="40" spans="1:5" x14ac:dyDescent="0.3">
      <c r="A40" s="3" t="s">
        <v>106</v>
      </c>
      <c r="B40" s="4">
        <v>46024</v>
      </c>
      <c r="C40" s="3" t="s">
        <v>51</v>
      </c>
      <c r="D40" s="3" t="s">
        <v>22</v>
      </c>
      <c r="E40" s="3" t="s">
        <v>21</v>
      </c>
    </row>
    <row r="41" spans="1:5" x14ac:dyDescent="0.3">
      <c r="A41" s="3" t="s">
        <v>94</v>
      </c>
      <c r="B41" s="4">
        <v>46066</v>
      </c>
      <c r="C41" s="3" t="s">
        <v>108</v>
      </c>
      <c r="D41" s="3" t="s">
        <v>300</v>
      </c>
      <c r="E41" s="3" t="s">
        <v>21</v>
      </c>
    </row>
    <row r="42" spans="1:5" x14ac:dyDescent="0.3">
      <c r="A42" s="3" t="s">
        <v>105</v>
      </c>
      <c r="B42" s="4">
        <v>46052</v>
      </c>
      <c r="C42" s="3" t="s">
        <v>51</v>
      </c>
      <c r="D42" s="3" t="s">
        <v>22</v>
      </c>
      <c r="E42" s="3" t="s">
        <v>21</v>
      </c>
    </row>
    <row r="43" spans="1:5" x14ac:dyDescent="0.3">
      <c r="A43" s="3" t="s">
        <v>59</v>
      </c>
      <c r="B43" s="4">
        <v>46052</v>
      </c>
      <c r="C43" s="3" t="s">
        <v>51</v>
      </c>
      <c r="D43" s="3" t="s">
        <v>22</v>
      </c>
      <c r="E43" s="3" t="s">
        <v>21</v>
      </c>
    </row>
    <row r="44" spans="1:5" x14ac:dyDescent="0.3">
      <c r="A44" s="3" t="s">
        <v>98</v>
      </c>
      <c r="B44" s="4">
        <v>46034</v>
      </c>
      <c r="C44" s="3" t="s">
        <v>51</v>
      </c>
      <c r="D44" s="3" t="s">
        <v>40</v>
      </c>
      <c r="E44" s="3" t="s">
        <v>17</v>
      </c>
    </row>
    <row r="45" spans="1:5" x14ac:dyDescent="0.3">
      <c r="A45" s="3" t="s">
        <v>87</v>
      </c>
      <c r="B45" s="4">
        <v>46034</v>
      </c>
      <c r="C45" s="3" t="s">
        <v>51</v>
      </c>
      <c r="D45" s="3" t="s">
        <v>22</v>
      </c>
      <c r="E45" s="3" t="s">
        <v>21</v>
      </c>
    </row>
    <row r="46" spans="1:5" x14ac:dyDescent="0.3">
      <c r="A46" s="3" t="s">
        <v>99</v>
      </c>
      <c r="B46" s="4">
        <v>46029</v>
      </c>
      <c r="C46" s="3" t="s">
        <v>51</v>
      </c>
      <c r="D46" s="3" t="s">
        <v>22</v>
      </c>
      <c r="E46" s="3" t="s">
        <v>21</v>
      </c>
    </row>
    <row r="47" spans="1:5" x14ac:dyDescent="0.3">
      <c r="A47" s="3" t="s">
        <v>79</v>
      </c>
      <c r="B47" s="4">
        <v>46029</v>
      </c>
      <c r="C47" s="3" t="s">
        <v>35</v>
      </c>
      <c r="D47" s="3" t="s">
        <v>299</v>
      </c>
      <c r="E47" s="3" t="s">
        <v>17</v>
      </c>
    </row>
    <row r="48" spans="1:5" x14ac:dyDescent="0.3">
      <c r="A48" s="3" t="s">
        <v>79</v>
      </c>
      <c r="B48" s="4">
        <v>46162</v>
      </c>
      <c r="C48" s="3" t="s">
        <v>35</v>
      </c>
      <c r="D48" s="3" t="s">
        <v>299</v>
      </c>
      <c r="E48" s="3" t="s">
        <v>17</v>
      </c>
    </row>
    <row r="49" spans="1:5" x14ac:dyDescent="0.3">
      <c r="A49" s="3" t="s">
        <v>55</v>
      </c>
      <c r="B49" s="4">
        <v>46053</v>
      </c>
      <c r="C49" s="3" t="s">
        <v>35</v>
      </c>
      <c r="D49" s="3" t="s">
        <v>26</v>
      </c>
      <c r="E49" s="3" t="s">
        <v>17</v>
      </c>
    </row>
    <row r="50" spans="1:5" x14ac:dyDescent="0.3">
      <c r="A50" s="3" t="s">
        <v>55</v>
      </c>
      <c r="B50" s="4">
        <v>46128</v>
      </c>
      <c r="C50" s="3" t="s">
        <v>35</v>
      </c>
      <c r="D50" s="3" t="s">
        <v>26</v>
      </c>
      <c r="E50" s="3" t="s">
        <v>21</v>
      </c>
    </row>
    <row r="51" spans="1:5" x14ac:dyDescent="0.3">
      <c r="A51" s="3" t="s">
        <v>55</v>
      </c>
      <c r="B51" s="4">
        <v>46220</v>
      </c>
      <c r="C51" s="3" t="s">
        <v>35</v>
      </c>
      <c r="D51" s="3" t="s">
        <v>26</v>
      </c>
      <c r="E51" s="3" t="s">
        <v>208</v>
      </c>
    </row>
    <row r="52" spans="1:5" x14ac:dyDescent="0.3">
      <c r="A52" s="3" t="s">
        <v>60</v>
      </c>
      <c r="B52" s="4">
        <v>46048</v>
      </c>
      <c r="C52" s="3" t="s">
        <v>51</v>
      </c>
      <c r="D52" s="3" t="s">
        <v>301</v>
      </c>
      <c r="E52" s="3" t="s">
        <v>21</v>
      </c>
    </row>
    <row r="53" spans="1:5" x14ac:dyDescent="0.3">
      <c r="A53" s="3" t="s">
        <v>80</v>
      </c>
      <c r="B53" s="4">
        <v>46044</v>
      </c>
      <c r="C53" s="3" t="s">
        <v>51</v>
      </c>
      <c r="D53" s="3" t="s">
        <v>40</v>
      </c>
      <c r="E53" s="3" t="s">
        <v>17</v>
      </c>
    </row>
    <row r="54" spans="1:5" x14ac:dyDescent="0.3">
      <c r="A54" s="3" t="s">
        <v>97</v>
      </c>
      <c r="B54" s="4">
        <v>46071</v>
      </c>
      <c r="C54" s="3" t="s">
        <v>51</v>
      </c>
      <c r="D54" s="3" t="s">
        <v>71</v>
      </c>
      <c r="E54" s="3" t="s">
        <v>21</v>
      </c>
    </row>
    <row r="55" spans="1:5" x14ac:dyDescent="0.3">
      <c r="A55" s="3" t="s">
        <v>41</v>
      </c>
      <c r="B55" s="4">
        <v>46064</v>
      </c>
      <c r="C55" s="3" t="s">
        <v>51</v>
      </c>
      <c r="D55" s="3" t="s">
        <v>40</v>
      </c>
      <c r="E55" s="3" t="s">
        <v>17</v>
      </c>
    </row>
    <row r="56" spans="1:5" x14ac:dyDescent="0.3">
      <c r="A56" s="3" t="s">
        <v>41</v>
      </c>
      <c r="B56" s="4">
        <v>46171</v>
      </c>
      <c r="C56" s="3" t="s">
        <v>51</v>
      </c>
      <c r="D56" s="3" t="s">
        <v>40</v>
      </c>
      <c r="E56" s="3" t="s">
        <v>17</v>
      </c>
    </row>
    <row r="57" spans="1:5" x14ac:dyDescent="0.3">
      <c r="A57" s="3" t="s">
        <v>57</v>
      </c>
      <c r="B57" s="4">
        <v>46059</v>
      </c>
      <c r="C57" s="3" t="s">
        <v>35</v>
      </c>
      <c r="D57" s="3" t="s">
        <v>26</v>
      </c>
      <c r="E57" s="3" t="s">
        <v>31</v>
      </c>
    </row>
    <row r="58" spans="1:5" x14ac:dyDescent="0.3">
      <c r="A58" s="3" t="s">
        <v>57</v>
      </c>
      <c r="B58" s="4">
        <v>46168</v>
      </c>
      <c r="C58" s="3" t="s">
        <v>35</v>
      </c>
      <c r="D58" s="3" t="s">
        <v>26</v>
      </c>
      <c r="E58" s="3" t="s">
        <v>31</v>
      </c>
    </row>
    <row r="59" spans="1:5" x14ac:dyDescent="0.3">
      <c r="A59" s="3" t="s">
        <v>83</v>
      </c>
      <c r="B59" s="4">
        <v>46028</v>
      </c>
      <c r="C59" s="3" t="s">
        <v>51</v>
      </c>
      <c r="D59" s="3" t="s">
        <v>302</v>
      </c>
      <c r="E59" s="3" t="s">
        <v>21</v>
      </c>
    </row>
    <row r="60" spans="1:5" x14ac:dyDescent="0.3">
      <c r="A60" s="3" t="s">
        <v>72</v>
      </c>
      <c r="B60" s="4">
        <v>46034</v>
      </c>
      <c r="C60" s="3" t="s">
        <v>51</v>
      </c>
      <c r="D60" s="3" t="s">
        <v>303</v>
      </c>
      <c r="E60" s="3" t="s">
        <v>21</v>
      </c>
    </row>
    <row r="61" spans="1:5" x14ac:dyDescent="0.3">
      <c r="A61" s="3" t="s">
        <v>100</v>
      </c>
      <c r="B61" s="4">
        <v>46037</v>
      </c>
      <c r="C61" s="3" t="s">
        <v>51</v>
      </c>
      <c r="D61" s="3" t="s">
        <v>302</v>
      </c>
      <c r="E61" s="3" t="s">
        <v>21</v>
      </c>
    </row>
    <row r="62" spans="1:5" x14ac:dyDescent="0.3">
      <c r="A62" s="3" t="s">
        <v>100</v>
      </c>
      <c r="B62" s="4">
        <v>46066</v>
      </c>
      <c r="C62" s="3" t="s">
        <v>51</v>
      </c>
      <c r="D62" s="3" t="s">
        <v>302</v>
      </c>
      <c r="E62" s="3" t="s">
        <v>21</v>
      </c>
    </row>
    <row r="63" spans="1:5" x14ac:dyDescent="0.3">
      <c r="A63" s="3" t="s">
        <v>93</v>
      </c>
      <c r="B63" s="4">
        <v>46050</v>
      </c>
      <c r="C63" s="3" t="s">
        <v>51</v>
      </c>
      <c r="D63" s="3" t="s">
        <v>303</v>
      </c>
      <c r="E63" s="3" t="s">
        <v>21</v>
      </c>
    </row>
    <row r="64" spans="1:5" x14ac:dyDescent="0.3">
      <c r="A64" s="3" t="s">
        <v>74</v>
      </c>
      <c r="B64" s="4">
        <v>46038</v>
      </c>
      <c r="C64" s="3" t="s">
        <v>51</v>
      </c>
      <c r="D64" s="3" t="s">
        <v>22</v>
      </c>
      <c r="E64" s="3" t="s">
        <v>21</v>
      </c>
    </row>
    <row r="65" spans="1:5" x14ac:dyDescent="0.3">
      <c r="A65" s="3" t="s">
        <v>101</v>
      </c>
      <c r="B65" s="4">
        <v>46055</v>
      </c>
      <c r="C65" s="3" t="s">
        <v>35</v>
      </c>
      <c r="D65" s="3" t="s">
        <v>38</v>
      </c>
      <c r="E65" s="3" t="s">
        <v>21</v>
      </c>
    </row>
    <row r="66" spans="1:5" x14ac:dyDescent="0.3">
      <c r="A66" s="3" t="s">
        <v>101</v>
      </c>
      <c r="B66" s="4">
        <v>46177</v>
      </c>
      <c r="C66" s="3" t="s">
        <v>35</v>
      </c>
      <c r="D66" s="3" t="s">
        <v>38</v>
      </c>
      <c r="E66" s="3" t="s">
        <v>208</v>
      </c>
    </row>
    <row r="67" spans="1:5" x14ac:dyDescent="0.3">
      <c r="A67" s="3" t="s">
        <v>63</v>
      </c>
      <c r="B67" s="4">
        <v>46050</v>
      </c>
      <c r="C67" s="3" t="s">
        <v>35</v>
      </c>
      <c r="D67" s="3" t="s">
        <v>26</v>
      </c>
      <c r="E67" s="3" t="s">
        <v>31</v>
      </c>
    </row>
    <row r="68" spans="1:5" x14ac:dyDescent="0.3">
      <c r="A68" s="3" t="s">
        <v>43</v>
      </c>
      <c r="B68" s="4">
        <v>46036</v>
      </c>
      <c r="C68" s="3" t="s">
        <v>35</v>
      </c>
      <c r="D68" s="3" t="s">
        <v>26</v>
      </c>
      <c r="E68" s="3" t="s">
        <v>21</v>
      </c>
    </row>
    <row r="69" spans="1:5" x14ac:dyDescent="0.3">
      <c r="A69" s="3" t="s">
        <v>43</v>
      </c>
      <c r="B69" s="4">
        <v>46158</v>
      </c>
      <c r="C69" s="3" t="s">
        <v>35</v>
      </c>
      <c r="D69" s="3" t="s">
        <v>26</v>
      </c>
      <c r="E69" s="3" t="s">
        <v>17</v>
      </c>
    </row>
    <row r="70" spans="1:5" x14ac:dyDescent="0.3">
      <c r="A70" s="3" t="s">
        <v>42</v>
      </c>
      <c r="B70" s="4">
        <v>46051</v>
      </c>
      <c r="C70" s="3" t="s">
        <v>51</v>
      </c>
      <c r="D70" s="3" t="s">
        <v>22</v>
      </c>
      <c r="E70" s="3" t="s">
        <v>21</v>
      </c>
    </row>
    <row r="71" spans="1:5" x14ac:dyDescent="0.3">
      <c r="A71" s="3" t="s">
        <v>32</v>
      </c>
      <c r="B71" s="4">
        <v>46031</v>
      </c>
      <c r="C71" s="3" t="s">
        <v>108</v>
      </c>
      <c r="D71" s="3" t="s">
        <v>34</v>
      </c>
      <c r="E71" s="3" t="s">
        <v>17</v>
      </c>
    </row>
    <row r="72" spans="1:5" x14ac:dyDescent="0.3">
      <c r="A72" s="3" t="s">
        <v>56</v>
      </c>
      <c r="B72" s="4">
        <v>46049</v>
      </c>
      <c r="C72" s="3" t="s">
        <v>35</v>
      </c>
      <c r="D72" s="3" t="s">
        <v>26</v>
      </c>
      <c r="E72" s="3" t="s">
        <v>31</v>
      </c>
    </row>
    <row r="73" spans="1:5" x14ac:dyDescent="0.3">
      <c r="A73" s="3" t="s">
        <v>56</v>
      </c>
      <c r="B73" s="4">
        <v>46140</v>
      </c>
      <c r="C73" s="3" t="s">
        <v>35</v>
      </c>
      <c r="D73" s="3" t="s">
        <v>26</v>
      </c>
      <c r="E73" s="3" t="s">
        <v>31</v>
      </c>
    </row>
    <row r="74" spans="1:5" x14ac:dyDescent="0.3">
      <c r="A74" s="3" t="s">
        <v>56</v>
      </c>
      <c r="B74" s="4">
        <v>46216</v>
      </c>
      <c r="C74" s="3" t="s">
        <v>35</v>
      </c>
      <c r="D74" s="3" t="s">
        <v>26</v>
      </c>
      <c r="E74" s="3" t="s">
        <v>17</v>
      </c>
    </row>
    <row r="75" spans="1:5" x14ac:dyDescent="0.3">
      <c r="A75" s="3" t="s">
        <v>65</v>
      </c>
      <c r="B75" s="4">
        <v>46043</v>
      </c>
      <c r="C75" s="3" t="s">
        <v>35</v>
      </c>
      <c r="D75" s="3" t="s">
        <v>26</v>
      </c>
      <c r="E75" s="3" t="s">
        <v>17</v>
      </c>
    </row>
    <row r="76" spans="1:5" x14ac:dyDescent="0.3">
      <c r="A76" s="3" t="s">
        <v>65</v>
      </c>
      <c r="B76" s="4">
        <v>46146</v>
      </c>
      <c r="C76" s="3" t="s">
        <v>35</v>
      </c>
      <c r="D76" s="3" t="s">
        <v>26</v>
      </c>
      <c r="E76" s="3" t="s">
        <v>17</v>
      </c>
    </row>
    <row r="77" spans="1:5" x14ac:dyDescent="0.3">
      <c r="A77" s="3" t="s">
        <v>65</v>
      </c>
      <c r="B77" s="4">
        <v>46226</v>
      </c>
      <c r="C77" s="3" t="s">
        <v>35</v>
      </c>
      <c r="D77" s="3" t="s">
        <v>26</v>
      </c>
      <c r="E77" s="3" t="s">
        <v>17</v>
      </c>
    </row>
    <row r="78" spans="1:5" x14ac:dyDescent="0.3">
      <c r="A78" s="3" t="s">
        <v>29</v>
      </c>
      <c r="B78" s="4">
        <v>46028</v>
      </c>
      <c r="C78" s="3" t="s">
        <v>35</v>
      </c>
      <c r="D78" s="3" t="s">
        <v>26</v>
      </c>
      <c r="E78" s="3" t="s">
        <v>31</v>
      </c>
    </row>
    <row r="79" spans="1:5" x14ac:dyDescent="0.3">
      <c r="A79" s="3" t="s">
        <v>29</v>
      </c>
      <c r="B79" s="4">
        <v>46118</v>
      </c>
      <c r="C79" s="3" t="s">
        <v>35</v>
      </c>
      <c r="D79" s="3" t="s">
        <v>26</v>
      </c>
      <c r="E79" s="3" t="s">
        <v>31</v>
      </c>
    </row>
    <row r="80" spans="1:5" x14ac:dyDescent="0.3">
      <c r="A80" s="3" t="s">
        <v>29</v>
      </c>
      <c r="B80" s="4">
        <v>46198</v>
      </c>
      <c r="C80" s="3" t="s">
        <v>35</v>
      </c>
      <c r="D80" s="3" t="s">
        <v>26</v>
      </c>
      <c r="E80" s="3" t="s">
        <v>31</v>
      </c>
    </row>
    <row r="81" spans="1:5" x14ac:dyDescent="0.3">
      <c r="A81" s="3" t="s">
        <v>58</v>
      </c>
      <c r="B81" s="4">
        <v>46050</v>
      </c>
      <c r="C81" s="3" t="s">
        <v>51</v>
      </c>
      <c r="D81" s="3" t="s">
        <v>302</v>
      </c>
      <c r="E81" s="3" t="s">
        <v>21</v>
      </c>
    </row>
    <row r="82" spans="1:5" x14ac:dyDescent="0.3">
      <c r="A82" s="3" t="s">
        <v>66</v>
      </c>
      <c r="B82" s="4">
        <v>46052</v>
      </c>
      <c r="C82" s="3" t="s">
        <v>51</v>
      </c>
      <c r="D82" s="3" t="s">
        <v>22</v>
      </c>
      <c r="E82" s="3" t="s">
        <v>21</v>
      </c>
    </row>
    <row r="83" spans="1:5" x14ac:dyDescent="0.3">
      <c r="A83" s="3" t="s">
        <v>66</v>
      </c>
      <c r="B83" s="4">
        <v>46065</v>
      </c>
      <c r="C83" s="3" t="s">
        <v>51</v>
      </c>
      <c r="D83" s="3" t="s">
        <v>22</v>
      </c>
      <c r="E83" s="3" t="s">
        <v>21</v>
      </c>
    </row>
    <row r="84" spans="1:5" x14ac:dyDescent="0.3">
      <c r="A84" s="3" t="s">
        <v>85</v>
      </c>
      <c r="B84" s="4">
        <v>46035</v>
      </c>
      <c r="C84" s="3" t="s">
        <v>51</v>
      </c>
      <c r="D84" s="3" t="s">
        <v>303</v>
      </c>
      <c r="E84" s="3" t="s">
        <v>21</v>
      </c>
    </row>
    <row r="85" spans="1:5" x14ac:dyDescent="0.3">
      <c r="A85" s="3" t="s">
        <v>145</v>
      </c>
      <c r="B85" s="4">
        <v>46076</v>
      </c>
      <c r="C85" s="3" t="s">
        <v>35</v>
      </c>
      <c r="D85" s="3" t="s">
        <v>299</v>
      </c>
      <c r="E85" s="3" t="s">
        <v>17</v>
      </c>
    </row>
    <row r="86" spans="1:5" x14ac:dyDescent="0.3">
      <c r="A86" s="3" t="s">
        <v>145</v>
      </c>
      <c r="B86" s="4">
        <v>46169</v>
      </c>
      <c r="C86" s="3" t="s">
        <v>35</v>
      </c>
      <c r="D86" s="3" t="s">
        <v>299</v>
      </c>
      <c r="E86" s="3" t="s">
        <v>17</v>
      </c>
    </row>
    <row r="87" spans="1:5" x14ac:dyDescent="0.3">
      <c r="A87" s="3" t="s">
        <v>147</v>
      </c>
      <c r="B87" s="4">
        <v>46079</v>
      </c>
      <c r="C87" s="3" t="s">
        <v>35</v>
      </c>
      <c r="D87" s="3" t="s">
        <v>26</v>
      </c>
      <c r="E87" s="3" t="s">
        <v>31</v>
      </c>
    </row>
    <row r="88" spans="1:5" x14ac:dyDescent="0.3">
      <c r="A88" s="3" t="s">
        <v>147</v>
      </c>
      <c r="B88" s="4">
        <v>46191</v>
      </c>
      <c r="C88" s="3" t="s">
        <v>35</v>
      </c>
      <c r="D88" s="3" t="s">
        <v>26</v>
      </c>
      <c r="E88" s="3" t="s">
        <v>17</v>
      </c>
    </row>
    <row r="89" spans="1:5" x14ac:dyDescent="0.3">
      <c r="A89" s="3" t="s">
        <v>148</v>
      </c>
      <c r="B89" s="4">
        <v>46080</v>
      </c>
      <c r="C89" s="3" t="s">
        <v>35</v>
      </c>
      <c r="D89" s="3" t="s">
        <v>26</v>
      </c>
      <c r="E89" s="3" t="s">
        <v>17</v>
      </c>
    </row>
    <row r="90" spans="1:5" x14ac:dyDescent="0.3">
      <c r="A90" s="3" t="s">
        <v>148</v>
      </c>
      <c r="B90" s="4">
        <v>46160</v>
      </c>
      <c r="C90" s="3" t="s">
        <v>35</v>
      </c>
      <c r="D90" s="3" t="s">
        <v>26</v>
      </c>
      <c r="E90" s="3" t="s">
        <v>17</v>
      </c>
    </row>
    <row r="91" spans="1:5" x14ac:dyDescent="0.3">
      <c r="A91" s="3" t="s">
        <v>150</v>
      </c>
      <c r="B91" s="4">
        <v>46086</v>
      </c>
      <c r="C91" s="3" t="s">
        <v>51</v>
      </c>
      <c r="D91" s="3" t="s">
        <v>151</v>
      </c>
      <c r="E91" s="3" t="s">
        <v>31</v>
      </c>
    </row>
    <row r="92" spans="1:5" x14ac:dyDescent="0.3">
      <c r="A92" s="3" t="s">
        <v>152</v>
      </c>
      <c r="B92" s="4">
        <v>46086</v>
      </c>
      <c r="C92" s="3" t="s">
        <v>51</v>
      </c>
      <c r="D92" s="3" t="s">
        <v>304</v>
      </c>
      <c r="E92" s="3" t="s">
        <v>17</v>
      </c>
    </row>
    <row r="93" spans="1:5" x14ac:dyDescent="0.3">
      <c r="A93" s="3" t="s">
        <v>153</v>
      </c>
      <c r="B93" s="4">
        <v>46086</v>
      </c>
      <c r="C93" s="3" t="s">
        <v>51</v>
      </c>
      <c r="D93" s="3" t="s">
        <v>22</v>
      </c>
      <c r="E93" s="3" t="s">
        <v>21</v>
      </c>
    </row>
    <row r="94" spans="1:5" x14ac:dyDescent="0.3">
      <c r="A94" s="3" t="s">
        <v>154</v>
      </c>
      <c r="B94" s="4">
        <v>46087</v>
      </c>
      <c r="C94" s="3" t="s">
        <v>51</v>
      </c>
      <c r="D94" s="3" t="s">
        <v>304</v>
      </c>
      <c r="E94" s="3" t="s">
        <v>17</v>
      </c>
    </row>
    <row r="95" spans="1:5" x14ac:dyDescent="0.3">
      <c r="A95" s="3" t="s">
        <v>156</v>
      </c>
      <c r="B95" s="4">
        <v>46090</v>
      </c>
      <c r="C95" s="3" t="s">
        <v>51</v>
      </c>
      <c r="D95" s="3" t="s">
        <v>304</v>
      </c>
      <c r="E95" s="3" t="s">
        <v>17</v>
      </c>
    </row>
    <row r="96" spans="1:5" x14ac:dyDescent="0.3">
      <c r="A96" s="3" t="s">
        <v>157</v>
      </c>
      <c r="B96" s="4">
        <v>46090</v>
      </c>
      <c r="C96" s="3" t="s">
        <v>51</v>
      </c>
      <c r="D96" s="3" t="s">
        <v>26</v>
      </c>
      <c r="E96" s="3" t="s">
        <v>21</v>
      </c>
    </row>
    <row r="97" spans="1:5" x14ac:dyDescent="0.3">
      <c r="A97" s="3" t="s">
        <v>158</v>
      </c>
      <c r="B97" s="4">
        <v>46090</v>
      </c>
      <c r="C97" s="3" t="s">
        <v>35</v>
      </c>
      <c r="D97" s="3" t="s">
        <v>299</v>
      </c>
      <c r="E97" s="3" t="s">
        <v>17</v>
      </c>
    </row>
    <row r="98" spans="1:5" x14ac:dyDescent="0.3">
      <c r="A98" s="3" t="s">
        <v>159</v>
      </c>
      <c r="B98" s="4">
        <v>46091</v>
      </c>
      <c r="C98" s="3" t="s">
        <v>51</v>
      </c>
      <c r="D98" s="3" t="s">
        <v>304</v>
      </c>
      <c r="E98" s="3" t="s">
        <v>17</v>
      </c>
    </row>
    <row r="99" spans="1:5" x14ac:dyDescent="0.3">
      <c r="A99" s="3" t="s">
        <v>160</v>
      </c>
      <c r="B99" s="4">
        <v>46091</v>
      </c>
      <c r="C99" s="3" t="s">
        <v>108</v>
      </c>
      <c r="D99" s="3" t="s">
        <v>45</v>
      </c>
      <c r="E99" s="3" t="s">
        <v>17</v>
      </c>
    </row>
    <row r="100" spans="1:5" x14ac:dyDescent="0.3">
      <c r="A100" s="3" t="s">
        <v>162</v>
      </c>
      <c r="B100" s="4">
        <v>46092</v>
      </c>
      <c r="C100" s="3" t="s">
        <v>51</v>
      </c>
      <c r="D100" s="3" t="s">
        <v>302</v>
      </c>
      <c r="E100" s="3" t="s">
        <v>21</v>
      </c>
    </row>
    <row r="101" spans="1:5" x14ac:dyDescent="0.3">
      <c r="A101" s="3" t="s">
        <v>164</v>
      </c>
      <c r="B101" s="4">
        <v>46092</v>
      </c>
      <c r="C101" s="3" t="s">
        <v>51</v>
      </c>
      <c r="D101" s="3" t="s">
        <v>22</v>
      </c>
      <c r="E101" s="3" t="s">
        <v>21</v>
      </c>
    </row>
    <row r="102" spans="1:5" x14ac:dyDescent="0.3">
      <c r="A102" s="3" t="s">
        <v>165</v>
      </c>
      <c r="B102" s="4">
        <v>46094</v>
      </c>
      <c r="C102" s="3" t="s">
        <v>35</v>
      </c>
      <c r="D102" s="3" t="s">
        <v>26</v>
      </c>
      <c r="E102" s="3" t="s">
        <v>21</v>
      </c>
    </row>
    <row r="103" spans="1:5" x14ac:dyDescent="0.3">
      <c r="A103" s="3" t="s">
        <v>165</v>
      </c>
      <c r="B103" s="4">
        <v>46183</v>
      </c>
      <c r="C103" s="3" t="s">
        <v>35</v>
      </c>
      <c r="D103" s="3" t="s">
        <v>26</v>
      </c>
      <c r="E103" s="3" t="s">
        <v>208</v>
      </c>
    </row>
    <row r="104" spans="1:5" x14ac:dyDescent="0.3">
      <c r="A104" s="3" t="s">
        <v>166</v>
      </c>
      <c r="B104" s="4">
        <v>46095</v>
      </c>
      <c r="C104" s="3" t="s">
        <v>35</v>
      </c>
      <c r="D104" s="3" t="s">
        <v>26</v>
      </c>
      <c r="E104" s="3" t="s">
        <v>17</v>
      </c>
    </row>
    <row r="105" spans="1:5" x14ac:dyDescent="0.3">
      <c r="A105" s="3" t="s">
        <v>166</v>
      </c>
      <c r="B105" s="4">
        <v>46223</v>
      </c>
      <c r="C105" s="3" t="s">
        <v>35</v>
      </c>
      <c r="D105" s="3" t="s">
        <v>26</v>
      </c>
      <c r="E105" s="3" t="s">
        <v>17</v>
      </c>
    </row>
    <row r="106" spans="1:5" x14ac:dyDescent="0.3">
      <c r="A106" s="3" t="s">
        <v>167</v>
      </c>
      <c r="B106" s="4">
        <v>46098</v>
      </c>
      <c r="C106" s="3" t="s">
        <v>35</v>
      </c>
      <c r="D106" s="3" t="s">
        <v>22</v>
      </c>
      <c r="E106" s="3" t="s">
        <v>21</v>
      </c>
    </row>
    <row r="107" spans="1:5" x14ac:dyDescent="0.3">
      <c r="A107" s="3" t="s">
        <v>168</v>
      </c>
      <c r="B107" s="4">
        <v>46104</v>
      </c>
      <c r="C107" s="3" t="s">
        <v>51</v>
      </c>
      <c r="D107" s="3" t="s">
        <v>302</v>
      </c>
      <c r="E107" s="3" t="s">
        <v>21</v>
      </c>
    </row>
    <row r="108" spans="1:5" x14ac:dyDescent="0.3">
      <c r="A108" s="3" t="s">
        <v>169</v>
      </c>
      <c r="B108" s="4">
        <v>46107</v>
      </c>
      <c r="C108" s="3" t="s">
        <v>51</v>
      </c>
      <c r="D108" s="3" t="s">
        <v>303</v>
      </c>
      <c r="E108" s="3" t="s">
        <v>21</v>
      </c>
    </row>
    <row r="109" spans="1:5" x14ac:dyDescent="0.3">
      <c r="A109" s="3" t="s">
        <v>170</v>
      </c>
      <c r="B109" s="4">
        <v>46111</v>
      </c>
      <c r="C109" s="3" t="s">
        <v>108</v>
      </c>
      <c r="D109" s="3" t="s">
        <v>172</v>
      </c>
      <c r="E109" s="3" t="s">
        <v>21</v>
      </c>
    </row>
    <row r="110" spans="1:5" x14ac:dyDescent="0.3">
      <c r="A110" s="3" t="s">
        <v>173</v>
      </c>
      <c r="B110" s="4">
        <v>46111</v>
      </c>
      <c r="C110" s="3" t="s">
        <v>35</v>
      </c>
      <c r="D110" s="3" t="s">
        <v>299</v>
      </c>
      <c r="E110" s="3" t="s">
        <v>17</v>
      </c>
    </row>
    <row r="111" spans="1:5" x14ac:dyDescent="0.3">
      <c r="A111" s="3" t="s">
        <v>174</v>
      </c>
      <c r="B111" s="4">
        <v>46113</v>
      </c>
      <c r="C111" s="3" t="s">
        <v>51</v>
      </c>
      <c r="D111" s="3" t="s">
        <v>303</v>
      </c>
      <c r="E111" s="3" t="s">
        <v>21</v>
      </c>
    </row>
    <row r="112" spans="1:5" x14ac:dyDescent="0.3">
      <c r="A112" s="3" t="s">
        <v>175</v>
      </c>
      <c r="B112" s="4">
        <v>46121</v>
      </c>
      <c r="C112" s="3" t="s">
        <v>35</v>
      </c>
      <c r="D112" s="3" t="s">
        <v>38</v>
      </c>
      <c r="E112" s="3" t="s">
        <v>21</v>
      </c>
    </row>
    <row r="113" spans="1:5" x14ac:dyDescent="0.3">
      <c r="A113" s="3" t="s">
        <v>176</v>
      </c>
      <c r="B113" s="4">
        <v>46122</v>
      </c>
      <c r="C113" s="3" t="s">
        <v>51</v>
      </c>
      <c r="D113" s="3" t="s">
        <v>302</v>
      </c>
      <c r="E113" s="3" t="s">
        <v>21</v>
      </c>
    </row>
    <row r="114" spans="1:5" x14ac:dyDescent="0.3">
      <c r="A114" s="3" t="s">
        <v>177</v>
      </c>
      <c r="B114" s="4">
        <v>46122</v>
      </c>
      <c r="C114" s="3" t="s">
        <v>51</v>
      </c>
      <c r="D114" s="3" t="s">
        <v>303</v>
      </c>
      <c r="E114" s="3" t="s">
        <v>21</v>
      </c>
    </row>
    <row r="115" spans="1:5" x14ac:dyDescent="0.3">
      <c r="A115" s="3" t="s">
        <v>179</v>
      </c>
      <c r="B115" s="4">
        <v>46125</v>
      </c>
      <c r="C115" s="3" t="s">
        <v>51</v>
      </c>
      <c r="D115" s="3" t="s">
        <v>180</v>
      </c>
      <c r="E115" s="3" t="s">
        <v>21</v>
      </c>
    </row>
    <row r="116" spans="1:5" x14ac:dyDescent="0.3">
      <c r="A116" s="3" t="s">
        <v>181</v>
      </c>
      <c r="B116" s="4">
        <v>46125</v>
      </c>
      <c r="C116" s="3" t="s">
        <v>35</v>
      </c>
      <c r="D116" s="3" t="s">
        <v>26</v>
      </c>
      <c r="E116" s="3" t="s">
        <v>21</v>
      </c>
    </row>
    <row r="117" spans="1:5" x14ac:dyDescent="0.3">
      <c r="A117" s="3" t="s">
        <v>181</v>
      </c>
      <c r="B117" s="4">
        <v>46216</v>
      </c>
      <c r="C117" s="3" t="s">
        <v>35</v>
      </c>
      <c r="D117" s="3" t="s">
        <v>26</v>
      </c>
      <c r="E117" s="3" t="s">
        <v>208</v>
      </c>
    </row>
    <row r="118" spans="1:5" x14ac:dyDescent="0.3">
      <c r="A118" s="3" t="s">
        <v>182</v>
      </c>
      <c r="B118" s="4">
        <v>46125</v>
      </c>
      <c r="C118" s="3" t="s">
        <v>51</v>
      </c>
      <c r="D118" s="3" t="s">
        <v>183</v>
      </c>
      <c r="E118" s="3" t="s">
        <v>21</v>
      </c>
    </row>
    <row r="119" spans="1:5" x14ac:dyDescent="0.3">
      <c r="A119" s="3" t="s">
        <v>184</v>
      </c>
      <c r="B119" s="4">
        <v>46125</v>
      </c>
      <c r="C119" s="3" t="s">
        <v>51</v>
      </c>
      <c r="D119" s="3" t="s">
        <v>22</v>
      </c>
      <c r="E119" s="3" t="s">
        <v>21</v>
      </c>
    </row>
    <row r="120" spans="1:5" x14ac:dyDescent="0.3">
      <c r="A120" s="3" t="s">
        <v>185</v>
      </c>
      <c r="B120" s="4">
        <v>46125</v>
      </c>
      <c r="C120" s="3" t="s">
        <v>51</v>
      </c>
      <c r="D120" s="3" t="s">
        <v>302</v>
      </c>
      <c r="E120" s="3" t="s">
        <v>21</v>
      </c>
    </row>
    <row r="121" spans="1:5" x14ac:dyDescent="0.3">
      <c r="A121" s="3" t="s">
        <v>186</v>
      </c>
      <c r="B121" s="4">
        <v>46125</v>
      </c>
      <c r="C121" s="3" t="s">
        <v>51</v>
      </c>
      <c r="D121" s="3" t="s">
        <v>302</v>
      </c>
      <c r="E121" s="3" t="s">
        <v>21</v>
      </c>
    </row>
    <row r="122" spans="1:5" x14ac:dyDescent="0.3">
      <c r="A122" s="3" t="s">
        <v>187</v>
      </c>
      <c r="B122" s="4">
        <v>46126</v>
      </c>
      <c r="C122" s="3" t="s">
        <v>51</v>
      </c>
      <c r="D122" s="3" t="s">
        <v>302</v>
      </c>
      <c r="E122" s="3" t="s">
        <v>21</v>
      </c>
    </row>
    <row r="123" spans="1:5" x14ac:dyDescent="0.3">
      <c r="A123" s="3" t="s">
        <v>188</v>
      </c>
      <c r="B123" s="4">
        <v>46127</v>
      </c>
      <c r="C123" s="3" t="s">
        <v>35</v>
      </c>
      <c r="D123" s="3" t="s">
        <v>180</v>
      </c>
      <c r="E123" s="3" t="s">
        <v>21</v>
      </c>
    </row>
    <row r="124" spans="1:5" x14ac:dyDescent="0.3">
      <c r="A124" s="3" t="s">
        <v>189</v>
      </c>
      <c r="B124" s="4">
        <v>46127</v>
      </c>
      <c r="C124" s="3" t="s">
        <v>51</v>
      </c>
      <c r="D124" s="3" t="s">
        <v>183</v>
      </c>
      <c r="E124" s="3" t="s">
        <v>21</v>
      </c>
    </row>
    <row r="125" spans="1:5" x14ac:dyDescent="0.3">
      <c r="A125" s="3" t="s">
        <v>190</v>
      </c>
      <c r="B125" s="4">
        <v>46127</v>
      </c>
      <c r="C125" s="3" t="s">
        <v>51</v>
      </c>
      <c r="D125" s="3" t="s">
        <v>302</v>
      </c>
      <c r="E125" s="3" t="s">
        <v>21</v>
      </c>
    </row>
    <row r="126" spans="1:5" x14ac:dyDescent="0.3">
      <c r="A126" s="3" t="s">
        <v>191</v>
      </c>
      <c r="B126" s="4">
        <v>46127</v>
      </c>
      <c r="C126" s="3" t="s">
        <v>51</v>
      </c>
      <c r="D126" s="3" t="s">
        <v>302</v>
      </c>
      <c r="E126" s="3" t="s">
        <v>21</v>
      </c>
    </row>
    <row r="127" spans="1:5" x14ac:dyDescent="0.3">
      <c r="A127" s="3" t="s">
        <v>193</v>
      </c>
      <c r="B127" s="4">
        <v>46127</v>
      </c>
      <c r="C127" s="3" t="s">
        <v>51</v>
      </c>
      <c r="D127" s="3" t="s">
        <v>304</v>
      </c>
      <c r="E127" s="3" t="s">
        <v>17</v>
      </c>
    </row>
    <row r="128" spans="1:5" x14ac:dyDescent="0.3">
      <c r="A128" s="3" t="s">
        <v>194</v>
      </c>
      <c r="B128" s="4">
        <v>46127</v>
      </c>
      <c r="C128" s="3" t="s">
        <v>35</v>
      </c>
      <c r="D128" s="3" t="s">
        <v>299</v>
      </c>
      <c r="E128" s="3" t="s">
        <v>17</v>
      </c>
    </row>
    <row r="129" spans="1:5" x14ac:dyDescent="0.3">
      <c r="A129" s="3" t="s">
        <v>195</v>
      </c>
      <c r="B129" s="4">
        <v>46128</v>
      </c>
      <c r="C129" s="3" t="s">
        <v>51</v>
      </c>
      <c r="D129" s="3" t="s">
        <v>303</v>
      </c>
      <c r="E129" s="3" t="s">
        <v>21</v>
      </c>
    </row>
    <row r="130" spans="1:5" x14ac:dyDescent="0.3">
      <c r="A130" s="3" t="s">
        <v>196</v>
      </c>
      <c r="B130" s="4">
        <v>46129</v>
      </c>
      <c r="C130" s="3" t="s">
        <v>51</v>
      </c>
      <c r="D130" s="3" t="s">
        <v>71</v>
      </c>
      <c r="E130" s="3" t="s">
        <v>21</v>
      </c>
    </row>
    <row r="131" spans="1:5" x14ac:dyDescent="0.3">
      <c r="A131" s="3" t="s">
        <v>197</v>
      </c>
      <c r="B131" s="4">
        <v>46132</v>
      </c>
      <c r="C131" s="3" t="s">
        <v>51</v>
      </c>
      <c r="D131" s="3" t="s">
        <v>224</v>
      </c>
      <c r="E131" s="3" t="s">
        <v>21</v>
      </c>
    </row>
    <row r="132" spans="1:5" x14ac:dyDescent="0.3">
      <c r="A132" s="3" t="s">
        <v>198</v>
      </c>
      <c r="B132" s="4">
        <v>46133</v>
      </c>
      <c r="C132" s="3" t="s">
        <v>51</v>
      </c>
      <c r="D132" s="3" t="s">
        <v>71</v>
      </c>
      <c r="E132" s="3" t="s">
        <v>21</v>
      </c>
    </row>
    <row r="133" spans="1:5" x14ac:dyDescent="0.3">
      <c r="A133" s="3" t="s">
        <v>199</v>
      </c>
      <c r="B133" s="4">
        <v>46134</v>
      </c>
      <c r="C133" s="3" t="s">
        <v>51</v>
      </c>
      <c r="D133" s="3" t="s">
        <v>200</v>
      </c>
      <c r="E133" s="3" t="s">
        <v>31</v>
      </c>
    </row>
    <row r="134" spans="1:5" x14ac:dyDescent="0.3">
      <c r="A134" s="3" t="s">
        <v>201</v>
      </c>
      <c r="B134" s="4">
        <v>46134</v>
      </c>
      <c r="C134" s="3" t="s">
        <v>51</v>
      </c>
      <c r="D134" s="3" t="s">
        <v>302</v>
      </c>
      <c r="E134" s="3" t="s">
        <v>21</v>
      </c>
    </row>
    <row r="135" spans="1:5" x14ac:dyDescent="0.3">
      <c r="A135" s="3" t="s">
        <v>202</v>
      </c>
      <c r="B135" s="4">
        <v>46135</v>
      </c>
      <c r="C135" s="3" t="s">
        <v>51</v>
      </c>
      <c r="D135" s="3" t="s">
        <v>183</v>
      </c>
      <c r="E135" s="3" t="s">
        <v>21</v>
      </c>
    </row>
    <row r="136" spans="1:5" x14ac:dyDescent="0.3">
      <c r="A136" s="3" t="s">
        <v>203</v>
      </c>
      <c r="B136" s="4">
        <v>46134</v>
      </c>
      <c r="C136" s="3" t="s">
        <v>35</v>
      </c>
      <c r="D136" s="3" t="s">
        <v>299</v>
      </c>
      <c r="E136" s="3" t="s">
        <v>17</v>
      </c>
    </row>
    <row r="137" spans="1:5" x14ac:dyDescent="0.3">
      <c r="A137" s="3" t="s">
        <v>205</v>
      </c>
      <c r="B137" s="4">
        <v>46141</v>
      </c>
      <c r="C137" s="3" t="s">
        <v>108</v>
      </c>
      <c r="D137" s="3" t="s">
        <v>45</v>
      </c>
      <c r="E137" s="3" t="s">
        <v>17</v>
      </c>
    </row>
    <row r="138" spans="1:5" x14ac:dyDescent="0.3">
      <c r="A138" s="3" t="s">
        <v>206</v>
      </c>
      <c r="B138" s="4">
        <v>46199</v>
      </c>
      <c r="C138" s="3" t="s">
        <v>35</v>
      </c>
      <c r="D138" s="3" t="s">
        <v>26</v>
      </c>
      <c r="E138" s="3" t="s">
        <v>31</v>
      </c>
    </row>
    <row r="139" spans="1:5" x14ac:dyDescent="0.3">
      <c r="A139" s="3" t="s">
        <v>207</v>
      </c>
      <c r="B139" s="4">
        <v>46146</v>
      </c>
      <c r="C139" s="3" t="s">
        <v>51</v>
      </c>
      <c r="D139" s="3" t="s">
        <v>302</v>
      </c>
      <c r="E139" s="3" t="s">
        <v>208</v>
      </c>
    </row>
    <row r="140" spans="1:5" x14ac:dyDescent="0.3">
      <c r="A140" s="3" t="s">
        <v>209</v>
      </c>
      <c r="B140" s="4">
        <v>46147</v>
      </c>
      <c r="C140" s="3" t="s">
        <v>51</v>
      </c>
      <c r="D140" s="3" t="s">
        <v>180</v>
      </c>
      <c r="E140" s="3" t="s">
        <v>208</v>
      </c>
    </row>
    <row r="141" spans="1:5" x14ac:dyDescent="0.3">
      <c r="A141" s="3" t="s">
        <v>210</v>
      </c>
      <c r="B141" s="4">
        <v>46148</v>
      </c>
      <c r="C141" s="3" t="s">
        <v>35</v>
      </c>
      <c r="D141" s="3" t="s">
        <v>301</v>
      </c>
      <c r="E141" s="3" t="s">
        <v>208</v>
      </c>
    </row>
    <row r="142" spans="1:5" x14ac:dyDescent="0.3">
      <c r="A142" s="3" t="s">
        <v>211</v>
      </c>
      <c r="B142" s="4">
        <v>46148</v>
      </c>
      <c r="C142" s="3" t="s">
        <v>51</v>
      </c>
      <c r="D142" s="3" t="s">
        <v>302</v>
      </c>
      <c r="E142" s="3" t="s">
        <v>208</v>
      </c>
    </row>
    <row r="143" spans="1:5" x14ac:dyDescent="0.3">
      <c r="A143" s="3" t="s">
        <v>212</v>
      </c>
      <c r="B143" s="4">
        <v>46148</v>
      </c>
      <c r="C143" s="3" t="s">
        <v>51</v>
      </c>
      <c r="D143" s="3" t="s">
        <v>71</v>
      </c>
      <c r="E143" s="3" t="s">
        <v>208</v>
      </c>
    </row>
    <row r="144" spans="1:5" x14ac:dyDescent="0.3">
      <c r="A144" s="3" t="s">
        <v>213</v>
      </c>
      <c r="B144" s="4">
        <v>46148</v>
      </c>
      <c r="C144" s="3" t="s">
        <v>51</v>
      </c>
      <c r="D144" s="3" t="s">
        <v>302</v>
      </c>
      <c r="E144" s="3" t="s">
        <v>21</v>
      </c>
    </row>
    <row r="145" spans="1:5" x14ac:dyDescent="0.3">
      <c r="A145" s="3" t="s">
        <v>214</v>
      </c>
      <c r="B145" s="4">
        <v>46149</v>
      </c>
      <c r="C145" s="3" t="s">
        <v>51</v>
      </c>
      <c r="D145" s="3" t="s">
        <v>71</v>
      </c>
      <c r="E145" s="3" t="s">
        <v>208</v>
      </c>
    </row>
    <row r="146" spans="1:5" x14ac:dyDescent="0.3">
      <c r="A146" s="3" t="s">
        <v>215</v>
      </c>
      <c r="B146" s="4">
        <v>46149</v>
      </c>
      <c r="C146" s="3" t="s">
        <v>35</v>
      </c>
      <c r="D146" s="3" t="s">
        <v>26</v>
      </c>
      <c r="E146" s="3" t="s">
        <v>31</v>
      </c>
    </row>
    <row r="147" spans="1:5" x14ac:dyDescent="0.3">
      <c r="A147" s="3" t="s">
        <v>217</v>
      </c>
      <c r="B147" s="4">
        <v>46149</v>
      </c>
      <c r="C147" s="3" t="s">
        <v>51</v>
      </c>
      <c r="D147" s="3" t="s">
        <v>302</v>
      </c>
      <c r="E147" s="3" t="s">
        <v>208</v>
      </c>
    </row>
    <row r="148" spans="1:5" x14ac:dyDescent="0.3">
      <c r="A148" s="3" t="s">
        <v>219</v>
      </c>
      <c r="B148" s="4">
        <v>46150</v>
      </c>
      <c r="C148" s="3" t="s">
        <v>35</v>
      </c>
      <c r="D148" s="3" t="s">
        <v>26</v>
      </c>
      <c r="E148" s="3" t="s">
        <v>208</v>
      </c>
    </row>
    <row r="149" spans="1:5" x14ac:dyDescent="0.3">
      <c r="A149" s="3" t="s">
        <v>219</v>
      </c>
      <c r="B149" s="4">
        <v>46225</v>
      </c>
      <c r="C149" s="3" t="s">
        <v>35</v>
      </c>
      <c r="D149" s="3" t="s">
        <v>26</v>
      </c>
      <c r="E149" s="3" t="s">
        <v>31</v>
      </c>
    </row>
    <row r="150" spans="1:5" x14ac:dyDescent="0.3">
      <c r="A150" s="3" t="s">
        <v>220</v>
      </c>
      <c r="B150" s="4">
        <v>46150</v>
      </c>
      <c r="C150" s="3" t="s">
        <v>51</v>
      </c>
      <c r="D150" s="3" t="s">
        <v>180</v>
      </c>
      <c r="E150" s="3" t="s">
        <v>208</v>
      </c>
    </row>
    <row r="151" spans="1:5" x14ac:dyDescent="0.3">
      <c r="A151" s="3" t="s">
        <v>221</v>
      </c>
      <c r="B151" s="4">
        <v>46150</v>
      </c>
      <c r="C151" s="3" t="s">
        <v>51</v>
      </c>
      <c r="D151" s="3" t="s">
        <v>71</v>
      </c>
      <c r="E151" s="3" t="s">
        <v>208</v>
      </c>
    </row>
    <row r="152" spans="1:5" x14ac:dyDescent="0.3">
      <c r="A152" s="3" t="s">
        <v>222</v>
      </c>
      <c r="B152" s="4">
        <v>46150</v>
      </c>
      <c r="C152" s="3" t="s">
        <v>51</v>
      </c>
      <c r="D152" s="3" t="s">
        <v>71</v>
      </c>
      <c r="E152" s="3" t="s">
        <v>208</v>
      </c>
    </row>
    <row r="153" spans="1:5" x14ac:dyDescent="0.3">
      <c r="A153" s="3" t="s">
        <v>223</v>
      </c>
      <c r="B153" s="4">
        <v>46150</v>
      </c>
      <c r="C153" s="3" t="s">
        <v>51</v>
      </c>
      <c r="D153" s="3" t="s">
        <v>224</v>
      </c>
      <c r="E153" s="3" t="s">
        <v>208</v>
      </c>
    </row>
    <row r="154" spans="1:5" x14ac:dyDescent="0.3">
      <c r="A154" s="3" t="s">
        <v>225</v>
      </c>
      <c r="B154" s="4">
        <v>46153</v>
      </c>
      <c r="C154" s="3" t="s">
        <v>108</v>
      </c>
      <c r="D154" s="3" t="s">
        <v>183</v>
      </c>
      <c r="E154" s="3" t="s">
        <v>21</v>
      </c>
    </row>
    <row r="155" spans="1:5" x14ac:dyDescent="0.3">
      <c r="A155" s="3" t="s">
        <v>226</v>
      </c>
      <c r="B155" s="4">
        <v>46154</v>
      </c>
      <c r="C155" s="3" t="s">
        <v>51</v>
      </c>
      <c r="D155" s="3" t="s">
        <v>172</v>
      </c>
      <c r="E155" s="3" t="s">
        <v>208</v>
      </c>
    </row>
    <row r="156" spans="1:5" x14ac:dyDescent="0.3">
      <c r="A156" s="3" t="s">
        <v>227</v>
      </c>
      <c r="B156" s="4">
        <v>46156</v>
      </c>
      <c r="C156" s="3" t="s">
        <v>51</v>
      </c>
      <c r="D156" s="3" t="s">
        <v>303</v>
      </c>
      <c r="E156" s="3" t="s">
        <v>208</v>
      </c>
    </row>
    <row r="157" spans="1:5" x14ac:dyDescent="0.3">
      <c r="A157" s="3" t="s">
        <v>228</v>
      </c>
      <c r="B157" s="4">
        <v>46156</v>
      </c>
      <c r="C157" s="3" t="s">
        <v>51</v>
      </c>
      <c r="D157" s="3" t="s">
        <v>71</v>
      </c>
      <c r="E157" s="3" t="s">
        <v>208</v>
      </c>
    </row>
    <row r="158" spans="1:5" x14ac:dyDescent="0.3">
      <c r="A158" s="3" t="s">
        <v>229</v>
      </c>
      <c r="B158" s="4">
        <v>46156</v>
      </c>
      <c r="C158" s="3" t="s">
        <v>108</v>
      </c>
      <c r="D158" s="3" t="s">
        <v>172</v>
      </c>
      <c r="E158" s="3" t="s">
        <v>208</v>
      </c>
    </row>
    <row r="159" spans="1:5" x14ac:dyDescent="0.3">
      <c r="A159" s="3" t="s">
        <v>230</v>
      </c>
      <c r="B159" s="4">
        <v>46156</v>
      </c>
      <c r="C159" s="3" t="s">
        <v>51</v>
      </c>
      <c r="D159" s="3" t="s">
        <v>303</v>
      </c>
      <c r="E159" s="3" t="s">
        <v>208</v>
      </c>
    </row>
    <row r="160" spans="1:5" x14ac:dyDescent="0.3">
      <c r="A160" s="3" t="s">
        <v>231</v>
      </c>
      <c r="B160" s="4">
        <v>46157</v>
      </c>
      <c r="C160" s="3" t="s">
        <v>51</v>
      </c>
      <c r="D160" s="3" t="s">
        <v>183</v>
      </c>
      <c r="E160" s="3" t="s">
        <v>208</v>
      </c>
    </row>
    <row r="161" spans="1:5" x14ac:dyDescent="0.3">
      <c r="A161" s="3" t="s">
        <v>232</v>
      </c>
      <c r="B161" s="4">
        <v>46156</v>
      </c>
      <c r="C161" s="3" t="s">
        <v>51</v>
      </c>
      <c r="D161" s="3" t="s">
        <v>304</v>
      </c>
      <c r="E161" s="3" t="s">
        <v>17</v>
      </c>
    </row>
    <row r="162" spans="1:5" x14ac:dyDescent="0.3">
      <c r="A162" s="3" t="s">
        <v>232</v>
      </c>
      <c r="B162" s="4">
        <v>46192</v>
      </c>
      <c r="C162" s="3" t="s">
        <v>51</v>
      </c>
      <c r="D162" s="3" t="s">
        <v>22</v>
      </c>
      <c r="E162" s="3" t="s">
        <v>208</v>
      </c>
    </row>
    <row r="163" spans="1:5" x14ac:dyDescent="0.3">
      <c r="A163" s="3" t="s">
        <v>233</v>
      </c>
      <c r="B163" s="4">
        <v>46157</v>
      </c>
      <c r="C163" s="3" t="s">
        <v>35</v>
      </c>
      <c r="D163" s="3" t="s">
        <v>299</v>
      </c>
      <c r="E163" s="3" t="s">
        <v>17</v>
      </c>
    </row>
    <row r="164" spans="1:5" x14ac:dyDescent="0.3">
      <c r="A164" s="3" t="s">
        <v>234</v>
      </c>
      <c r="B164" s="4">
        <v>46161</v>
      </c>
      <c r="C164" s="3" t="s">
        <v>51</v>
      </c>
      <c r="D164" s="3" t="s">
        <v>22</v>
      </c>
      <c r="E164" s="3" t="s">
        <v>208</v>
      </c>
    </row>
    <row r="165" spans="1:5" x14ac:dyDescent="0.3">
      <c r="A165" s="3" t="s">
        <v>235</v>
      </c>
      <c r="B165" s="4">
        <v>46161</v>
      </c>
      <c r="C165" s="3" t="s">
        <v>51</v>
      </c>
      <c r="D165" s="3" t="s">
        <v>22</v>
      </c>
      <c r="E165" s="3" t="s">
        <v>208</v>
      </c>
    </row>
    <row r="166" spans="1:5" x14ac:dyDescent="0.3">
      <c r="A166" s="3" t="s">
        <v>236</v>
      </c>
      <c r="B166" s="4">
        <v>46162</v>
      </c>
      <c r="C166" s="3" t="s">
        <v>108</v>
      </c>
      <c r="D166" s="3" t="s">
        <v>22</v>
      </c>
      <c r="E166" s="3" t="s">
        <v>208</v>
      </c>
    </row>
    <row r="167" spans="1:5" x14ac:dyDescent="0.3">
      <c r="A167" s="3" t="s">
        <v>238</v>
      </c>
      <c r="B167" s="4">
        <v>46162</v>
      </c>
      <c r="C167" s="3" t="s">
        <v>51</v>
      </c>
      <c r="D167" s="3" t="s">
        <v>22</v>
      </c>
      <c r="E167" s="3" t="s">
        <v>208</v>
      </c>
    </row>
    <row r="168" spans="1:5" x14ac:dyDescent="0.3">
      <c r="A168" s="3" t="s">
        <v>239</v>
      </c>
      <c r="B168" s="4">
        <v>46163</v>
      </c>
      <c r="C168" s="3" t="s">
        <v>51</v>
      </c>
      <c r="D168" s="3" t="s">
        <v>22</v>
      </c>
      <c r="E168" s="3" t="s">
        <v>208</v>
      </c>
    </row>
    <row r="169" spans="1:5" x14ac:dyDescent="0.3">
      <c r="A169" s="3" t="s">
        <v>240</v>
      </c>
      <c r="B169" s="4">
        <v>46155</v>
      </c>
      <c r="C169" s="3" t="s">
        <v>35</v>
      </c>
      <c r="D169" s="3" t="s">
        <v>26</v>
      </c>
      <c r="E169" s="3" t="s">
        <v>31</v>
      </c>
    </row>
    <row r="170" spans="1:5" x14ac:dyDescent="0.3">
      <c r="A170" s="3" t="s">
        <v>241</v>
      </c>
      <c r="B170" s="4">
        <v>46164</v>
      </c>
      <c r="C170" s="3" t="s">
        <v>51</v>
      </c>
      <c r="D170" s="3" t="s">
        <v>40</v>
      </c>
      <c r="E170" s="3" t="s">
        <v>17</v>
      </c>
    </row>
    <row r="171" spans="1:5" x14ac:dyDescent="0.3">
      <c r="A171" s="3" t="s">
        <v>242</v>
      </c>
      <c r="B171" s="4">
        <v>46164</v>
      </c>
      <c r="C171" s="3" t="s">
        <v>51</v>
      </c>
      <c r="D171" s="3" t="s">
        <v>40</v>
      </c>
      <c r="E171" s="3" t="s">
        <v>17</v>
      </c>
    </row>
    <row r="172" spans="1:5" x14ac:dyDescent="0.3">
      <c r="A172" s="3" t="s">
        <v>243</v>
      </c>
      <c r="B172" s="4">
        <v>46165</v>
      </c>
      <c r="C172" s="3" t="s">
        <v>108</v>
      </c>
      <c r="D172" s="3" t="s">
        <v>45</v>
      </c>
      <c r="E172" s="3" t="s">
        <v>17</v>
      </c>
    </row>
    <row r="173" spans="1:5" x14ac:dyDescent="0.3">
      <c r="A173" s="3" t="s">
        <v>244</v>
      </c>
      <c r="B173" s="4">
        <v>46168</v>
      </c>
      <c r="C173" s="3" t="s">
        <v>51</v>
      </c>
      <c r="D173" s="3" t="s">
        <v>26</v>
      </c>
      <c r="E173" s="3" t="s">
        <v>208</v>
      </c>
    </row>
    <row r="174" spans="1:5" x14ac:dyDescent="0.3">
      <c r="A174" s="3" t="s">
        <v>245</v>
      </c>
      <c r="B174" s="4">
        <v>46144</v>
      </c>
      <c r="C174" s="3" t="s">
        <v>51</v>
      </c>
      <c r="D174" s="3" t="s">
        <v>299</v>
      </c>
      <c r="E174" s="3" t="s">
        <v>31</v>
      </c>
    </row>
    <row r="175" spans="1:5" x14ac:dyDescent="0.3">
      <c r="A175" s="3" t="s">
        <v>246</v>
      </c>
      <c r="B175" s="4">
        <v>46168</v>
      </c>
      <c r="C175" s="3" t="s">
        <v>51</v>
      </c>
      <c r="D175" s="3" t="s">
        <v>22</v>
      </c>
      <c r="E175" s="3" t="s">
        <v>208</v>
      </c>
    </row>
    <row r="176" spans="1:5" x14ac:dyDescent="0.3">
      <c r="A176" s="3" t="s">
        <v>247</v>
      </c>
      <c r="B176" s="4">
        <v>46168</v>
      </c>
      <c r="C176" s="3" t="s">
        <v>51</v>
      </c>
      <c r="D176" s="3" t="s">
        <v>40</v>
      </c>
      <c r="E176" s="3" t="s">
        <v>17</v>
      </c>
    </row>
    <row r="177" spans="1:5" x14ac:dyDescent="0.3">
      <c r="A177" s="3" t="s">
        <v>248</v>
      </c>
      <c r="B177" s="4">
        <v>46168</v>
      </c>
      <c r="C177" s="3" t="s">
        <v>51</v>
      </c>
      <c r="D177" s="3" t="s">
        <v>40</v>
      </c>
      <c r="E177" s="3" t="s">
        <v>17</v>
      </c>
    </row>
    <row r="178" spans="1:5" x14ac:dyDescent="0.3">
      <c r="A178" s="3" t="s">
        <v>249</v>
      </c>
      <c r="B178" s="4">
        <v>46169</v>
      </c>
      <c r="C178" s="3" t="s">
        <v>35</v>
      </c>
      <c r="D178" s="3" t="s">
        <v>301</v>
      </c>
      <c r="E178" s="3" t="s">
        <v>208</v>
      </c>
    </row>
    <row r="179" spans="1:5" x14ac:dyDescent="0.3">
      <c r="A179" s="3" t="s">
        <v>250</v>
      </c>
      <c r="B179" s="4">
        <v>46172</v>
      </c>
      <c r="C179" s="3" t="s">
        <v>51</v>
      </c>
      <c r="D179" s="3" t="s">
        <v>251</v>
      </c>
      <c r="E179" s="3" t="s">
        <v>17</v>
      </c>
    </row>
    <row r="180" spans="1:5" x14ac:dyDescent="0.3">
      <c r="A180" s="3" t="s">
        <v>252</v>
      </c>
      <c r="B180" s="4">
        <v>46172</v>
      </c>
      <c r="C180" s="3" t="s">
        <v>51</v>
      </c>
      <c r="D180" s="3" t="s">
        <v>40</v>
      </c>
      <c r="E180" s="3" t="s">
        <v>17</v>
      </c>
    </row>
    <row r="181" spans="1:5" x14ac:dyDescent="0.3">
      <c r="A181" s="3" t="s">
        <v>253</v>
      </c>
      <c r="B181" s="4">
        <v>46175</v>
      </c>
      <c r="C181" s="3" t="s">
        <v>51</v>
      </c>
      <c r="D181" s="3" t="s">
        <v>151</v>
      </c>
      <c r="E181" s="3" t="s">
        <v>31</v>
      </c>
    </row>
    <row r="182" spans="1:5" x14ac:dyDescent="0.3">
      <c r="A182" s="3" t="s">
        <v>254</v>
      </c>
      <c r="B182" s="4">
        <v>46175</v>
      </c>
      <c r="C182" s="3" t="s">
        <v>51</v>
      </c>
      <c r="D182" s="3" t="s">
        <v>183</v>
      </c>
      <c r="E182" s="3" t="s">
        <v>208</v>
      </c>
    </row>
    <row r="183" spans="1:5" x14ac:dyDescent="0.3">
      <c r="A183" s="3" t="s">
        <v>255</v>
      </c>
      <c r="B183" s="4">
        <v>46175</v>
      </c>
      <c r="C183" s="3" t="s">
        <v>51</v>
      </c>
      <c r="D183" s="3" t="s">
        <v>22</v>
      </c>
      <c r="E183" s="3" t="s">
        <v>208</v>
      </c>
    </row>
    <row r="184" spans="1:5" x14ac:dyDescent="0.3">
      <c r="A184" s="3" t="s">
        <v>256</v>
      </c>
      <c r="B184" s="4">
        <v>46174</v>
      </c>
      <c r="C184" s="3" t="s">
        <v>51</v>
      </c>
      <c r="D184" s="3" t="s">
        <v>257</v>
      </c>
      <c r="E184" s="3" t="s">
        <v>31</v>
      </c>
    </row>
    <row r="185" spans="1:5" x14ac:dyDescent="0.3">
      <c r="A185" s="3" t="s">
        <v>258</v>
      </c>
      <c r="B185" s="4">
        <v>46176</v>
      </c>
      <c r="C185" s="3" t="s">
        <v>51</v>
      </c>
      <c r="D185" s="3" t="s">
        <v>303</v>
      </c>
      <c r="E185" s="3" t="s">
        <v>208</v>
      </c>
    </row>
    <row r="186" spans="1:5" x14ac:dyDescent="0.3">
      <c r="A186" s="3" t="s">
        <v>259</v>
      </c>
      <c r="B186" s="4">
        <v>46176</v>
      </c>
      <c r="C186" s="3" t="s">
        <v>51</v>
      </c>
      <c r="D186" s="3" t="s">
        <v>302</v>
      </c>
      <c r="E186" s="3" t="s">
        <v>208</v>
      </c>
    </row>
    <row r="187" spans="1:5" x14ac:dyDescent="0.3">
      <c r="A187" s="3" t="s">
        <v>260</v>
      </c>
      <c r="B187" s="4">
        <v>46182</v>
      </c>
      <c r="C187" s="3" t="s">
        <v>51</v>
      </c>
      <c r="D187" s="3" t="s">
        <v>303</v>
      </c>
      <c r="E187" s="3" t="s">
        <v>208</v>
      </c>
    </row>
    <row r="188" spans="1:5" x14ac:dyDescent="0.3">
      <c r="A188" s="3" t="s">
        <v>261</v>
      </c>
      <c r="B188" s="4">
        <v>46182</v>
      </c>
      <c r="C188" s="3" t="s">
        <v>51</v>
      </c>
      <c r="D188" s="3" t="s">
        <v>303</v>
      </c>
      <c r="E188" s="3" t="s">
        <v>208</v>
      </c>
    </row>
    <row r="189" spans="1:5" x14ac:dyDescent="0.3">
      <c r="A189" s="3" t="s">
        <v>264</v>
      </c>
      <c r="B189" s="4">
        <v>46182</v>
      </c>
      <c r="C189" s="3" t="s">
        <v>35</v>
      </c>
      <c r="D189" s="3" t="s">
        <v>299</v>
      </c>
      <c r="E189" s="3" t="s">
        <v>17</v>
      </c>
    </row>
    <row r="190" spans="1:5" x14ac:dyDescent="0.3">
      <c r="A190" s="3" t="s">
        <v>265</v>
      </c>
      <c r="B190" s="4">
        <v>46183</v>
      </c>
      <c r="C190" s="3" t="s">
        <v>51</v>
      </c>
      <c r="D190" s="3" t="s">
        <v>302</v>
      </c>
      <c r="E190" s="3" t="s">
        <v>208</v>
      </c>
    </row>
    <row r="191" spans="1:5" x14ac:dyDescent="0.3">
      <c r="A191" s="3" t="s">
        <v>266</v>
      </c>
      <c r="B191" s="4">
        <v>46183</v>
      </c>
      <c r="C191" s="3" t="s">
        <v>51</v>
      </c>
      <c r="D191" s="3" t="s">
        <v>302</v>
      </c>
      <c r="E191" s="3" t="s">
        <v>208</v>
      </c>
    </row>
    <row r="192" spans="1:5" x14ac:dyDescent="0.3">
      <c r="A192" s="3" t="s">
        <v>267</v>
      </c>
      <c r="B192" s="4">
        <v>46184</v>
      </c>
      <c r="C192" s="3" t="s">
        <v>51</v>
      </c>
      <c r="D192" s="3" t="s">
        <v>22</v>
      </c>
      <c r="E192" s="3" t="s">
        <v>208</v>
      </c>
    </row>
    <row r="193" spans="1:5" x14ac:dyDescent="0.3">
      <c r="A193" s="3" t="s">
        <v>268</v>
      </c>
      <c r="B193" s="4">
        <v>46184</v>
      </c>
      <c r="C193" s="3" t="s">
        <v>51</v>
      </c>
      <c r="D193" s="3" t="s">
        <v>302</v>
      </c>
      <c r="E193" s="3" t="s">
        <v>208</v>
      </c>
    </row>
    <row r="194" spans="1:5" x14ac:dyDescent="0.3">
      <c r="A194" s="3" t="s">
        <v>269</v>
      </c>
      <c r="B194" s="4">
        <v>46190</v>
      </c>
      <c r="C194" s="3" t="s">
        <v>51</v>
      </c>
      <c r="D194" s="3" t="s">
        <v>270</v>
      </c>
      <c r="E194" s="3" t="s">
        <v>31</v>
      </c>
    </row>
    <row r="195" spans="1:5" x14ac:dyDescent="0.3">
      <c r="A195" s="3" t="s">
        <v>271</v>
      </c>
      <c r="B195" s="4">
        <v>46191</v>
      </c>
      <c r="C195" s="3" t="s">
        <v>51</v>
      </c>
      <c r="D195" s="3" t="s">
        <v>303</v>
      </c>
      <c r="E195" s="3" t="s">
        <v>208</v>
      </c>
    </row>
    <row r="196" spans="1:5" x14ac:dyDescent="0.3">
      <c r="A196" s="3" t="s">
        <v>272</v>
      </c>
      <c r="B196" s="4">
        <v>46191</v>
      </c>
      <c r="C196" s="3" t="s">
        <v>35</v>
      </c>
      <c r="D196" s="3" t="s">
        <v>26</v>
      </c>
      <c r="E196" s="3" t="s">
        <v>31</v>
      </c>
    </row>
    <row r="197" spans="1:5" x14ac:dyDescent="0.3">
      <c r="A197" s="3" t="s">
        <v>273</v>
      </c>
      <c r="B197" s="4">
        <v>46191</v>
      </c>
      <c r="C197" s="3" t="s">
        <v>51</v>
      </c>
      <c r="D197" s="3" t="s">
        <v>303</v>
      </c>
      <c r="E197" s="3" t="s">
        <v>208</v>
      </c>
    </row>
    <row r="198" spans="1:5" x14ac:dyDescent="0.3">
      <c r="A198" s="3" t="s">
        <v>274</v>
      </c>
      <c r="B198" s="4">
        <v>46195</v>
      </c>
      <c r="C198" s="3" t="s">
        <v>51</v>
      </c>
      <c r="D198" s="3" t="s">
        <v>22</v>
      </c>
      <c r="E198" s="3" t="s">
        <v>208</v>
      </c>
    </row>
    <row r="199" spans="1:5" x14ac:dyDescent="0.3">
      <c r="A199" s="3" t="s">
        <v>275</v>
      </c>
      <c r="B199" s="4">
        <v>46196</v>
      </c>
      <c r="C199" s="3" t="s">
        <v>51</v>
      </c>
      <c r="D199" s="3" t="s">
        <v>22</v>
      </c>
      <c r="E199" s="3" t="s">
        <v>208</v>
      </c>
    </row>
    <row r="200" spans="1:5" x14ac:dyDescent="0.3">
      <c r="A200" s="3" t="s">
        <v>276</v>
      </c>
      <c r="B200" s="4">
        <v>46196</v>
      </c>
      <c r="C200" s="3" t="s">
        <v>51</v>
      </c>
      <c r="D200" s="3" t="s">
        <v>302</v>
      </c>
      <c r="E200" s="3" t="s">
        <v>208</v>
      </c>
    </row>
    <row r="201" spans="1:5" x14ac:dyDescent="0.3">
      <c r="A201" s="3" t="s">
        <v>277</v>
      </c>
      <c r="B201" s="4">
        <v>46196</v>
      </c>
      <c r="C201" s="3" t="s">
        <v>51</v>
      </c>
      <c r="D201" s="3" t="s">
        <v>302</v>
      </c>
      <c r="E201" s="3" t="s">
        <v>208</v>
      </c>
    </row>
    <row r="202" spans="1:5" x14ac:dyDescent="0.3">
      <c r="A202" s="3" t="s">
        <v>278</v>
      </c>
      <c r="B202" s="4">
        <v>46197</v>
      </c>
      <c r="C202" s="3" t="s">
        <v>51</v>
      </c>
      <c r="D202" s="3" t="s">
        <v>200</v>
      </c>
      <c r="E202" s="3" t="s">
        <v>31</v>
      </c>
    </row>
    <row r="203" spans="1:5" x14ac:dyDescent="0.3">
      <c r="A203" s="3" t="s">
        <v>279</v>
      </c>
      <c r="B203" s="4">
        <v>46197</v>
      </c>
      <c r="C203" s="3" t="s">
        <v>51</v>
      </c>
      <c r="D203" s="3" t="s">
        <v>302</v>
      </c>
      <c r="E203" s="3" t="s">
        <v>208</v>
      </c>
    </row>
    <row r="204" spans="1:5" x14ac:dyDescent="0.3">
      <c r="A204" s="3" t="s">
        <v>280</v>
      </c>
      <c r="B204" s="4">
        <v>46199</v>
      </c>
      <c r="C204" s="3" t="s">
        <v>51</v>
      </c>
      <c r="D204" s="3" t="s">
        <v>305</v>
      </c>
      <c r="E204" s="3" t="s">
        <v>208</v>
      </c>
    </row>
    <row r="205" spans="1:5" x14ac:dyDescent="0.3">
      <c r="A205" s="3" t="s">
        <v>281</v>
      </c>
      <c r="B205" s="4">
        <v>46197</v>
      </c>
      <c r="C205" s="3" t="s">
        <v>108</v>
      </c>
      <c r="D205" s="3" t="s">
        <v>251</v>
      </c>
      <c r="E205" s="3" t="s">
        <v>17</v>
      </c>
    </row>
    <row r="206" spans="1:5" x14ac:dyDescent="0.3">
      <c r="A206" s="3" t="s">
        <v>282</v>
      </c>
      <c r="B206" s="4">
        <v>46197</v>
      </c>
      <c r="C206" s="3" t="s">
        <v>35</v>
      </c>
      <c r="D206" s="3" t="s">
        <v>26</v>
      </c>
      <c r="E206" s="3" t="s">
        <v>17</v>
      </c>
    </row>
    <row r="207" spans="1:5" x14ac:dyDescent="0.3">
      <c r="A207" s="3" t="s">
        <v>283</v>
      </c>
      <c r="B207" s="4">
        <v>46205</v>
      </c>
      <c r="C207" s="3" t="s">
        <v>51</v>
      </c>
      <c r="D207" s="3" t="s">
        <v>306</v>
      </c>
      <c r="E207" s="3" t="s">
        <v>208</v>
      </c>
    </row>
    <row r="208" spans="1:5" x14ac:dyDescent="0.3">
      <c r="A208" s="3" t="s">
        <v>284</v>
      </c>
      <c r="B208" s="4">
        <v>46205</v>
      </c>
      <c r="C208" s="3" t="s">
        <v>35</v>
      </c>
      <c r="D208" s="3" t="s">
        <v>183</v>
      </c>
      <c r="E208" s="3" t="s">
        <v>208</v>
      </c>
    </row>
    <row r="209" spans="1:5" x14ac:dyDescent="0.3">
      <c r="A209" s="3" t="s">
        <v>285</v>
      </c>
      <c r="B209" s="4">
        <v>46205</v>
      </c>
      <c r="C209" s="3" t="s">
        <v>51</v>
      </c>
      <c r="D209" s="3" t="s">
        <v>22</v>
      </c>
      <c r="E209" s="3" t="s">
        <v>208</v>
      </c>
    </row>
    <row r="210" spans="1:5" x14ac:dyDescent="0.3">
      <c r="A210" s="3" t="s">
        <v>286</v>
      </c>
      <c r="B210" s="4">
        <v>46206</v>
      </c>
      <c r="C210" s="3" t="s">
        <v>51</v>
      </c>
      <c r="D210" s="3" t="s">
        <v>307</v>
      </c>
      <c r="E210" s="3" t="s">
        <v>208</v>
      </c>
    </row>
    <row r="211" spans="1:5" x14ac:dyDescent="0.3">
      <c r="A211" s="3" t="s">
        <v>287</v>
      </c>
      <c r="B211" s="4">
        <v>46210</v>
      </c>
      <c r="C211" s="3" t="s">
        <v>51</v>
      </c>
      <c r="D211" s="3" t="s">
        <v>22</v>
      </c>
      <c r="E211" s="3" t="s">
        <v>208</v>
      </c>
    </row>
    <row r="212" spans="1:5" x14ac:dyDescent="0.3">
      <c r="A212" s="3" t="s">
        <v>288</v>
      </c>
      <c r="B212" s="4">
        <v>46211</v>
      </c>
      <c r="C212" s="3" t="s">
        <v>35</v>
      </c>
      <c r="D212" s="3" t="s">
        <v>301</v>
      </c>
      <c r="E212" s="3" t="s">
        <v>208</v>
      </c>
    </row>
    <row r="213" spans="1:5" x14ac:dyDescent="0.3">
      <c r="A213" s="3" t="s">
        <v>289</v>
      </c>
      <c r="B213" s="4">
        <v>46216</v>
      </c>
      <c r="C213" s="3" t="s">
        <v>51</v>
      </c>
      <c r="D213" s="3" t="s">
        <v>303</v>
      </c>
      <c r="E213" s="3" t="s">
        <v>208</v>
      </c>
    </row>
    <row r="214" spans="1:5" x14ac:dyDescent="0.3">
      <c r="A214" s="3" t="s">
        <v>291</v>
      </c>
      <c r="B214" s="4">
        <v>46217</v>
      </c>
      <c r="C214" s="3" t="s">
        <v>51</v>
      </c>
      <c r="D214" s="3" t="s">
        <v>270</v>
      </c>
      <c r="E214" s="3" t="s">
        <v>31</v>
      </c>
    </row>
    <row r="215" spans="1:5" x14ac:dyDescent="0.3">
      <c r="A215" s="3" t="s">
        <v>292</v>
      </c>
      <c r="B215" s="4">
        <v>46217</v>
      </c>
      <c r="C215" s="3" t="s">
        <v>51</v>
      </c>
      <c r="D215" s="3" t="s">
        <v>22</v>
      </c>
      <c r="E215" s="3" t="s">
        <v>208</v>
      </c>
    </row>
    <row r="216" spans="1:5" x14ac:dyDescent="0.3">
      <c r="A216" s="3" t="s">
        <v>294</v>
      </c>
      <c r="B216" s="4">
        <v>46219</v>
      </c>
      <c r="C216" s="3" t="s">
        <v>51</v>
      </c>
      <c r="D216" s="3" t="s">
        <v>263</v>
      </c>
      <c r="E216" s="3" t="s">
        <v>17</v>
      </c>
    </row>
    <row r="217" spans="1:5" x14ac:dyDescent="0.3">
      <c r="A217" s="3" t="s">
        <v>297</v>
      </c>
      <c r="B217" s="4">
        <v>46225</v>
      </c>
      <c r="C217" s="3" t="s">
        <v>35</v>
      </c>
      <c r="D217" s="3" t="s">
        <v>26</v>
      </c>
      <c r="E217" s="3" t="s">
        <v>17</v>
      </c>
    </row>
    <row r="218" spans="1:5" x14ac:dyDescent="0.3">
      <c r="A218" s="3" t="s">
        <v>298</v>
      </c>
      <c r="B218" s="4">
        <v>46226</v>
      </c>
      <c r="C218" s="3" t="s">
        <v>51</v>
      </c>
      <c r="D218" s="3" t="s">
        <v>138</v>
      </c>
      <c r="E218" s="3" t="s">
        <v>17</v>
      </c>
    </row>
    <row r="219" spans="1:5" x14ac:dyDescent="0.3">
      <c r="A219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1243"/>
  <sheetViews>
    <sheetView topLeftCell="C1" workbookViewId="0">
      <selection activeCell="L1167" sqref="L1167:L1217"/>
    </sheetView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308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hidden="1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hidden="1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hidden="1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hidden="1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hidden="1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hidden="1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hidden="1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hidden="1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hidden="1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hidden="1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hidden="1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hidden="1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hidden="1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hidden="1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hidden="1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hidden="1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hidden="1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hidden="1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hidden="1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hidden="1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hidden="1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hidden="1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hidden="1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hidden="1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hidden="1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hidden="1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hidden="1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hidden="1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hidden="1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hidden="1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hidden="1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hidden="1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hidden="1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hidden="1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hidden="1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hidden="1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hidden="1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hidden="1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hidden="1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hidden="1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hidden="1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hidden="1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hidden="1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hidden="1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hidden="1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hidden="1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hidden="1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hidden="1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hidden="1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hidden="1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hidden="1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hidden="1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hidden="1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hidden="1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hidden="1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hidden="1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hidden="1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hidden="1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hidden="1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hidden="1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hidden="1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hidden="1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hidden="1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hidden="1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hidden="1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hidden="1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hidden="1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hidden="1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hidden="1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hidden="1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hidden="1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hidden="1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hidden="1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hidden="1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hidden="1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hidden="1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hidden="1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hidden="1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hidden="1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hidden="1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hidden="1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hidden="1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hidden="1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hidden="1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hidden="1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hidden="1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hidden="1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hidden="1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hidden="1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hidden="1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hidden="1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hidden="1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hidden="1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hidden="1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hidden="1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hidden="1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hidden="1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hidden="1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hidden="1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hidden="1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hidden="1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hidden="1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hidden="1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hidden="1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hidden="1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hidden="1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hidden="1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hidden="1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hidden="1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hidden="1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hidden="1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hidden="1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hidden="1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hidden="1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hidden="1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hidden="1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hidden="1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hidden="1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hidden="1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hidden="1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hidden="1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hidden="1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hidden="1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hidden="1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hidden="1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hidden="1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hidden="1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hidden="1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hidden="1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hidden="1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hidden="1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hidden="1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hidden="1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hidden="1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hidden="1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hidden="1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hidden="1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hidden="1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hidden="1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hidden="1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hidden="1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hidden="1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hidden="1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hidden="1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hidden="1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hidden="1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hidden="1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hidden="1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hidden="1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hidden="1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hidden="1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hidden="1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hidden="1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hidden="1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hidden="1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hidden="1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hidden="1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hidden="1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hidden="1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hidden="1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hidden="1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hidden="1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hidden="1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hidden="1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hidden="1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hidden="1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hidden="1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hidden="1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hidden="1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hidden="1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hidden="1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hidden="1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hidden="1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hidden="1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hidden="1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hidden="1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hidden="1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hidden="1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hidden="1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hidden="1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hidden="1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hidden="1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hidden="1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hidden="1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hidden="1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hidden="1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hidden="1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hidden="1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hidden="1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hidden="1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hidden="1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hidden="1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hidden="1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hidden="1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hidden="1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hidden="1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hidden="1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hidden="1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hidden="1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hidden="1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hidden="1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hidden="1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hidden="1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hidden="1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hidden="1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hidden="1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hidden="1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hidden="1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hidden="1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hidden="1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hidden="1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hidden="1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hidden="1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hidden="1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hidden="1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hidden="1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hidden="1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hidden="1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hidden="1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hidden="1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hidden="1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hidden="1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hidden="1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hidden="1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hidden="1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hidden="1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hidden="1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hidden="1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hidden="1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hidden="1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hidden="1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hidden="1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hidden="1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hidden="1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hidden="1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hidden="1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hidden="1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hidden="1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hidden="1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hidden="1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hidden="1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hidden="1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hidden="1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hidden="1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hidden="1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hidden="1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hidden="1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hidden="1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hidden="1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hidden="1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hidden="1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hidden="1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hidden="1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hidden="1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hidden="1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hidden="1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hidden="1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hidden="1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hidden="1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hidden="1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hidden="1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hidden="1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hidden="1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hidden="1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hidden="1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hidden="1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hidden="1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hidden="1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hidden="1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hidden="1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hidden="1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hidden="1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hidden="1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hidden="1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hidden="1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hidden="1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hidden="1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hidden="1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hidden="1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hidden="1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hidden="1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hidden="1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hidden="1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hidden="1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hidden="1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hidden="1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hidden="1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hidden="1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hidden="1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hidden="1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hidden="1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hidden="1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hidden="1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hidden="1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hidden="1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hidden="1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hidden="1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hidden="1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hidden="1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hidden="1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hidden="1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hidden="1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hidden="1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hidden="1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hidden="1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hidden="1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hidden="1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hidden="1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hidden="1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hidden="1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hidden="1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hidden="1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hidden="1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hidden="1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hidden="1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hidden="1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hidden="1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hidden="1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hidden="1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hidden="1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hidden="1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hidden="1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hidden="1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hidden="1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hidden="1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hidden="1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hidden="1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hidden="1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hidden="1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hidden="1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hidden="1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hidden="1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hidden="1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hidden="1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hidden="1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hidden="1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hidden="1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hidden="1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hidden="1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hidden="1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hidden="1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hidden="1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hidden="1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hidden="1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hidden="1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hidden="1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hidden="1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hidden="1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hidden="1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hidden="1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hidden="1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hidden="1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hidden="1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hidden="1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hidden="1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hidden="1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hidden="1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hidden="1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hidden="1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hidden="1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hidden="1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hidden="1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hidden="1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hidden="1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hidden="1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hidden="1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hidden="1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hidden="1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hidden="1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hidden="1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hidden="1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hidden="1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hidden="1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hidden="1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hidden="1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hidden="1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hidden="1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hidden="1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hidden="1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hidden="1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hidden="1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hidden="1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hidden="1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hidden="1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hidden="1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hidden="1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hidden="1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hidden="1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hidden="1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hidden="1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hidden="1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hidden="1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hidden="1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hidden="1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hidden="1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hidden="1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hidden="1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hidden="1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hidden="1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hidden="1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hidden="1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hidden="1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hidden="1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hidden="1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hidden="1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hidden="1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hidden="1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hidden="1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hidden="1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hidden="1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hidden="1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hidden="1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hidden="1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hidden="1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hidden="1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hidden="1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hidden="1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hidden="1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hidden="1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hidden="1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hidden="1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hidden="1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hidden="1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hidden="1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hidden="1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hidden="1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hidden="1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hidden="1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hidden="1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hidden="1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hidden="1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hidden="1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hidden="1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hidden="1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hidden="1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hidden="1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hidden="1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hidden="1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hidden="1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hidden="1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hidden="1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hidden="1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hidden="1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hidden="1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hidden="1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hidden="1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hidden="1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hidden="1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hidden="1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hidden="1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hidden="1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hidden="1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hidden="1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hidden="1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hidden="1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hidden="1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hidden="1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hidden="1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hidden="1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hidden="1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hidden="1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hidden="1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hidden="1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hidden="1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hidden="1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hidden="1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hidden="1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hidden="1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hidden="1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hidden="1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hidden="1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hidden="1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hidden="1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hidden="1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hidden="1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hidden="1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hidden="1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hidden="1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hidden="1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hidden="1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hidden="1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hidden="1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hidden="1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hidden="1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hidden="1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hidden="1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hidden="1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hidden="1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hidden="1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hidden="1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hidden="1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hidden="1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hidden="1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hidden="1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hidden="1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hidden="1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hidden="1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hidden="1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hidden="1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hidden="1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hidden="1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hidden="1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hidden="1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hidden="1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hidden="1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hidden="1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hidden="1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hidden="1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hidden="1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hidden="1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hidden="1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hidden="1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hidden="1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hidden="1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hidden="1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hidden="1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hidden="1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hidden="1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hidden="1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hidden="1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hidden="1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hidden="1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hidden="1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hidden="1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hidden="1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hidden="1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hidden="1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hidden="1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hidden="1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hidden="1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hidden="1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hidden="1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hidden="1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hidden="1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hidden="1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hidden="1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hidden="1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hidden="1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hidden="1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hidden="1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hidden="1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hidden="1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hidden="1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hidden="1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hidden="1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hidden="1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hidden="1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hidden="1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hidden="1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hidden="1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hidden="1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hidden="1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hidden="1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hidden="1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hidden="1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hidden="1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hidden="1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hidden="1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hidden="1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hidden="1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hidden="1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hidden="1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hidden="1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hidden="1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hidden="1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hidden="1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hidden="1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hidden="1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hidden="1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hidden="1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hidden="1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hidden="1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hidden="1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hidden="1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hidden="1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hidden="1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hidden="1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hidden="1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hidden="1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hidden="1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hidden="1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hidden="1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hidden="1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hidden="1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hidden="1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hidden="1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hidden="1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hidden="1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hidden="1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hidden="1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hidden="1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hidden="1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hidden="1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hidden="1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hidden="1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hidden="1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hidden="1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hidden="1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hidden="1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hidden="1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hidden="1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hidden="1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hidden="1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hidden="1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hidden="1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hidden="1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hidden="1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hidden="1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hidden="1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hidden="1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hidden="1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hidden="1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hidden="1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hidden="1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hidden="1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hidden="1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hidden="1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hidden="1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hidden="1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hidden="1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hidden="1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hidden="1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hidden="1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hidden="1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hidden="1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hidden="1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hidden="1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hidden="1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hidden="1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hidden="1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hidden="1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hidden="1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hidden="1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hidden="1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hidden="1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hidden="1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hidden="1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hidden="1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hidden="1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hidden="1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hidden="1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hidden="1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hidden="1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hidden="1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hidden="1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hidden="1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hidden="1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hidden="1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hidden="1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hidden="1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hidden="1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hidden="1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hidden="1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hidden="1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hidden="1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hidden="1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hidden="1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hidden="1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hidden="1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hidden="1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hidden="1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hidden="1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hidden="1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hidden="1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hidden="1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hidden="1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hidden="1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hidden="1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hidden="1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hidden="1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hidden="1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hidden="1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hidden="1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hidden="1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hidden="1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hidden="1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hidden="1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hidden="1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hidden="1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hidden="1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hidden="1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hidden="1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hidden="1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hidden="1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hidden="1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hidden="1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hidden="1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hidden="1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hidden="1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hidden="1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hidden="1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hidden="1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hidden="1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hidden="1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hidden="1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hidden="1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hidden="1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hidden="1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hidden="1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hidden="1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hidden="1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hidden="1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hidden="1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hidden="1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hidden="1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hidden="1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hidden="1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hidden="1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hidden="1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hidden="1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hidden="1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hidden="1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hidden="1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hidden="1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hidden="1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hidden="1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hidden="1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hidden="1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hidden="1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hidden="1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hidden="1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hidden="1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hidden="1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hidden="1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hidden="1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hidden="1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hidden="1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hidden="1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hidden="1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hidden="1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hidden="1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hidden="1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hidden="1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hidden="1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hidden="1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hidden="1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hidden="1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hidden="1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hidden="1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hidden="1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hidden="1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hidden="1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hidden="1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hidden="1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hidden="1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hidden="1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hidden="1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hidden="1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hidden="1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hidden="1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hidden="1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hidden="1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hidden="1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hidden="1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hidden="1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hidden="1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hidden="1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hidden="1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hidden="1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hidden="1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hidden="1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hidden="1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hidden="1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hidden="1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hidden="1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hidden="1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hidden="1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hidden="1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hidden="1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hidden="1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hidden="1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hidden="1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hidden="1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hidden="1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hidden="1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hidden="1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hidden="1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hidden="1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hidden="1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hidden="1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hidden="1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hidden="1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hidden="1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hidden="1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hidden="1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hidden="1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hidden="1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hidden="1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hidden="1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hidden="1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hidden="1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hidden="1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hidden="1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hidden="1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hidden="1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hidden="1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hidden="1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hidden="1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hidden="1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hidden="1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hidden="1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hidden="1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hidden="1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hidden="1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hidden="1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hidden="1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hidden="1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hidden="1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hidden="1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hidden="1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hidden="1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hidden="1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hidden="1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hidden="1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hidden="1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hidden="1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hidden="1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hidden="1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hidden="1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hidden="1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hidden="1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hidden="1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hidden="1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hidden="1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hidden="1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hidden="1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hidden="1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hidden="1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hidden="1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hidden="1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hidden="1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hidden="1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hidden="1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hidden="1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hidden="1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hidden="1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hidden="1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hidden="1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hidden="1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hidden="1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hidden="1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hidden="1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hidden="1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hidden="1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hidden="1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hidden="1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hidden="1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hidden="1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hidden="1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hidden="1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hidden="1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hidden="1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hidden="1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hidden="1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hidden="1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hidden="1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hidden="1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hidden="1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hidden="1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hidden="1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hidden="1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hidden="1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hidden="1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hidden="1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hidden="1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hidden="1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hidden="1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hidden="1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hidden="1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hidden="1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hidden="1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hidden="1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hidden="1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hidden="1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hidden="1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hidden="1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hidden="1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hidden="1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hidden="1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hidden="1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hidden="1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hidden="1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hidden="1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hidden="1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hidden="1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hidden="1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hidden="1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hidden="1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hidden="1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hidden="1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hidden="1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hidden="1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hidden="1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hidden="1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hidden="1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hidden="1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hidden="1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hidden="1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hidden="1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hidden="1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hidden="1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hidden="1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hidden="1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hidden="1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hidden="1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hidden="1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hidden="1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hidden="1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hidden="1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hidden="1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hidden="1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hidden="1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hidden="1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hidden="1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hidden="1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hidden="1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hidden="1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hidden="1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hidden="1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hidden="1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hidden="1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hidden="1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hidden="1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hidden="1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hidden="1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hidden="1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hidden="1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hidden="1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hidden="1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hidden="1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hidden="1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hidden="1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hidden="1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hidden="1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hidden="1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hidden="1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hidden="1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hidden="1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hidden="1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hidden="1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hidden="1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hidden="1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hidden="1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hidden="1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hidden="1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hidden="1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hidden="1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hidden="1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hidden="1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hidden="1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hidden="1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hidden="1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hidden="1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hidden="1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hidden="1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hidden="1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hidden="1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hidden="1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hidden="1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hidden="1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hidden="1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hidden="1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hidden="1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hidden="1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hidden="1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hidden="1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hidden="1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hidden="1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hidden="1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hidden="1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hidden="1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hidden="1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hidden="1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hidden="1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hidden="1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hidden="1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hidden="1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hidden="1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hidden="1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hidden="1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hidden="1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hidden="1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hidden="1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hidden="1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hidden="1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hidden="1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hidden="1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hidden="1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hidden="1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hidden="1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hidden="1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hidden="1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hidden="1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hidden="1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hidden="1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hidden="1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hidden="1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hidden="1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hidden="1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hidden="1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hidden="1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hidden="1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hidden="1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hidden="1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hidden="1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hidden="1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hidden="1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hidden="1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hidden="1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hidden="1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hidden="1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hidden="1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hidden="1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hidden="1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hidden="1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hidden="1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hidden="1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hidden="1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hidden="1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hidden="1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hidden="1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hidden="1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hidden="1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hidden="1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hidden="1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hidden="1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hidden="1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hidden="1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hidden="1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hidden="1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hidden="1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hidden="1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hidden="1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hidden="1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hidden="1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hidden="1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hidden="1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hidden="1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hidden="1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hidden="1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hidden="1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hidden="1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hidden="1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hidden="1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hidden="1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hidden="1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hidden="1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hidden="1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hidden="1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hidden="1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hidden="1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hidden="1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hidden="1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hidden="1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hidden="1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hidden="1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hidden="1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hidden="1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hidden="1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hidden="1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hidden="1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hidden="1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hidden="1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hidden="1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hidden="1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hidden="1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hidden="1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hidden="1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hidden="1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hidden="1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hidden="1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hidden="1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hidden="1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hidden="1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hidden="1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hidden="1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hidden="1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hidden="1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hidden="1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hidden="1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hidden="1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hidden="1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hidden="1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hidden="1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hidden="1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hidden="1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hidden="1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hidden="1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hidden="1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hidden="1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hidden="1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hidden="1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hidden="1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hidden="1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hidden="1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hidden="1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hidden="1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hidden="1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hidden="1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hidden="1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hidden="1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hidden="1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hidden="1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hidden="1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hidden="1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hidden="1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hidden="1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hidden="1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hidden="1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hidden="1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hidden="1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hidden="1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hidden="1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hidden="1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hidden="1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hidden="1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hidden="1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hidden="1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hidden="1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hidden="1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hidden="1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hidden="1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hidden="1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hidden="1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hidden="1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hidden="1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hidden="1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hidden="1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hidden="1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hidden="1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hidden="1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hidden="1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hidden="1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hidden="1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hidden="1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hidden="1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hidden="1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hidden="1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hidden="1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hidden="1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hidden="1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hidden="1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hidden="1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hidden="1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hidden="1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hidden="1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hidden="1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hidden="1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hidden="1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hidden="1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14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hidden="1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hidden="1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hidden="1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hidden="1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hidden="1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hidden="1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hidden="1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hidden="1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hidden="1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hidden="1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hidden="1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hidden="1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hidden="1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hidden="1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hidden="1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hidden="1" x14ac:dyDescent="0.3">
      <c r="A1169">
        <v>36637</v>
      </c>
      <c r="B1169" t="s">
        <v>28</v>
      </c>
      <c r="C1169" t="s">
        <v>15</v>
      </c>
      <c r="D1169" t="s">
        <v>16</v>
      </c>
      <c r="E1169" t="s">
        <v>116</v>
      </c>
      <c r="F1169" s="6" t="str">
        <f t="shared" si="18"/>
        <v>3ML</v>
      </c>
      <c r="G1169" s="7">
        <v>46204</v>
      </c>
      <c r="H1169" s="8">
        <v>0.33402777777777781</v>
      </c>
      <c r="I1169" s="7">
        <v>46204</v>
      </c>
      <c r="J1169" s="1"/>
      <c r="K1169" s="1">
        <v>46213</v>
      </c>
      <c r="L1169" t="s">
        <v>69</v>
      </c>
      <c r="M1169" t="s">
        <v>129</v>
      </c>
      <c r="N1169" t="s">
        <v>208</v>
      </c>
      <c r="O1169" t="s">
        <v>24</v>
      </c>
      <c r="P1169">
        <v>30710</v>
      </c>
      <c r="Q1169" t="s">
        <v>19</v>
      </c>
      <c r="R1169">
        <v>44991</v>
      </c>
      <c r="S1169" t="str">
        <f>VLOOKUP(L1169&amp;TEXT(I1169,"mmmm")&amp;YEAR(I1169),'[1]Detalle C-Fecha'!$D$2:$E$15921,2,FALSE)</f>
        <v>ADA_CH - Danone Arg. S.A. - Chascomus</v>
      </c>
    </row>
    <row r="1170" spans="1:19" hidden="1" x14ac:dyDescent="0.3">
      <c r="A1170">
        <v>36637</v>
      </c>
      <c r="B1170" t="s">
        <v>28</v>
      </c>
      <c r="C1170" t="s">
        <v>15</v>
      </c>
      <c r="D1170" t="s">
        <v>16</v>
      </c>
      <c r="E1170" t="s">
        <v>116</v>
      </c>
      <c r="F1170" s="6" t="str">
        <f t="shared" si="18"/>
        <v>3ML</v>
      </c>
      <c r="G1170" s="7">
        <v>46204</v>
      </c>
      <c r="H1170" s="8">
        <v>0.33402777777777781</v>
      </c>
      <c r="I1170" s="7">
        <v>46204</v>
      </c>
      <c r="J1170" s="1"/>
      <c r="K1170" s="1">
        <v>46213</v>
      </c>
      <c r="L1170" t="s">
        <v>69</v>
      </c>
      <c r="M1170" t="s">
        <v>129</v>
      </c>
      <c r="N1170" t="s">
        <v>208</v>
      </c>
      <c r="O1170" t="s">
        <v>24</v>
      </c>
      <c r="P1170">
        <v>30710</v>
      </c>
      <c r="Q1170" t="s">
        <v>19</v>
      </c>
      <c r="R1170">
        <v>44943</v>
      </c>
      <c r="S1170" t="str">
        <f>VLOOKUP(L1170&amp;TEXT(I1170,"mmmm")&amp;YEAR(I1170),'[1]Detalle C-Fecha'!$D$2:$E$15921,2,FALSE)</f>
        <v>ADA_CH - Danone Arg. S.A. - Chascomus</v>
      </c>
    </row>
    <row r="1171" spans="1:19" hidden="1" x14ac:dyDescent="0.3">
      <c r="A1171">
        <v>36638</v>
      </c>
      <c r="B1171" t="s">
        <v>28</v>
      </c>
      <c r="C1171" t="s">
        <v>15</v>
      </c>
      <c r="D1171" t="s">
        <v>16</v>
      </c>
      <c r="E1171" t="s">
        <v>117</v>
      </c>
      <c r="F1171" s="6" t="str">
        <f t="shared" si="18"/>
        <v>6ML</v>
      </c>
      <c r="G1171" s="7">
        <v>46204</v>
      </c>
      <c r="H1171" s="8">
        <v>0.33402777777777781</v>
      </c>
      <c r="I1171" s="7">
        <v>46204</v>
      </c>
      <c r="J1171" s="1">
        <v>46204</v>
      </c>
      <c r="K1171" s="1">
        <v>46213</v>
      </c>
      <c r="L1171" t="s">
        <v>69</v>
      </c>
      <c r="M1171" t="s">
        <v>129</v>
      </c>
      <c r="N1171" t="s">
        <v>208</v>
      </c>
      <c r="O1171" t="s">
        <v>24</v>
      </c>
      <c r="P1171">
        <v>30709</v>
      </c>
      <c r="Q1171" t="s">
        <v>19</v>
      </c>
      <c r="R1171">
        <v>44991</v>
      </c>
      <c r="S1171" t="str">
        <f>VLOOKUP(L1171&amp;TEXT(I1171,"mmmm")&amp;YEAR(I1171),'[1]Detalle C-Fecha'!$D$2:$E$15921,2,FALSE)</f>
        <v>ADA_CH - Danone Arg. S.A. - Chascomus</v>
      </c>
    </row>
    <row r="1172" spans="1:19" hidden="1" x14ac:dyDescent="0.3">
      <c r="A1172">
        <v>36638</v>
      </c>
      <c r="B1172" t="s">
        <v>28</v>
      </c>
      <c r="C1172" t="s">
        <v>15</v>
      </c>
      <c r="D1172" t="s">
        <v>16</v>
      </c>
      <c r="E1172" t="s">
        <v>117</v>
      </c>
      <c r="F1172" s="6" t="str">
        <f t="shared" si="18"/>
        <v>6ML</v>
      </c>
      <c r="G1172" s="7">
        <v>46204</v>
      </c>
      <c r="H1172" s="8">
        <v>0.33402777777777781</v>
      </c>
      <c r="I1172" s="7">
        <v>46204</v>
      </c>
      <c r="J1172" s="1">
        <v>46204</v>
      </c>
      <c r="K1172" s="1">
        <v>46213</v>
      </c>
      <c r="L1172" t="s">
        <v>69</v>
      </c>
      <c r="M1172" t="s">
        <v>129</v>
      </c>
      <c r="N1172" t="s">
        <v>208</v>
      </c>
      <c r="O1172" t="s">
        <v>24</v>
      </c>
      <c r="P1172">
        <v>30709</v>
      </c>
      <c r="Q1172" t="s">
        <v>19</v>
      </c>
      <c r="R1172">
        <v>44944</v>
      </c>
      <c r="S1172" t="str">
        <f>VLOOKUP(L1172&amp;TEXT(I1172,"mmmm")&amp;YEAR(I1172),'[1]Detalle C-Fecha'!$D$2:$E$15921,2,FALSE)</f>
        <v>ADA_CH - Danone Arg. S.A. - Chascomus</v>
      </c>
    </row>
    <row r="1173" spans="1:19" x14ac:dyDescent="0.3">
      <c r="A1173">
        <v>36669</v>
      </c>
      <c r="B1173" t="s">
        <v>28</v>
      </c>
      <c r="C1173" t="s">
        <v>15</v>
      </c>
      <c r="D1173" t="s">
        <v>16</v>
      </c>
      <c r="E1173" t="s">
        <v>51</v>
      </c>
      <c r="F1173" s="6" t="str">
        <f t="shared" si="18"/>
        <v>2MC</v>
      </c>
      <c r="G1173" s="7">
        <v>46205</v>
      </c>
      <c r="H1173" s="8">
        <v>0.5131944444444444</v>
      </c>
      <c r="I1173" s="7">
        <v>46205</v>
      </c>
      <c r="J1173" s="1"/>
      <c r="K1173" s="1">
        <v>46213</v>
      </c>
      <c r="L1173" t="s">
        <v>283</v>
      </c>
      <c r="M1173" t="s">
        <v>178</v>
      </c>
      <c r="N1173" t="s">
        <v>208</v>
      </c>
      <c r="O1173" t="s">
        <v>27</v>
      </c>
      <c r="P1173">
        <v>30732</v>
      </c>
      <c r="Q1173" t="s">
        <v>19</v>
      </c>
      <c r="R1173">
        <v>44946</v>
      </c>
      <c r="S1173" t="str">
        <f>VLOOKUP(L1173&amp;TEXT(I1173,"mmmm")&amp;YEAR(I1173),'[1]Detalle C-Fecha'!$D$2:$E$15921,2,FALSE)</f>
        <v>Topacio</v>
      </c>
    </row>
    <row r="1174" spans="1:19" x14ac:dyDescent="0.3">
      <c r="A1174">
        <v>36669</v>
      </c>
      <c r="B1174" t="s">
        <v>28</v>
      </c>
      <c r="C1174" t="s">
        <v>15</v>
      </c>
      <c r="D1174" t="s">
        <v>16</v>
      </c>
      <c r="E1174" t="s">
        <v>51</v>
      </c>
      <c r="F1174" s="6" t="str">
        <f t="shared" si="18"/>
        <v>2MC</v>
      </c>
      <c r="G1174" s="7">
        <v>46205</v>
      </c>
      <c r="H1174" s="8">
        <v>0.5131944444444444</v>
      </c>
      <c r="I1174" s="7">
        <v>46205</v>
      </c>
      <c r="J1174" s="1"/>
      <c r="K1174" s="1">
        <v>46213</v>
      </c>
      <c r="L1174" t="s">
        <v>283</v>
      </c>
      <c r="M1174" t="s">
        <v>178</v>
      </c>
      <c r="N1174" t="s">
        <v>208</v>
      </c>
      <c r="O1174" t="s">
        <v>27</v>
      </c>
      <c r="P1174">
        <v>30732</v>
      </c>
      <c r="Q1174" t="s">
        <v>19</v>
      </c>
      <c r="R1174">
        <v>44995</v>
      </c>
      <c r="S1174" t="str">
        <f>VLOOKUP(L1174&amp;TEXT(I1174,"mmmm")&amp;YEAR(I1174),'[1]Detalle C-Fecha'!$D$2:$E$15921,2,FALSE)</f>
        <v>Topacio</v>
      </c>
    </row>
    <row r="1175" spans="1:19" hidden="1" x14ac:dyDescent="0.3">
      <c r="A1175">
        <v>36670</v>
      </c>
      <c r="B1175" t="s">
        <v>28</v>
      </c>
      <c r="C1175" t="s">
        <v>15</v>
      </c>
      <c r="D1175" t="s">
        <v>16</v>
      </c>
      <c r="E1175" t="s">
        <v>53</v>
      </c>
      <c r="F1175" s="6" t="str">
        <f t="shared" si="18"/>
        <v>3MC</v>
      </c>
      <c r="G1175" s="7">
        <v>46205</v>
      </c>
      <c r="H1175" s="8">
        <v>0.51388888888888895</v>
      </c>
      <c r="I1175" s="7">
        <v>46205</v>
      </c>
      <c r="J1175" s="1"/>
      <c r="K1175" s="1">
        <v>46213</v>
      </c>
      <c r="L1175" t="s">
        <v>283</v>
      </c>
      <c r="M1175" t="s">
        <v>178</v>
      </c>
      <c r="N1175" t="s">
        <v>208</v>
      </c>
      <c r="O1175" t="s">
        <v>27</v>
      </c>
      <c r="P1175">
        <v>30733</v>
      </c>
      <c r="Q1175" t="s">
        <v>123</v>
      </c>
      <c r="S1175" t="str">
        <f>VLOOKUP(L1175&amp;TEXT(I1175,"mmmm")&amp;YEAR(I1175),'[1]Detalle C-Fecha'!$D$2:$E$15921,2,FALSE)</f>
        <v>Topacio</v>
      </c>
    </row>
    <row r="1176" spans="1:19" hidden="1" x14ac:dyDescent="0.3">
      <c r="A1176">
        <v>36670</v>
      </c>
      <c r="B1176" t="s">
        <v>28</v>
      </c>
      <c r="C1176" t="s">
        <v>15</v>
      </c>
      <c r="D1176" t="s">
        <v>16</v>
      </c>
      <c r="E1176" t="s">
        <v>53</v>
      </c>
      <c r="F1176" s="6" t="str">
        <f t="shared" si="18"/>
        <v>3MC</v>
      </c>
      <c r="G1176" s="7">
        <v>46205</v>
      </c>
      <c r="H1176" s="8">
        <v>0.51388888888888895</v>
      </c>
      <c r="I1176" s="7">
        <v>46205</v>
      </c>
      <c r="J1176" s="1"/>
      <c r="K1176" s="1">
        <v>46213</v>
      </c>
      <c r="L1176" t="s">
        <v>283</v>
      </c>
      <c r="M1176" t="s">
        <v>178</v>
      </c>
      <c r="N1176" t="s">
        <v>208</v>
      </c>
      <c r="O1176" t="s">
        <v>27</v>
      </c>
      <c r="P1176">
        <v>30733</v>
      </c>
      <c r="Q1176" t="s">
        <v>123</v>
      </c>
      <c r="R1176">
        <v>45049</v>
      </c>
      <c r="S1176" t="str">
        <f>VLOOKUP(L1176&amp;TEXT(I1176,"mmmm")&amp;YEAR(I1176),'[1]Detalle C-Fecha'!$D$2:$E$15921,2,FALSE)</f>
        <v>Topacio</v>
      </c>
    </row>
    <row r="1177" spans="1:19" hidden="1" x14ac:dyDescent="0.3">
      <c r="A1177">
        <v>36671</v>
      </c>
      <c r="B1177" t="s">
        <v>28</v>
      </c>
      <c r="C1177" t="s">
        <v>15</v>
      </c>
      <c r="D1177" t="s">
        <v>23</v>
      </c>
      <c r="E1177" t="s">
        <v>112</v>
      </c>
      <c r="F1177" s="6" t="str">
        <f t="shared" si="18"/>
        <v>6MC</v>
      </c>
      <c r="G1177" s="7">
        <v>46205</v>
      </c>
      <c r="H1177" s="8">
        <v>0.51388888888888895</v>
      </c>
      <c r="I1177" s="7">
        <v>46205</v>
      </c>
      <c r="J1177" s="1"/>
      <c r="K1177" s="1">
        <v>46213</v>
      </c>
      <c r="L1177" t="s">
        <v>283</v>
      </c>
      <c r="M1177" t="s">
        <v>178</v>
      </c>
      <c r="N1177" t="s">
        <v>208</v>
      </c>
      <c r="O1177" t="s">
        <v>27</v>
      </c>
      <c r="P1177">
        <v>30734</v>
      </c>
      <c r="Q1177" t="s">
        <v>123</v>
      </c>
      <c r="S1177" t="str">
        <f>VLOOKUP(L1177&amp;TEXT(I1177,"mmmm")&amp;YEAR(I1177),'[1]Detalle C-Fecha'!$D$2:$E$15921,2,FALSE)</f>
        <v>Topacio</v>
      </c>
    </row>
    <row r="1178" spans="1:19" x14ac:dyDescent="0.3">
      <c r="A1178">
        <v>36674</v>
      </c>
      <c r="B1178" t="s">
        <v>28</v>
      </c>
      <c r="C1178" t="s">
        <v>15</v>
      </c>
      <c r="D1178" t="s">
        <v>23</v>
      </c>
      <c r="E1178" t="s">
        <v>35</v>
      </c>
      <c r="F1178" s="6" t="str">
        <f t="shared" si="18"/>
        <v>2ML</v>
      </c>
      <c r="G1178" s="7">
        <v>46205</v>
      </c>
      <c r="H1178" s="8">
        <v>0.5229166666666667</v>
      </c>
      <c r="I1178" s="7">
        <v>46205</v>
      </c>
      <c r="J1178" s="1"/>
      <c r="K1178" s="1">
        <v>46213</v>
      </c>
      <c r="L1178" t="s">
        <v>284</v>
      </c>
      <c r="M1178" t="s">
        <v>126</v>
      </c>
      <c r="N1178" t="s">
        <v>208</v>
      </c>
      <c r="O1178" t="s">
        <v>27</v>
      </c>
      <c r="P1178">
        <v>30737</v>
      </c>
      <c r="Q1178" t="s">
        <v>123</v>
      </c>
      <c r="S1178" t="str">
        <f>VLOOKUP(L1178&amp;TEXT(I1178,"mmmm")&amp;YEAR(I1178),'[1]Detalle C-Fecha'!$D$2:$E$15921,2,FALSE)</f>
        <v>Unilever - Unilever de Arg. S.A.</v>
      </c>
    </row>
    <row r="1179" spans="1:19" hidden="1" x14ac:dyDescent="0.3">
      <c r="A1179">
        <v>36675</v>
      </c>
      <c r="B1179" t="s">
        <v>28</v>
      </c>
      <c r="C1179" t="s">
        <v>15</v>
      </c>
      <c r="D1179" t="s">
        <v>23</v>
      </c>
      <c r="E1179" t="s">
        <v>47</v>
      </c>
      <c r="F1179" s="6" t="str">
        <f t="shared" si="18"/>
        <v>3ML</v>
      </c>
      <c r="G1179" s="7">
        <v>46205</v>
      </c>
      <c r="H1179" s="8">
        <v>0.5229166666666667</v>
      </c>
      <c r="I1179" s="7">
        <v>46205</v>
      </c>
      <c r="J1179" s="1"/>
      <c r="K1179" s="1">
        <v>46213</v>
      </c>
      <c r="L1179" t="s">
        <v>284</v>
      </c>
      <c r="M1179" t="s">
        <v>126</v>
      </c>
      <c r="N1179" t="s">
        <v>208</v>
      </c>
      <c r="O1179" t="s">
        <v>27</v>
      </c>
      <c r="P1179">
        <v>30738</v>
      </c>
      <c r="Q1179" t="s">
        <v>123</v>
      </c>
      <c r="S1179" t="str">
        <f>VLOOKUP(L1179&amp;TEXT(I1179,"mmmm")&amp;YEAR(I1179),'[1]Detalle C-Fecha'!$D$2:$E$15921,2,FALSE)</f>
        <v>Unilever - Unilever de Arg. S.A.</v>
      </c>
    </row>
    <row r="1180" spans="1:19" hidden="1" x14ac:dyDescent="0.3">
      <c r="A1180">
        <v>36676</v>
      </c>
      <c r="B1180" t="s">
        <v>28</v>
      </c>
      <c r="C1180" t="s">
        <v>15</v>
      </c>
      <c r="D1180" t="s">
        <v>23</v>
      </c>
      <c r="E1180" t="s">
        <v>46</v>
      </c>
      <c r="F1180" s="6" t="str">
        <f t="shared" si="18"/>
        <v>6ML</v>
      </c>
      <c r="G1180" s="7">
        <v>46205</v>
      </c>
      <c r="H1180" s="8">
        <v>0.5229166666666667</v>
      </c>
      <c r="I1180" s="7">
        <v>46205</v>
      </c>
      <c r="J1180" s="1"/>
      <c r="K1180" s="1">
        <v>46213</v>
      </c>
      <c r="L1180" t="s">
        <v>284</v>
      </c>
      <c r="M1180" t="s">
        <v>126</v>
      </c>
      <c r="N1180" t="s">
        <v>208</v>
      </c>
      <c r="O1180" t="s">
        <v>27</v>
      </c>
      <c r="P1180">
        <v>30739</v>
      </c>
      <c r="Q1180" t="s">
        <v>123</v>
      </c>
      <c r="S1180" t="str">
        <f>VLOOKUP(L1180&amp;TEXT(I1180,"mmmm")&amp;YEAR(I1180),'[1]Detalle C-Fecha'!$D$2:$E$15921,2,FALSE)</f>
        <v>Unilever - Unilever de Arg. S.A.</v>
      </c>
    </row>
    <row r="1181" spans="1:19" x14ac:dyDescent="0.3">
      <c r="A1181">
        <v>36690</v>
      </c>
      <c r="B1181" t="s">
        <v>28</v>
      </c>
      <c r="C1181" t="s">
        <v>15</v>
      </c>
      <c r="D1181" t="s">
        <v>23</v>
      </c>
      <c r="E1181" t="s">
        <v>113</v>
      </c>
      <c r="F1181" s="6" t="str">
        <f t="shared" si="18"/>
        <v>2MC</v>
      </c>
      <c r="G1181" s="7">
        <v>46205</v>
      </c>
      <c r="H1181" s="8">
        <v>0.77361111111111114</v>
      </c>
      <c r="I1181" s="7">
        <v>46205</v>
      </c>
      <c r="J1181" s="1">
        <v>46205</v>
      </c>
      <c r="K1181" s="1">
        <v>46213</v>
      </c>
      <c r="L1181" t="s">
        <v>285</v>
      </c>
      <c r="M1181" t="s">
        <v>128</v>
      </c>
      <c r="N1181" t="s">
        <v>208</v>
      </c>
      <c r="O1181" t="s">
        <v>18</v>
      </c>
      <c r="P1181">
        <v>30751</v>
      </c>
      <c r="Q1181" t="s">
        <v>123</v>
      </c>
      <c r="S1181" t="str">
        <f>VLOOKUP(L1181&amp;TEXT(I1181,"mmmm")&amp;YEAR(I1181),'[1]Detalle C-Fecha'!$D$2:$E$15921,2,FALSE)</f>
        <v>CMQ_TTE - QUILMES TTE</v>
      </c>
    </row>
    <row r="1182" spans="1:19" hidden="1" x14ac:dyDescent="0.3">
      <c r="A1182">
        <v>36691</v>
      </c>
      <c r="B1182" t="s">
        <v>28</v>
      </c>
      <c r="C1182" t="s">
        <v>15</v>
      </c>
      <c r="D1182" t="s">
        <v>23</v>
      </c>
      <c r="E1182" t="s">
        <v>122</v>
      </c>
      <c r="F1182" s="6" t="str">
        <f t="shared" si="18"/>
        <v>3MC</v>
      </c>
      <c r="G1182" s="7">
        <v>46205</v>
      </c>
      <c r="H1182" s="8">
        <v>0.77361111111111114</v>
      </c>
      <c r="I1182" s="7">
        <v>46205</v>
      </c>
      <c r="J1182" s="1">
        <v>46205</v>
      </c>
      <c r="K1182" s="1">
        <v>46213</v>
      </c>
      <c r="L1182" t="s">
        <v>285</v>
      </c>
      <c r="M1182" t="s">
        <v>128</v>
      </c>
      <c r="N1182" t="s">
        <v>208</v>
      </c>
      <c r="O1182" t="s">
        <v>18</v>
      </c>
      <c r="P1182">
        <v>30752</v>
      </c>
      <c r="Q1182" t="s">
        <v>123</v>
      </c>
      <c r="S1182" t="str">
        <f>VLOOKUP(L1182&amp;TEXT(I1182,"mmmm")&amp;YEAR(I1182),'[1]Detalle C-Fecha'!$D$2:$E$15921,2,FALSE)</f>
        <v>CMQ_TTE - QUILMES TTE</v>
      </c>
    </row>
    <row r="1183" spans="1:19" hidden="1" x14ac:dyDescent="0.3">
      <c r="A1183">
        <v>36692</v>
      </c>
      <c r="B1183" t="s">
        <v>28</v>
      </c>
      <c r="C1183" t="s">
        <v>15</v>
      </c>
      <c r="D1183" t="s">
        <v>23</v>
      </c>
      <c r="E1183" t="s">
        <v>114</v>
      </c>
      <c r="F1183" s="6" t="str">
        <f t="shared" si="18"/>
        <v>6MC</v>
      </c>
      <c r="G1183" s="7">
        <v>46205</v>
      </c>
      <c r="H1183" s="8">
        <v>0.77361111111111114</v>
      </c>
      <c r="I1183" s="7">
        <v>46205</v>
      </c>
      <c r="J1183" s="1">
        <v>46205</v>
      </c>
      <c r="K1183" s="1">
        <v>46213</v>
      </c>
      <c r="L1183" t="s">
        <v>285</v>
      </c>
      <c r="M1183" t="s">
        <v>128</v>
      </c>
      <c r="N1183" t="s">
        <v>208</v>
      </c>
      <c r="O1183" t="s">
        <v>18</v>
      </c>
      <c r="P1183">
        <v>30753</v>
      </c>
      <c r="Q1183" t="s">
        <v>123</v>
      </c>
      <c r="S1183" t="str">
        <f>VLOOKUP(L1183&amp;TEXT(I1183,"mmmm")&amp;YEAR(I1183),'[1]Detalle C-Fecha'!$D$2:$E$15921,2,FALSE)</f>
        <v>CMQ_TTE - QUILMES TTE</v>
      </c>
    </row>
    <row r="1184" spans="1:19" x14ac:dyDescent="0.3">
      <c r="A1184">
        <v>36699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7">
        <v>46206</v>
      </c>
      <c r="H1184" s="8">
        <v>0.39305555555555555</v>
      </c>
      <c r="I1184" s="7">
        <v>46206</v>
      </c>
      <c r="J1184" s="1"/>
      <c r="K1184" s="1">
        <v>46213</v>
      </c>
      <c r="L1184" t="s">
        <v>286</v>
      </c>
      <c r="M1184">
        <v>1620</v>
      </c>
      <c r="N1184" t="s">
        <v>208</v>
      </c>
      <c r="O1184" t="s">
        <v>27</v>
      </c>
      <c r="P1184">
        <v>30759</v>
      </c>
      <c r="Q1184" t="s">
        <v>123</v>
      </c>
      <c r="S1184" t="str">
        <f>VLOOKUP(L1184&amp;TEXT(I1184,"mmmm")&amp;YEAR(I1184),'[1]Detalle C-Fecha'!$D$2:$E$15921,2,FALSE)</f>
        <v>Molca</v>
      </c>
    </row>
    <row r="1185" spans="1:19" hidden="1" x14ac:dyDescent="0.3">
      <c r="A1185">
        <v>36700</v>
      </c>
      <c r="B1185" t="s">
        <v>28</v>
      </c>
      <c r="C1185" t="s">
        <v>124</v>
      </c>
      <c r="D1185" t="s">
        <v>23</v>
      </c>
      <c r="E1185" t="s">
        <v>53</v>
      </c>
      <c r="F1185" s="6" t="str">
        <f t="shared" si="18"/>
        <v>3MC</v>
      </c>
      <c r="G1185" s="7">
        <v>46206</v>
      </c>
      <c r="H1185" s="8">
        <v>0.39305555555555555</v>
      </c>
      <c r="I1185" s="7">
        <v>46206</v>
      </c>
      <c r="J1185" s="1"/>
      <c r="K1185" s="1"/>
      <c r="L1185" t="s">
        <v>286</v>
      </c>
      <c r="M1185">
        <v>1620</v>
      </c>
      <c r="N1185" t="s">
        <v>208</v>
      </c>
      <c r="O1185" t="s">
        <v>27</v>
      </c>
      <c r="P1185">
        <v>30760</v>
      </c>
      <c r="Q1185" t="s">
        <v>123</v>
      </c>
      <c r="S1185" t="str">
        <f>VLOOKUP(L1185&amp;TEXT(I1185,"mmmm")&amp;YEAR(I1185),'[1]Detalle C-Fecha'!$D$2:$E$15921,2,FALSE)</f>
        <v>Molca</v>
      </c>
    </row>
    <row r="1186" spans="1:19" hidden="1" x14ac:dyDescent="0.3">
      <c r="A1186">
        <v>36701</v>
      </c>
      <c r="B1186" t="s">
        <v>28</v>
      </c>
      <c r="C1186" t="s">
        <v>15</v>
      </c>
      <c r="D1186" t="s">
        <v>23</v>
      </c>
      <c r="E1186" t="s">
        <v>111</v>
      </c>
      <c r="F1186" s="6" t="str">
        <f t="shared" si="18"/>
        <v>6MC</v>
      </c>
      <c r="G1186" s="7">
        <v>46206</v>
      </c>
      <c r="H1186" s="8">
        <v>0.39305555555555555</v>
      </c>
      <c r="I1186" s="7">
        <v>46206</v>
      </c>
      <c r="J1186" s="1"/>
      <c r="K1186" s="1">
        <v>46213</v>
      </c>
      <c r="L1186" t="s">
        <v>286</v>
      </c>
      <c r="M1186">
        <v>1620</v>
      </c>
      <c r="N1186" t="s">
        <v>208</v>
      </c>
      <c r="O1186" t="s">
        <v>27</v>
      </c>
      <c r="P1186">
        <v>30761</v>
      </c>
      <c r="Q1186" t="s">
        <v>123</v>
      </c>
      <c r="S1186" t="str">
        <f>VLOOKUP(L1186&amp;TEXT(I1186,"mmmm")&amp;YEAR(I1186),'[1]Detalle C-Fecha'!$D$2:$E$15921,2,FALSE)</f>
        <v>Molca</v>
      </c>
    </row>
    <row r="1187" spans="1:19" x14ac:dyDescent="0.3">
      <c r="A1187">
        <v>36891</v>
      </c>
      <c r="B1187" t="s">
        <v>28</v>
      </c>
      <c r="C1187" t="s">
        <v>15</v>
      </c>
      <c r="D1187" t="s">
        <v>23</v>
      </c>
      <c r="E1187" t="s">
        <v>115</v>
      </c>
      <c r="F1187" s="6" t="str">
        <f t="shared" si="18"/>
        <v>2ML</v>
      </c>
      <c r="G1187" s="7">
        <v>46209</v>
      </c>
      <c r="H1187" s="8">
        <v>0.37847222222222227</v>
      </c>
      <c r="I1187" s="7">
        <v>46209</v>
      </c>
      <c r="J1187" s="1"/>
      <c r="K1187" s="1">
        <v>46213</v>
      </c>
      <c r="L1187" t="s">
        <v>64</v>
      </c>
      <c r="M1187" t="s">
        <v>129</v>
      </c>
      <c r="N1187" t="s">
        <v>208</v>
      </c>
      <c r="O1187" t="s">
        <v>24</v>
      </c>
      <c r="P1187">
        <v>30842</v>
      </c>
      <c r="Q1187" t="s">
        <v>123</v>
      </c>
      <c r="S1187" t="str">
        <f>VLOOKUP(L1187&amp;TEXT(I1187,"mmmm")&amp;YEAR(I1187),'[1]Detalle C-Fecha'!$D$2:$E$15921,2,FALSE)</f>
        <v>ADA_CH - Danone Arg. S.A. - Chascomus</v>
      </c>
    </row>
    <row r="1188" spans="1:19" hidden="1" x14ac:dyDescent="0.3">
      <c r="A1188">
        <v>36892</v>
      </c>
      <c r="B1188" t="s">
        <v>28</v>
      </c>
      <c r="C1188" t="s">
        <v>15</v>
      </c>
      <c r="D1188" t="s">
        <v>23</v>
      </c>
      <c r="E1188" t="s">
        <v>116</v>
      </c>
      <c r="F1188" s="6" t="str">
        <f t="shared" si="18"/>
        <v>3ML</v>
      </c>
      <c r="G1188" s="7">
        <v>46209</v>
      </c>
      <c r="H1188" s="8">
        <v>0.37847222222222227</v>
      </c>
      <c r="I1188" s="7">
        <v>46209</v>
      </c>
      <c r="J1188" s="1"/>
      <c r="K1188" s="1">
        <v>46213</v>
      </c>
      <c r="L1188" t="s">
        <v>64</v>
      </c>
      <c r="M1188" t="s">
        <v>129</v>
      </c>
      <c r="N1188" t="s">
        <v>208</v>
      </c>
      <c r="O1188" t="s">
        <v>24</v>
      </c>
      <c r="P1188">
        <v>30843</v>
      </c>
      <c r="Q1188" t="s">
        <v>123</v>
      </c>
      <c r="S1188" t="str">
        <f>VLOOKUP(L1188&amp;TEXT(I1188,"mmmm")&amp;YEAR(I1188),'[1]Detalle C-Fecha'!$D$2:$E$15921,2,FALSE)</f>
        <v>ADA_CH - Danone Arg. S.A. - Chascomus</v>
      </c>
    </row>
    <row r="1189" spans="1:19" hidden="1" x14ac:dyDescent="0.3">
      <c r="A1189">
        <v>36893</v>
      </c>
      <c r="B1189" t="s">
        <v>28</v>
      </c>
      <c r="C1189" t="s">
        <v>15</v>
      </c>
      <c r="D1189" t="s">
        <v>23</v>
      </c>
      <c r="E1189" t="s">
        <v>117</v>
      </c>
      <c r="F1189" s="6" t="str">
        <f t="shared" si="18"/>
        <v>6ML</v>
      </c>
      <c r="G1189" s="7">
        <v>46209</v>
      </c>
      <c r="H1189" s="8">
        <v>0.37847222222222227</v>
      </c>
      <c r="I1189" s="7">
        <v>46209</v>
      </c>
      <c r="J1189" s="1"/>
      <c r="K1189" s="1">
        <v>46213</v>
      </c>
      <c r="L1189" t="s">
        <v>64</v>
      </c>
      <c r="M1189" t="s">
        <v>129</v>
      </c>
      <c r="N1189" t="s">
        <v>208</v>
      </c>
      <c r="O1189" t="s">
        <v>24</v>
      </c>
      <c r="P1189">
        <v>30844</v>
      </c>
      <c r="Q1189" t="s">
        <v>123</v>
      </c>
      <c r="S1189" t="str">
        <f>VLOOKUP(L1189&amp;TEXT(I1189,"mmmm")&amp;YEAR(I1189),'[1]Detalle C-Fecha'!$D$2:$E$15921,2,FALSE)</f>
        <v>ADA_CH - Danone Arg. S.A. - Chascomus</v>
      </c>
    </row>
    <row r="1190" spans="1:19" x14ac:dyDescent="0.3">
      <c r="A1190">
        <v>37038</v>
      </c>
      <c r="B1190" t="s">
        <v>28</v>
      </c>
      <c r="C1190" t="s">
        <v>15</v>
      </c>
      <c r="D1190" t="s">
        <v>16</v>
      </c>
      <c r="E1190" t="s">
        <v>51</v>
      </c>
      <c r="F1190" s="6" t="str">
        <f t="shared" si="18"/>
        <v>2MC</v>
      </c>
      <c r="G1190" s="7">
        <v>46210</v>
      </c>
      <c r="H1190" s="8">
        <v>0.82152777777777775</v>
      </c>
      <c r="I1190" s="7">
        <v>46210</v>
      </c>
      <c r="J1190" s="1">
        <v>46210</v>
      </c>
      <c r="K1190" s="1">
        <v>46210</v>
      </c>
      <c r="L1190" t="s">
        <v>287</v>
      </c>
      <c r="M1190" t="s">
        <v>128</v>
      </c>
      <c r="N1190" s="9" t="s">
        <v>208</v>
      </c>
      <c r="O1190" t="s">
        <v>18</v>
      </c>
      <c r="P1190">
        <v>30926</v>
      </c>
      <c r="Q1190" t="s">
        <v>19</v>
      </c>
      <c r="R1190">
        <v>44990</v>
      </c>
      <c r="S1190" t="str">
        <f>VLOOKUP(L1190&amp;TEXT(I1190,"mmmm")&amp;YEAR(I1190),'[1]Detalle C-Fecha'!$D$2:$E$15921,2,FALSE)</f>
        <v>CMQ_TTE - QUILMES TTE</v>
      </c>
    </row>
    <row r="1191" spans="1:19" x14ac:dyDescent="0.3">
      <c r="A1191">
        <v>37038</v>
      </c>
      <c r="B1191" t="s">
        <v>28</v>
      </c>
      <c r="C1191" t="s">
        <v>15</v>
      </c>
      <c r="D1191" t="s">
        <v>16</v>
      </c>
      <c r="E1191" t="s">
        <v>51</v>
      </c>
      <c r="F1191" s="6" t="str">
        <f t="shared" si="18"/>
        <v>2MC</v>
      </c>
      <c r="G1191" s="7">
        <v>46210</v>
      </c>
      <c r="H1191" s="8">
        <v>0.82152777777777775</v>
      </c>
      <c r="I1191" s="7">
        <v>46210</v>
      </c>
      <c r="J1191" s="1">
        <v>46210</v>
      </c>
      <c r="K1191" s="1">
        <v>46210</v>
      </c>
      <c r="L1191" t="s">
        <v>287</v>
      </c>
      <c r="M1191" t="s">
        <v>128</v>
      </c>
      <c r="N1191" s="9" t="s">
        <v>208</v>
      </c>
      <c r="O1191" t="s">
        <v>18</v>
      </c>
      <c r="P1191">
        <v>30926</v>
      </c>
      <c r="Q1191" t="s">
        <v>19</v>
      </c>
      <c r="R1191">
        <v>44974</v>
      </c>
      <c r="S1191" t="str">
        <f>VLOOKUP(L1191&amp;TEXT(I1191,"mmmm")&amp;YEAR(I1191),'[1]Detalle C-Fecha'!$D$2:$E$15921,2,FALSE)</f>
        <v>CMQ_TTE - QUILMES TTE</v>
      </c>
    </row>
    <row r="1192" spans="1:19" hidden="1" x14ac:dyDescent="0.3">
      <c r="A1192">
        <v>37041</v>
      </c>
      <c r="B1192" t="s">
        <v>28</v>
      </c>
      <c r="C1192" t="s">
        <v>15</v>
      </c>
      <c r="D1192" t="s">
        <v>16</v>
      </c>
      <c r="E1192" t="s">
        <v>53</v>
      </c>
      <c r="F1192" s="6" t="str">
        <f t="shared" si="18"/>
        <v>3MC</v>
      </c>
      <c r="G1192" s="7">
        <v>46210</v>
      </c>
      <c r="H1192" s="8">
        <v>0.82152777777777775</v>
      </c>
      <c r="I1192" s="7">
        <v>46210</v>
      </c>
      <c r="J1192" s="1">
        <v>46210</v>
      </c>
      <c r="K1192" s="1">
        <v>46210</v>
      </c>
      <c r="L1192" t="s">
        <v>287</v>
      </c>
      <c r="M1192" t="s">
        <v>128</v>
      </c>
      <c r="N1192" s="9" t="s">
        <v>208</v>
      </c>
      <c r="O1192" t="s">
        <v>18</v>
      </c>
      <c r="P1192">
        <v>30928</v>
      </c>
      <c r="Q1192" t="s">
        <v>19</v>
      </c>
      <c r="R1192">
        <v>44990</v>
      </c>
      <c r="S1192" t="str">
        <f>VLOOKUP(L1192&amp;TEXT(I1192,"mmmm")&amp;YEAR(I1192),'[1]Detalle C-Fecha'!$D$2:$E$15921,2,FALSE)</f>
        <v>CMQ_TTE - QUILMES TTE</v>
      </c>
    </row>
    <row r="1193" spans="1:19" hidden="1" x14ac:dyDescent="0.3">
      <c r="A1193">
        <v>37041</v>
      </c>
      <c r="B1193" t="s">
        <v>28</v>
      </c>
      <c r="C1193" t="s">
        <v>15</v>
      </c>
      <c r="D1193" t="s">
        <v>16</v>
      </c>
      <c r="E1193" t="s">
        <v>53</v>
      </c>
      <c r="F1193" s="6" t="str">
        <f t="shared" si="18"/>
        <v>3MC</v>
      </c>
      <c r="G1193" s="7">
        <v>46210</v>
      </c>
      <c r="H1193" s="8">
        <v>0.82152777777777775</v>
      </c>
      <c r="I1193" s="7">
        <v>46210</v>
      </c>
      <c r="J1193" s="1">
        <v>46210</v>
      </c>
      <c r="K1193" s="1">
        <v>46210</v>
      </c>
      <c r="L1193" t="s">
        <v>287</v>
      </c>
      <c r="M1193" t="s">
        <v>128</v>
      </c>
      <c r="N1193" s="9" t="s">
        <v>208</v>
      </c>
      <c r="O1193" t="s">
        <v>18</v>
      </c>
      <c r="P1193">
        <v>30928</v>
      </c>
      <c r="Q1193" t="s">
        <v>19</v>
      </c>
      <c r="R1193">
        <v>44976</v>
      </c>
      <c r="S1193" t="str">
        <f>VLOOKUP(L1193&amp;TEXT(I1193,"mmmm")&amp;YEAR(I1193),'[1]Detalle C-Fecha'!$D$2:$E$15921,2,FALSE)</f>
        <v>CMQ_TTE - QUILMES TTE</v>
      </c>
    </row>
    <row r="1194" spans="1:19" hidden="1" x14ac:dyDescent="0.3">
      <c r="A1194">
        <v>37042</v>
      </c>
      <c r="B1194" t="s">
        <v>28</v>
      </c>
      <c r="C1194" t="s">
        <v>15</v>
      </c>
      <c r="D1194" t="s">
        <v>16</v>
      </c>
      <c r="E1194" t="s">
        <v>52</v>
      </c>
      <c r="F1194" s="6" t="str">
        <f t="shared" si="18"/>
        <v>6MC</v>
      </c>
      <c r="G1194" s="7">
        <v>46210</v>
      </c>
      <c r="H1194" s="8">
        <v>0.82152777777777775</v>
      </c>
      <c r="I1194" s="7">
        <v>46210</v>
      </c>
      <c r="J1194" s="1">
        <v>46210</v>
      </c>
      <c r="K1194" s="1">
        <v>46210</v>
      </c>
      <c r="L1194" t="s">
        <v>287</v>
      </c>
      <c r="M1194" t="s">
        <v>128</v>
      </c>
      <c r="N1194" s="9" t="s">
        <v>208</v>
      </c>
      <c r="O1194" t="s">
        <v>18</v>
      </c>
      <c r="P1194">
        <v>30927</v>
      </c>
      <c r="Q1194" t="s">
        <v>19</v>
      </c>
      <c r="R1194">
        <v>44990</v>
      </c>
      <c r="S1194" t="str">
        <f>VLOOKUP(L1194&amp;TEXT(I1194,"mmmm")&amp;YEAR(I1194),'[1]Detalle C-Fecha'!$D$2:$E$15921,2,FALSE)</f>
        <v>CMQ_TTE - QUILMES TTE</v>
      </c>
    </row>
    <row r="1195" spans="1:19" hidden="1" x14ac:dyDescent="0.3">
      <c r="A1195">
        <v>37042</v>
      </c>
      <c r="B1195" t="s">
        <v>28</v>
      </c>
      <c r="C1195" t="s">
        <v>15</v>
      </c>
      <c r="D1195" t="s">
        <v>16</v>
      </c>
      <c r="E1195" t="s">
        <v>52</v>
      </c>
      <c r="F1195" s="6" t="str">
        <f t="shared" si="18"/>
        <v>6MC</v>
      </c>
      <c r="G1195" s="7">
        <v>46210</v>
      </c>
      <c r="H1195" s="8">
        <v>0.82152777777777775</v>
      </c>
      <c r="I1195" s="7">
        <v>46210</v>
      </c>
      <c r="J1195" s="1">
        <v>46210</v>
      </c>
      <c r="K1195" s="1">
        <v>46210</v>
      </c>
      <c r="L1195" t="s">
        <v>287</v>
      </c>
      <c r="M1195" t="s">
        <v>128</v>
      </c>
      <c r="N1195" s="9" t="s">
        <v>208</v>
      </c>
      <c r="O1195" t="s">
        <v>18</v>
      </c>
      <c r="P1195">
        <v>30927</v>
      </c>
      <c r="Q1195" t="s">
        <v>19</v>
      </c>
      <c r="R1195">
        <v>44977</v>
      </c>
      <c r="S1195" t="str">
        <f>VLOOKUP(L1195&amp;TEXT(I1195,"mmmm")&amp;YEAR(I1195),'[1]Detalle C-Fecha'!$D$2:$E$15921,2,FALSE)</f>
        <v>CMQ_TTE - QUILMES TTE</v>
      </c>
    </row>
    <row r="1196" spans="1:19" x14ac:dyDescent="0.3">
      <c r="A1196">
        <v>37051</v>
      </c>
      <c r="B1196" t="s">
        <v>28</v>
      </c>
      <c r="C1196" t="s">
        <v>15</v>
      </c>
      <c r="D1196" t="s">
        <v>16</v>
      </c>
      <c r="E1196" t="s">
        <v>35</v>
      </c>
      <c r="F1196" s="6" t="str">
        <f t="shared" si="18"/>
        <v>2ML</v>
      </c>
      <c r="G1196" s="7">
        <v>46211</v>
      </c>
      <c r="H1196" s="8">
        <v>0.3611111111111111</v>
      </c>
      <c r="I1196" s="7">
        <v>46211</v>
      </c>
      <c r="J1196" s="1">
        <v>46211</v>
      </c>
      <c r="K1196" s="1">
        <v>46211</v>
      </c>
      <c r="L1196" t="s">
        <v>288</v>
      </c>
      <c r="M1196" t="s">
        <v>146</v>
      </c>
      <c r="N1196" s="9" t="s">
        <v>208</v>
      </c>
      <c r="O1196" t="s">
        <v>27</v>
      </c>
      <c r="P1196">
        <v>30938</v>
      </c>
      <c r="Q1196" t="s">
        <v>19</v>
      </c>
      <c r="R1196">
        <v>44980</v>
      </c>
      <c r="S1196" t="str">
        <f>VLOOKUP(L1196&amp;TEXT(I1196,"mmmm")&amp;YEAR(I1196),'[1]Detalle C-Fecha'!$D$2:$E$15921,2,FALSE)</f>
        <v>Arcor S.A.I.C.</v>
      </c>
    </row>
    <row r="1197" spans="1:19" x14ac:dyDescent="0.3">
      <c r="A1197">
        <v>37051</v>
      </c>
      <c r="B1197" t="s">
        <v>28</v>
      </c>
      <c r="C1197" t="s">
        <v>15</v>
      </c>
      <c r="D1197" t="s">
        <v>16</v>
      </c>
      <c r="E1197" t="s">
        <v>35</v>
      </c>
      <c r="F1197" s="6" t="str">
        <f t="shared" si="18"/>
        <v>2ML</v>
      </c>
      <c r="G1197" s="7">
        <v>46211</v>
      </c>
      <c r="H1197" s="8">
        <v>0.3611111111111111</v>
      </c>
      <c r="I1197" s="7">
        <v>46211</v>
      </c>
      <c r="J1197" s="1">
        <v>46211</v>
      </c>
      <c r="K1197" s="1">
        <v>46211</v>
      </c>
      <c r="L1197" t="s">
        <v>288</v>
      </c>
      <c r="M1197" t="s">
        <v>146</v>
      </c>
      <c r="N1197" s="9" t="s">
        <v>208</v>
      </c>
      <c r="O1197" t="s">
        <v>27</v>
      </c>
      <c r="P1197">
        <v>30938</v>
      </c>
      <c r="Q1197" t="s">
        <v>19</v>
      </c>
      <c r="R1197">
        <v>44995</v>
      </c>
      <c r="S1197" t="str">
        <f>VLOOKUP(L1197&amp;TEXT(I1197,"mmmm")&amp;YEAR(I1197),'[1]Detalle C-Fecha'!$D$2:$E$15921,2,FALSE)</f>
        <v>Arcor S.A.I.C.</v>
      </c>
    </row>
    <row r="1198" spans="1:19" hidden="1" x14ac:dyDescent="0.3">
      <c r="A1198">
        <v>37052</v>
      </c>
      <c r="B1198" t="s">
        <v>28</v>
      </c>
      <c r="C1198" t="s">
        <v>15</v>
      </c>
      <c r="D1198" t="s">
        <v>16</v>
      </c>
      <c r="E1198" t="s">
        <v>47</v>
      </c>
      <c r="F1198" s="6" t="str">
        <f t="shared" si="18"/>
        <v>3ML</v>
      </c>
      <c r="G1198" s="7">
        <v>46211</v>
      </c>
      <c r="H1198" s="8">
        <v>0.3611111111111111</v>
      </c>
      <c r="I1198" s="7">
        <v>46211</v>
      </c>
      <c r="J1198" s="1">
        <v>46211</v>
      </c>
      <c r="K1198" s="1">
        <v>46211</v>
      </c>
      <c r="L1198" t="s">
        <v>288</v>
      </c>
      <c r="M1198" t="s">
        <v>146</v>
      </c>
      <c r="N1198" s="9" t="s">
        <v>208</v>
      </c>
      <c r="O1198" t="s">
        <v>27</v>
      </c>
      <c r="P1198">
        <v>30940</v>
      </c>
      <c r="Q1198" t="s">
        <v>19</v>
      </c>
      <c r="R1198">
        <v>44981</v>
      </c>
      <c r="S1198" t="str">
        <f>VLOOKUP(L1198&amp;TEXT(I1198,"mmmm")&amp;YEAR(I1198),'[1]Detalle C-Fecha'!$D$2:$E$15921,2,FALSE)</f>
        <v>Arcor S.A.I.C.</v>
      </c>
    </row>
    <row r="1199" spans="1:19" hidden="1" x14ac:dyDescent="0.3">
      <c r="A1199">
        <v>37052</v>
      </c>
      <c r="B1199" t="s">
        <v>28</v>
      </c>
      <c r="C1199" t="s">
        <v>15</v>
      </c>
      <c r="D1199" t="s">
        <v>16</v>
      </c>
      <c r="E1199" t="s">
        <v>47</v>
      </c>
      <c r="F1199" s="6" t="str">
        <f t="shared" si="18"/>
        <v>3ML</v>
      </c>
      <c r="G1199" s="7">
        <v>46211</v>
      </c>
      <c r="H1199" s="8">
        <v>0.3611111111111111</v>
      </c>
      <c r="I1199" s="7">
        <v>46211</v>
      </c>
      <c r="J1199" s="1">
        <v>46211</v>
      </c>
      <c r="K1199" s="1">
        <v>46211</v>
      </c>
      <c r="L1199" t="s">
        <v>288</v>
      </c>
      <c r="M1199" t="s">
        <v>146</v>
      </c>
      <c r="N1199" s="9" t="s">
        <v>208</v>
      </c>
      <c r="O1199" t="s">
        <v>27</v>
      </c>
      <c r="P1199">
        <v>30940</v>
      </c>
      <c r="Q1199" t="s">
        <v>19</v>
      </c>
      <c r="R1199">
        <v>44995</v>
      </c>
      <c r="S1199" t="str">
        <f>VLOOKUP(L1199&amp;TEXT(I1199,"mmmm")&amp;YEAR(I1199),'[1]Detalle C-Fecha'!$D$2:$E$15921,2,FALSE)</f>
        <v>Arcor S.A.I.C.</v>
      </c>
    </row>
    <row r="1200" spans="1:19" hidden="1" x14ac:dyDescent="0.3">
      <c r="A1200">
        <v>37053</v>
      </c>
      <c r="B1200" t="s">
        <v>28</v>
      </c>
      <c r="C1200" t="s">
        <v>124</v>
      </c>
      <c r="D1200" t="s">
        <v>23</v>
      </c>
      <c r="E1200" t="s">
        <v>46</v>
      </c>
      <c r="F1200" s="6" t="str">
        <f t="shared" si="18"/>
        <v>6ML</v>
      </c>
      <c r="G1200" s="7">
        <v>46211</v>
      </c>
      <c r="H1200" s="8">
        <v>0.3611111111111111</v>
      </c>
      <c r="I1200" s="7">
        <v>46211</v>
      </c>
      <c r="J1200" s="1"/>
      <c r="K1200" s="1"/>
      <c r="L1200" t="s">
        <v>288</v>
      </c>
      <c r="M1200" t="s">
        <v>146</v>
      </c>
      <c r="N1200" s="9" t="s">
        <v>208</v>
      </c>
      <c r="O1200" t="s">
        <v>27</v>
      </c>
      <c r="P1200">
        <v>30939</v>
      </c>
      <c r="Q1200" t="s">
        <v>123</v>
      </c>
      <c r="S1200" t="str">
        <f>VLOOKUP(L1200&amp;TEXT(I1200,"mmmm")&amp;YEAR(I1200),'[1]Detalle C-Fecha'!$D$2:$E$15921,2,FALSE)</f>
        <v>Arcor S.A.I.C.</v>
      </c>
    </row>
    <row r="1201" spans="1:19" x14ac:dyDescent="0.3">
      <c r="A1201">
        <v>37217</v>
      </c>
      <c r="B1201" t="s">
        <v>28</v>
      </c>
      <c r="C1201" t="s">
        <v>124</v>
      </c>
      <c r="D1201" t="s">
        <v>23</v>
      </c>
      <c r="E1201" t="s">
        <v>35</v>
      </c>
      <c r="F1201" s="6" t="str">
        <f t="shared" si="18"/>
        <v>2ML</v>
      </c>
      <c r="G1201" s="11">
        <v>46216</v>
      </c>
      <c r="H1201" s="12">
        <v>0.37083333333333335</v>
      </c>
      <c r="I1201" s="11">
        <v>46216</v>
      </c>
      <c r="J1201" s="1"/>
      <c r="K1201" s="1"/>
      <c r="L1201" t="s">
        <v>181</v>
      </c>
      <c r="M1201" t="s">
        <v>126</v>
      </c>
      <c r="N1201" t="s">
        <v>208</v>
      </c>
      <c r="O1201" t="s">
        <v>25</v>
      </c>
      <c r="P1201">
        <v>31025</v>
      </c>
      <c r="Q1201" t="s">
        <v>123</v>
      </c>
      <c r="S1201" t="str">
        <f>VLOOKUP(L1201&amp;TEXT(I1201,"mmmm")&amp;YEAR(I1201),'[1]Detalle C-Fecha'!$D$2:$E$15921,2,FALSE)</f>
        <v>Expreso - Servicios Troncales</v>
      </c>
    </row>
    <row r="1202" spans="1:19" hidden="1" x14ac:dyDescent="0.3">
      <c r="A1202">
        <v>37218</v>
      </c>
      <c r="B1202" t="s">
        <v>28</v>
      </c>
      <c r="C1202" t="s">
        <v>124</v>
      </c>
      <c r="D1202" t="s">
        <v>23</v>
      </c>
      <c r="E1202" t="s">
        <v>47</v>
      </c>
      <c r="F1202" s="6" t="str">
        <f t="shared" si="18"/>
        <v>3ML</v>
      </c>
      <c r="G1202" s="11">
        <v>46216</v>
      </c>
      <c r="H1202" s="12">
        <v>0.37083333333333335</v>
      </c>
      <c r="I1202" s="11">
        <v>46216</v>
      </c>
      <c r="J1202" s="1"/>
      <c r="K1202" s="1"/>
      <c r="L1202" t="s">
        <v>181</v>
      </c>
      <c r="M1202" t="s">
        <v>126</v>
      </c>
      <c r="N1202" t="s">
        <v>208</v>
      </c>
      <c r="O1202" t="s">
        <v>25</v>
      </c>
      <c r="P1202">
        <v>31026</v>
      </c>
      <c r="Q1202" t="s">
        <v>123</v>
      </c>
      <c r="S1202" t="str">
        <f>VLOOKUP(L1202&amp;TEXT(I1202,"mmmm")&amp;YEAR(I1202),'[1]Detalle C-Fecha'!$D$2:$E$15921,2,FALSE)</f>
        <v>Expreso - Servicios Troncales</v>
      </c>
    </row>
    <row r="1203" spans="1:19" hidden="1" x14ac:dyDescent="0.3">
      <c r="A1203">
        <v>37219</v>
      </c>
      <c r="B1203" t="s">
        <v>28</v>
      </c>
      <c r="C1203" t="s">
        <v>124</v>
      </c>
      <c r="D1203" t="s">
        <v>23</v>
      </c>
      <c r="E1203" t="s">
        <v>46</v>
      </c>
      <c r="F1203" s="6" t="str">
        <f t="shared" si="18"/>
        <v>6ML</v>
      </c>
      <c r="G1203" s="11">
        <v>46216</v>
      </c>
      <c r="H1203" s="12">
        <v>0.37083333333333335</v>
      </c>
      <c r="I1203" s="11">
        <v>46216</v>
      </c>
      <c r="J1203" s="1"/>
      <c r="K1203" s="1"/>
      <c r="L1203" t="s">
        <v>181</v>
      </c>
      <c r="M1203" t="s">
        <v>126</v>
      </c>
      <c r="N1203" t="s">
        <v>208</v>
      </c>
      <c r="O1203" t="s">
        <v>25</v>
      </c>
      <c r="P1203">
        <v>31027</v>
      </c>
      <c r="Q1203" t="s">
        <v>123</v>
      </c>
      <c r="S1203" t="str">
        <f>VLOOKUP(L1203&amp;TEXT(I1203,"mmmm")&amp;YEAR(I1203),'[1]Detalle C-Fecha'!$D$2:$E$15921,2,FALSE)</f>
        <v>Expreso - Servicios Troncales</v>
      </c>
    </row>
    <row r="1204" spans="1:19" hidden="1" x14ac:dyDescent="0.3">
      <c r="A1204">
        <v>37230</v>
      </c>
      <c r="B1204" t="s">
        <v>28</v>
      </c>
      <c r="C1204" t="s">
        <v>15</v>
      </c>
      <c r="D1204" t="s">
        <v>16</v>
      </c>
      <c r="E1204" t="s">
        <v>118</v>
      </c>
      <c r="F1204" s="6" t="str">
        <f t="shared" si="18"/>
        <v>2ML</v>
      </c>
      <c r="G1204" s="11">
        <v>46216</v>
      </c>
      <c r="H1204" s="12">
        <v>0.5493055555555556</v>
      </c>
      <c r="I1204" s="11">
        <v>46216</v>
      </c>
      <c r="J1204" s="1">
        <v>46217</v>
      </c>
      <c r="K1204" s="1">
        <v>46217</v>
      </c>
      <c r="L1204" t="s">
        <v>56</v>
      </c>
      <c r="M1204" t="s">
        <v>142</v>
      </c>
      <c r="N1204" t="s">
        <v>17</v>
      </c>
      <c r="O1204" t="s">
        <v>25</v>
      </c>
      <c r="P1204">
        <v>31036</v>
      </c>
      <c r="Q1204" t="s">
        <v>19</v>
      </c>
      <c r="R1204">
        <v>44949</v>
      </c>
      <c r="S1204" t="str">
        <f>VLOOKUP(L1204&amp;TEXT(I1204,"mmmm")&amp;YEAR(I1204),'[1]Detalle C-Fecha'!$D$2:$E$15921,2,FALSE)</f>
        <v>Expreso - Servicios Troncales</v>
      </c>
    </row>
    <row r="1205" spans="1:19" hidden="1" x14ac:dyDescent="0.3">
      <c r="A1205">
        <v>37230</v>
      </c>
      <c r="B1205" t="s">
        <v>28</v>
      </c>
      <c r="C1205" t="s">
        <v>15</v>
      </c>
      <c r="D1205" t="s">
        <v>16</v>
      </c>
      <c r="E1205" t="s">
        <v>118</v>
      </c>
      <c r="F1205" s="6" t="str">
        <f t="shared" si="18"/>
        <v>2ML</v>
      </c>
      <c r="G1205" s="11">
        <v>46216</v>
      </c>
      <c r="H1205" s="12">
        <v>0.5493055555555556</v>
      </c>
      <c r="I1205" s="11">
        <v>46216</v>
      </c>
      <c r="J1205" s="1">
        <v>46217</v>
      </c>
      <c r="K1205" s="1">
        <v>46217</v>
      </c>
      <c r="L1205" t="s">
        <v>56</v>
      </c>
      <c r="M1205" t="s">
        <v>142</v>
      </c>
      <c r="N1205" t="s">
        <v>17</v>
      </c>
      <c r="O1205" t="s">
        <v>25</v>
      </c>
      <c r="P1205">
        <v>31036</v>
      </c>
      <c r="Q1205" t="s">
        <v>19</v>
      </c>
      <c r="R1205">
        <v>44950</v>
      </c>
      <c r="S1205" t="str">
        <f>VLOOKUP(L1205&amp;TEXT(I1205,"mmmm")&amp;YEAR(I1205),'[1]Detalle C-Fecha'!$D$2:$E$15921,2,FALSE)</f>
        <v>Expreso - Servicios Troncales</v>
      </c>
    </row>
    <row r="1206" spans="1:19" hidden="1" x14ac:dyDescent="0.3">
      <c r="A1206">
        <v>37231</v>
      </c>
      <c r="B1206" t="s">
        <v>28</v>
      </c>
      <c r="C1206" t="s">
        <v>15</v>
      </c>
      <c r="D1206" t="s">
        <v>16</v>
      </c>
      <c r="E1206" t="s">
        <v>119</v>
      </c>
      <c r="F1206" s="6" t="str">
        <f t="shared" si="18"/>
        <v>3ML</v>
      </c>
      <c r="G1206" s="11">
        <v>46216</v>
      </c>
      <c r="H1206" s="12">
        <v>0.5493055555555556</v>
      </c>
      <c r="I1206" s="11">
        <v>46216</v>
      </c>
      <c r="J1206" s="1">
        <v>46216</v>
      </c>
      <c r="K1206" s="1">
        <v>46216</v>
      </c>
      <c r="L1206" t="s">
        <v>56</v>
      </c>
      <c r="M1206" t="s">
        <v>142</v>
      </c>
      <c r="N1206" t="s">
        <v>17</v>
      </c>
      <c r="O1206" t="s">
        <v>25</v>
      </c>
      <c r="P1206">
        <v>31037</v>
      </c>
      <c r="Q1206" t="s">
        <v>19</v>
      </c>
      <c r="R1206">
        <v>44963</v>
      </c>
      <c r="S1206" t="str">
        <f>VLOOKUP(L1206&amp;TEXT(I1206,"mmmm")&amp;YEAR(I1206),'[1]Detalle C-Fecha'!$D$2:$E$15921,2,FALSE)</f>
        <v>Expreso - Servicios Troncales</v>
      </c>
    </row>
    <row r="1207" spans="1:19" hidden="1" x14ac:dyDescent="0.3">
      <c r="A1207">
        <v>37231</v>
      </c>
      <c r="B1207" t="s">
        <v>28</v>
      </c>
      <c r="C1207" t="s">
        <v>15</v>
      </c>
      <c r="D1207" t="s">
        <v>16</v>
      </c>
      <c r="E1207" t="s">
        <v>119</v>
      </c>
      <c r="F1207" s="6" t="str">
        <f t="shared" si="18"/>
        <v>3ML</v>
      </c>
      <c r="G1207" s="11">
        <v>46216</v>
      </c>
      <c r="H1207" s="12">
        <v>0.5493055555555556</v>
      </c>
      <c r="I1207" s="11">
        <v>46216</v>
      </c>
      <c r="J1207" s="1">
        <v>46216</v>
      </c>
      <c r="K1207" s="1">
        <v>46216</v>
      </c>
      <c r="L1207" t="s">
        <v>56</v>
      </c>
      <c r="M1207" t="s">
        <v>142</v>
      </c>
      <c r="N1207" t="s">
        <v>17</v>
      </c>
      <c r="O1207" t="s">
        <v>25</v>
      </c>
      <c r="P1207">
        <v>31037</v>
      </c>
      <c r="Q1207" t="s">
        <v>19</v>
      </c>
      <c r="R1207">
        <v>44964</v>
      </c>
      <c r="S1207" t="str">
        <f>VLOOKUP(L1207&amp;TEXT(I1207,"mmmm")&amp;YEAR(I1207),'[1]Detalle C-Fecha'!$D$2:$E$15921,2,FALSE)</f>
        <v>Expreso - Servicios Troncales</v>
      </c>
    </row>
    <row r="1208" spans="1:19" hidden="1" x14ac:dyDescent="0.3">
      <c r="A1208">
        <v>37232</v>
      </c>
      <c r="B1208" t="s">
        <v>28</v>
      </c>
      <c r="C1208" t="s">
        <v>15</v>
      </c>
      <c r="D1208" t="s">
        <v>16</v>
      </c>
      <c r="E1208" t="s">
        <v>120</v>
      </c>
      <c r="F1208" s="6" t="str">
        <f t="shared" si="18"/>
        <v>6ML</v>
      </c>
      <c r="G1208" s="11">
        <v>46216</v>
      </c>
      <c r="H1208" s="12">
        <v>0.5493055555555556</v>
      </c>
      <c r="I1208" s="11">
        <v>46216</v>
      </c>
      <c r="J1208" s="1">
        <v>46216</v>
      </c>
      <c r="K1208" s="1">
        <v>46216</v>
      </c>
      <c r="L1208" t="s">
        <v>56</v>
      </c>
      <c r="M1208" t="s">
        <v>142</v>
      </c>
      <c r="N1208" t="s">
        <v>17</v>
      </c>
      <c r="O1208" t="s">
        <v>25</v>
      </c>
      <c r="P1208">
        <v>31038</v>
      </c>
      <c r="Q1208" t="s">
        <v>19</v>
      </c>
      <c r="R1208">
        <v>44965</v>
      </c>
      <c r="S1208" t="str">
        <f>VLOOKUP(L1208&amp;TEXT(I1208,"mmmm")&amp;YEAR(I1208),'[1]Detalle C-Fecha'!$D$2:$E$15921,2,FALSE)</f>
        <v>Expreso - Servicios Troncales</v>
      </c>
    </row>
    <row r="1209" spans="1:19" hidden="1" x14ac:dyDescent="0.3">
      <c r="A1209">
        <v>37232</v>
      </c>
      <c r="B1209" t="s">
        <v>28</v>
      </c>
      <c r="C1209" t="s">
        <v>15</v>
      </c>
      <c r="D1209" t="s">
        <v>16</v>
      </c>
      <c r="E1209" t="s">
        <v>120</v>
      </c>
      <c r="F1209" s="6" t="str">
        <f t="shared" si="18"/>
        <v>6ML</v>
      </c>
      <c r="G1209" s="11">
        <v>46216</v>
      </c>
      <c r="H1209" s="12">
        <v>0.5493055555555556</v>
      </c>
      <c r="I1209" s="11">
        <v>46216</v>
      </c>
      <c r="J1209" s="1">
        <v>46216</v>
      </c>
      <c r="K1209" s="1">
        <v>46216</v>
      </c>
      <c r="L1209" t="s">
        <v>56</v>
      </c>
      <c r="M1209" t="s">
        <v>142</v>
      </c>
      <c r="N1209" t="s">
        <v>17</v>
      </c>
      <c r="O1209" t="s">
        <v>25</v>
      </c>
      <c r="P1209">
        <v>31038</v>
      </c>
      <c r="Q1209" t="s">
        <v>19</v>
      </c>
      <c r="R1209">
        <v>44966</v>
      </c>
      <c r="S1209" t="str">
        <f>VLOOKUP(L1209&amp;TEXT(I1209,"mmmm")&amp;YEAR(I1209),'[1]Detalle C-Fecha'!$D$2:$E$15921,2,FALSE)</f>
        <v>Expreso - Servicios Troncales</v>
      </c>
    </row>
    <row r="1210" spans="1:19" x14ac:dyDescent="0.3">
      <c r="A1210">
        <v>37250</v>
      </c>
      <c r="B1210" t="s">
        <v>28</v>
      </c>
      <c r="C1210" t="s">
        <v>124</v>
      </c>
      <c r="D1210" t="s">
        <v>23</v>
      </c>
      <c r="E1210" t="s">
        <v>113</v>
      </c>
      <c r="F1210" s="6" t="str">
        <f t="shared" si="18"/>
        <v>2MC</v>
      </c>
      <c r="G1210" s="11">
        <v>46216</v>
      </c>
      <c r="H1210" s="12">
        <v>0.68194444444444446</v>
      </c>
      <c r="I1210" s="11">
        <v>46216</v>
      </c>
      <c r="J1210" s="1">
        <v>46216</v>
      </c>
      <c r="K1210" s="1">
        <v>46216</v>
      </c>
      <c r="L1210" t="s">
        <v>289</v>
      </c>
      <c r="M1210" t="s">
        <v>290</v>
      </c>
      <c r="N1210" t="s">
        <v>208</v>
      </c>
      <c r="O1210" t="s">
        <v>27</v>
      </c>
      <c r="P1210">
        <v>31046</v>
      </c>
      <c r="Q1210" t="s">
        <v>123</v>
      </c>
      <c r="S1210" t="str">
        <f>VLOOKUP(L1210&amp;TEXT(I1210,"mmmm")&amp;YEAR(I1210),'[1]Detalle C-Fecha'!$D$2:$E$15921,2,FALSE)</f>
        <v>CCUCoAZA</v>
      </c>
    </row>
    <row r="1211" spans="1:19" hidden="1" x14ac:dyDescent="0.3">
      <c r="A1211">
        <v>37251</v>
      </c>
      <c r="B1211" t="s">
        <v>28</v>
      </c>
      <c r="C1211" t="s">
        <v>124</v>
      </c>
      <c r="D1211" t="s">
        <v>23</v>
      </c>
      <c r="E1211" t="s">
        <v>114</v>
      </c>
      <c r="F1211" s="6" t="str">
        <f t="shared" si="18"/>
        <v>6MC</v>
      </c>
      <c r="G1211" s="11">
        <v>46216</v>
      </c>
      <c r="H1211" s="12">
        <v>0.68194444444444446</v>
      </c>
      <c r="I1211" s="11">
        <v>46216</v>
      </c>
      <c r="J1211" s="1">
        <v>46216</v>
      </c>
      <c r="K1211" s="1">
        <v>46216</v>
      </c>
      <c r="L1211" t="s">
        <v>289</v>
      </c>
      <c r="M1211" t="s">
        <v>290</v>
      </c>
      <c r="N1211" t="s">
        <v>208</v>
      </c>
      <c r="O1211" t="s">
        <v>27</v>
      </c>
      <c r="P1211">
        <v>31047</v>
      </c>
      <c r="Q1211" t="s">
        <v>123</v>
      </c>
      <c r="S1211" t="str">
        <f>VLOOKUP(L1211&amp;TEXT(I1211,"mmmm")&amp;YEAR(I1211),'[1]Detalle C-Fecha'!$D$2:$E$15921,2,FALSE)</f>
        <v>CCUCoAZA</v>
      </c>
    </row>
    <row r="1212" spans="1:19" hidden="1" x14ac:dyDescent="0.3">
      <c r="A1212">
        <v>37256</v>
      </c>
      <c r="B1212" t="s">
        <v>28</v>
      </c>
      <c r="C1212" t="s">
        <v>124</v>
      </c>
      <c r="D1212" t="s">
        <v>23</v>
      </c>
      <c r="E1212" t="s">
        <v>51</v>
      </c>
      <c r="F1212" s="6" t="str">
        <f t="shared" si="18"/>
        <v>2MC</v>
      </c>
      <c r="G1212" s="11">
        <v>46217</v>
      </c>
      <c r="H1212" s="12">
        <v>0.4381944444444445</v>
      </c>
      <c r="I1212" s="11">
        <v>46217</v>
      </c>
      <c r="J1212" s="1">
        <v>46217</v>
      </c>
      <c r="K1212" s="1">
        <v>46217</v>
      </c>
      <c r="L1212" t="s">
        <v>291</v>
      </c>
      <c r="M1212">
        <v>710</v>
      </c>
      <c r="N1212" t="s">
        <v>31</v>
      </c>
      <c r="O1212" t="s">
        <v>25</v>
      </c>
      <c r="P1212">
        <v>31050</v>
      </c>
      <c r="Q1212" t="s">
        <v>123</v>
      </c>
      <c r="S1212" t="str">
        <f>VLOOKUP(L1212&amp;TEXT(I1212,"mmmm")&amp;YEAR(I1212),'[1]Detalle C-Fecha'!$D$2:$E$15921,2,FALSE)</f>
        <v>SUC_GAL - Sucursal General Alvear</v>
      </c>
    </row>
    <row r="1213" spans="1:19" hidden="1" x14ac:dyDescent="0.3">
      <c r="A1213">
        <v>37257</v>
      </c>
      <c r="B1213" t="s">
        <v>28</v>
      </c>
      <c r="C1213" t="s">
        <v>124</v>
      </c>
      <c r="D1213" t="s">
        <v>23</v>
      </c>
      <c r="E1213" t="s">
        <v>53</v>
      </c>
      <c r="F1213" s="6" t="str">
        <f t="shared" si="18"/>
        <v>3MC</v>
      </c>
      <c r="G1213" s="11">
        <v>46217</v>
      </c>
      <c r="H1213" s="12">
        <v>0.4381944444444445</v>
      </c>
      <c r="I1213" s="11">
        <v>46217</v>
      </c>
      <c r="J1213" s="1">
        <v>46217</v>
      </c>
      <c r="K1213" s="1">
        <v>46217</v>
      </c>
      <c r="L1213" t="s">
        <v>291</v>
      </c>
      <c r="M1213">
        <v>710</v>
      </c>
      <c r="N1213" t="s">
        <v>31</v>
      </c>
      <c r="O1213" t="s">
        <v>25</v>
      </c>
      <c r="P1213">
        <v>31051</v>
      </c>
      <c r="Q1213" t="s">
        <v>123</v>
      </c>
      <c r="S1213" t="str">
        <f>VLOOKUP(L1213&amp;TEXT(I1213,"mmmm")&amp;YEAR(I1213),'[1]Detalle C-Fecha'!$D$2:$E$15921,2,FALSE)</f>
        <v>SUC_GAL - Sucursal General Alvear</v>
      </c>
    </row>
    <row r="1214" spans="1:19" x14ac:dyDescent="0.3">
      <c r="A1214">
        <v>37283</v>
      </c>
      <c r="B1214" t="s">
        <v>28</v>
      </c>
      <c r="C1214" t="s">
        <v>124</v>
      </c>
      <c r="D1214" t="s">
        <v>23</v>
      </c>
      <c r="E1214" t="s">
        <v>51</v>
      </c>
      <c r="F1214" s="6" t="str">
        <f t="shared" si="18"/>
        <v>2MC</v>
      </c>
      <c r="G1214" s="11">
        <v>46217</v>
      </c>
      <c r="H1214" s="12">
        <v>0.79722222222222217</v>
      </c>
      <c r="I1214" s="11">
        <v>46217</v>
      </c>
      <c r="J1214" s="1">
        <v>46217</v>
      </c>
      <c r="K1214" s="1">
        <v>46217</v>
      </c>
      <c r="L1214" t="s">
        <v>292</v>
      </c>
      <c r="M1214" t="s">
        <v>293</v>
      </c>
      <c r="N1214" t="s">
        <v>208</v>
      </c>
      <c r="O1214" t="s">
        <v>18</v>
      </c>
      <c r="P1214">
        <v>31073</v>
      </c>
      <c r="Q1214" t="s">
        <v>123</v>
      </c>
      <c r="S1214" t="str">
        <f>VLOOKUP(L1214&amp;TEXT(I1214,"mmmm")&amp;YEAR(I1214),'[1]Detalle C-Fecha'!$D$2:$E$15921,2,FALSE)</f>
        <v>CMQ_TTE - QUILMES TTE</v>
      </c>
    </row>
    <row r="1215" spans="1:19" hidden="1" x14ac:dyDescent="0.3">
      <c r="A1215">
        <v>37284</v>
      </c>
      <c r="B1215" t="s">
        <v>28</v>
      </c>
      <c r="C1215" t="s">
        <v>124</v>
      </c>
      <c r="D1215" t="s">
        <v>23</v>
      </c>
      <c r="E1215" t="s">
        <v>53</v>
      </c>
      <c r="F1215" s="6" t="str">
        <f t="shared" ref="F1215:F1243" si="19">MID(E1215,1,3)</f>
        <v>3MC</v>
      </c>
      <c r="G1215" s="11">
        <v>46217</v>
      </c>
      <c r="H1215" s="12">
        <v>0.79722222222222217</v>
      </c>
      <c r="I1215" s="11">
        <v>46217</v>
      </c>
      <c r="J1215" s="1">
        <v>46217</v>
      </c>
      <c r="K1215" s="1">
        <v>46217</v>
      </c>
      <c r="L1215" t="s">
        <v>292</v>
      </c>
      <c r="M1215" t="s">
        <v>293</v>
      </c>
      <c r="N1215" t="s">
        <v>208</v>
      </c>
      <c r="O1215" t="s">
        <v>18</v>
      </c>
      <c r="P1215">
        <v>31074</v>
      </c>
      <c r="Q1215" t="s">
        <v>123</v>
      </c>
      <c r="S1215" t="str">
        <f>VLOOKUP(L1215&amp;TEXT(I1215,"mmmm")&amp;YEAR(I1215),'[1]Detalle C-Fecha'!$D$2:$E$15921,2,FALSE)</f>
        <v>CMQ_TTE - QUILMES TTE</v>
      </c>
    </row>
    <row r="1216" spans="1:19" hidden="1" x14ac:dyDescent="0.3">
      <c r="A1216">
        <v>37285</v>
      </c>
      <c r="B1216" t="s">
        <v>28</v>
      </c>
      <c r="C1216" t="s">
        <v>124</v>
      </c>
      <c r="D1216" t="s">
        <v>23</v>
      </c>
      <c r="E1216" t="s">
        <v>112</v>
      </c>
      <c r="F1216" s="6" t="str">
        <f t="shared" si="19"/>
        <v>6MC</v>
      </c>
      <c r="G1216" s="11">
        <v>46217</v>
      </c>
      <c r="H1216" s="12">
        <v>0.79722222222222217</v>
      </c>
      <c r="I1216" s="11">
        <v>46217</v>
      </c>
      <c r="J1216" s="1">
        <v>46217</v>
      </c>
      <c r="K1216" s="1">
        <v>46217</v>
      </c>
      <c r="L1216" t="s">
        <v>292</v>
      </c>
      <c r="M1216" t="s">
        <v>293</v>
      </c>
      <c r="N1216" t="s">
        <v>208</v>
      </c>
      <c r="O1216" t="s">
        <v>18</v>
      </c>
      <c r="P1216">
        <v>31075</v>
      </c>
      <c r="Q1216" t="s">
        <v>123</v>
      </c>
      <c r="S1216" t="str">
        <f>VLOOKUP(L1216&amp;TEXT(I1216,"mmmm")&amp;YEAR(I1216),'[1]Detalle C-Fecha'!$D$2:$E$15921,2,FALSE)</f>
        <v>CMQ_TTE - QUILMES TTE</v>
      </c>
    </row>
    <row r="1217" spans="1:19" x14ac:dyDescent="0.3">
      <c r="A1217">
        <v>37467</v>
      </c>
      <c r="B1217" t="s">
        <v>28</v>
      </c>
      <c r="C1217" t="s">
        <v>124</v>
      </c>
      <c r="D1217" t="s">
        <v>23</v>
      </c>
      <c r="E1217" t="s">
        <v>115</v>
      </c>
      <c r="F1217" s="6" t="str">
        <f t="shared" si="19"/>
        <v>2ML</v>
      </c>
      <c r="G1217" s="1">
        <v>46220</v>
      </c>
      <c r="H1217" s="13">
        <v>0.5625</v>
      </c>
      <c r="I1217" s="1">
        <v>46220</v>
      </c>
      <c r="J1217" s="1"/>
      <c r="K1217" s="1"/>
      <c r="L1217" t="s">
        <v>55</v>
      </c>
      <c r="M1217" t="s">
        <v>131</v>
      </c>
      <c r="N1217" t="s">
        <v>208</v>
      </c>
      <c r="O1217" t="s">
        <v>25</v>
      </c>
      <c r="P1217">
        <v>31202</v>
      </c>
      <c r="Q1217" t="s">
        <v>123</v>
      </c>
      <c r="S1217" t="str">
        <f>VLOOKUP(L1217&amp;TEXT(I1217,"mmmm")&amp;YEAR(I1217),'[1]Detalle C-Fecha'!$D$2:$E$15921,2,FALSE)</f>
        <v>Expreso - Servicios Troncales</v>
      </c>
    </row>
    <row r="1218" spans="1:19" hidden="1" x14ac:dyDescent="0.3">
      <c r="A1218">
        <v>37468</v>
      </c>
      <c r="B1218" t="s">
        <v>28</v>
      </c>
      <c r="C1218" t="s">
        <v>124</v>
      </c>
      <c r="D1218" t="s">
        <v>23</v>
      </c>
      <c r="E1218" t="s">
        <v>116</v>
      </c>
      <c r="F1218" s="6" t="str">
        <f t="shared" si="19"/>
        <v>3ML</v>
      </c>
      <c r="G1218" s="1">
        <v>46220</v>
      </c>
      <c r="H1218" s="13">
        <v>0.5625</v>
      </c>
      <c r="I1218" s="1">
        <v>46220</v>
      </c>
      <c r="J1218" s="1"/>
      <c r="K1218" s="1"/>
      <c r="L1218" t="s">
        <v>55</v>
      </c>
      <c r="M1218" t="s">
        <v>131</v>
      </c>
      <c r="N1218" t="s">
        <v>208</v>
      </c>
      <c r="O1218" t="s">
        <v>25</v>
      </c>
      <c r="P1218">
        <v>31203</v>
      </c>
      <c r="Q1218" t="s">
        <v>123</v>
      </c>
      <c r="S1218" t="str">
        <f>VLOOKUP(L1218&amp;TEXT(I1218,"mmmm")&amp;YEAR(I1218),'[1]Detalle C-Fecha'!$D$2:$E$15921,2,FALSE)</f>
        <v>Expreso - Servicios Troncales</v>
      </c>
    </row>
    <row r="1219" spans="1:19" hidden="1" x14ac:dyDescent="0.3">
      <c r="A1219">
        <v>37469</v>
      </c>
      <c r="B1219" t="s">
        <v>28</v>
      </c>
      <c r="C1219" t="s">
        <v>124</v>
      </c>
      <c r="D1219" t="s">
        <v>23</v>
      </c>
      <c r="E1219" t="s">
        <v>117</v>
      </c>
      <c r="F1219" s="6" t="str">
        <f t="shared" si="19"/>
        <v>6ML</v>
      </c>
      <c r="G1219" s="1">
        <v>46220</v>
      </c>
      <c r="H1219" s="13">
        <v>0.5625</v>
      </c>
      <c r="I1219" s="1">
        <v>46220</v>
      </c>
      <c r="J1219" s="1"/>
      <c r="K1219" s="1"/>
      <c r="L1219" t="s">
        <v>55</v>
      </c>
      <c r="M1219" t="s">
        <v>131</v>
      </c>
      <c r="N1219" t="s">
        <v>208</v>
      </c>
      <c r="O1219" t="s">
        <v>25</v>
      </c>
      <c r="P1219">
        <v>31204</v>
      </c>
      <c r="Q1219" t="s">
        <v>123</v>
      </c>
      <c r="S1219" t="str">
        <f>VLOOKUP(L1219&amp;TEXT(I1219,"mmmm")&amp;YEAR(I1219),'[1]Detalle C-Fecha'!$D$2:$E$15921,2,FALSE)</f>
        <v>Expreso - Servicios Troncales</v>
      </c>
    </row>
    <row r="1220" spans="1:19" hidden="1" x14ac:dyDescent="0.3">
      <c r="A1220">
        <v>37515</v>
      </c>
      <c r="B1220" t="s">
        <v>28</v>
      </c>
      <c r="C1220" t="s">
        <v>124</v>
      </c>
      <c r="D1220" t="s">
        <v>23</v>
      </c>
      <c r="E1220" t="s">
        <v>121</v>
      </c>
      <c r="F1220" s="6" t="str">
        <f t="shared" si="19"/>
        <v>2MC</v>
      </c>
      <c r="G1220" s="1">
        <v>46224</v>
      </c>
      <c r="H1220" s="13">
        <v>0.45069444444444445</v>
      </c>
      <c r="I1220" s="1">
        <v>46219</v>
      </c>
      <c r="L1220" t="s">
        <v>294</v>
      </c>
      <c r="M1220">
        <v>1624</v>
      </c>
      <c r="N1220" t="s">
        <v>17</v>
      </c>
      <c r="O1220" t="s">
        <v>24</v>
      </c>
      <c r="P1220">
        <v>31276</v>
      </c>
      <c r="Q1220" t="s">
        <v>123</v>
      </c>
      <c r="S1220" t="str">
        <f>VLOOKUP(L1220&amp;TEXT(I1220,"mmmm")&amp;YEAR(I1220),'[1]Detalle C-Fecha'!$D$2:$E$15921,2,FALSE)</f>
        <v>CENCO_SJ - Cencosud SA - San Juan</v>
      </c>
    </row>
    <row r="1221" spans="1:19" hidden="1" x14ac:dyDescent="0.3">
      <c r="A1221">
        <v>37516</v>
      </c>
      <c r="B1221" t="s">
        <v>28</v>
      </c>
      <c r="C1221" t="s">
        <v>124</v>
      </c>
      <c r="D1221" t="s">
        <v>23</v>
      </c>
      <c r="E1221" t="s">
        <v>53</v>
      </c>
      <c r="F1221" s="6" t="str">
        <f t="shared" si="19"/>
        <v>3MC</v>
      </c>
      <c r="G1221" s="1">
        <v>46224</v>
      </c>
      <c r="H1221" s="13">
        <v>0.45069444444444445</v>
      </c>
      <c r="I1221" s="1">
        <v>46219</v>
      </c>
      <c r="L1221" t="s">
        <v>294</v>
      </c>
      <c r="M1221">
        <v>1624</v>
      </c>
      <c r="N1221" t="s">
        <v>17</v>
      </c>
      <c r="O1221" t="s">
        <v>24</v>
      </c>
      <c r="P1221">
        <v>31277</v>
      </c>
      <c r="Q1221" t="s">
        <v>123</v>
      </c>
      <c r="S1221" t="str">
        <f>VLOOKUP(L1221&amp;TEXT(I1221,"mmmm")&amp;YEAR(I1221),'[1]Detalle C-Fecha'!$D$2:$E$15921,2,FALSE)</f>
        <v>CENCO_SJ - Cencosud SA - San Juan</v>
      </c>
    </row>
    <row r="1222" spans="1:19" hidden="1" x14ac:dyDescent="0.3">
      <c r="A1222">
        <v>37518</v>
      </c>
      <c r="B1222" t="s">
        <v>28</v>
      </c>
      <c r="C1222" t="s">
        <v>124</v>
      </c>
      <c r="D1222" t="s">
        <v>23</v>
      </c>
      <c r="E1222" t="s">
        <v>111</v>
      </c>
      <c r="F1222" s="6" t="str">
        <f t="shared" si="19"/>
        <v>6MC</v>
      </c>
      <c r="G1222" s="1">
        <v>46224</v>
      </c>
      <c r="H1222" s="13">
        <v>0.45069444444444445</v>
      </c>
      <c r="I1222" s="1">
        <v>46219</v>
      </c>
      <c r="L1222" t="s">
        <v>294</v>
      </c>
      <c r="M1222">
        <v>1624</v>
      </c>
      <c r="N1222" t="s">
        <v>17</v>
      </c>
      <c r="O1222" t="s">
        <v>24</v>
      </c>
      <c r="P1222">
        <v>31279</v>
      </c>
      <c r="Q1222" t="s">
        <v>123</v>
      </c>
      <c r="S1222" t="str">
        <f>VLOOKUP(L1222&amp;TEXT(I1222,"mmmm")&amp;YEAR(I1222),'[1]Detalle C-Fecha'!$D$2:$E$15921,2,FALSE)</f>
        <v>CENCO_SJ - Cencosud SA - San Juan</v>
      </c>
    </row>
    <row r="1223" spans="1:19" hidden="1" x14ac:dyDescent="0.3">
      <c r="A1223">
        <v>37524</v>
      </c>
      <c r="B1223" t="s">
        <v>28</v>
      </c>
      <c r="C1223" t="s">
        <v>124</v>
      </c>
      <c r="D1223" t="s">
        <v>23</v>
      </c>
      <c r="E1223" t="s">
        <v>118</v>
      </c>
      <c r="F1223" s="6" t="str">
        <f t="shared" si="19"/>
        <v>2ML</v>
      </c>
      <c r="G1223" s="1">
        <v>46224</v>
      </c>
      <c r="H1223" s="13">
        <v>0.4861111111111111</v>
      </c>
      <c r="I1223" s="1">
        <v>46223</v>
      </c>
      <c r="L1223" t="s">
        <v>166</v>
      </c>
      <c r="M1223" t="s">
        <v>142</v>
      </c>
      <c r="N1223" t="s">
        <v>17</v>
      </c>
      <c r="O1223" t="s">
        <v>25</v>
      </c>
      <c r="P1223">
        <v>31302</v>
      </c>
      <c r="Q1223" t="s">
        <v>123</v>
      </c>
      <c r="S1223" t="str">
        <f>VLOOKUP(L1223&amp;TEXT(I1223,"mmmm")&amp;YEAR(I1223),'[1]Detalle C-Fecha'!$D$2:$E$15921,2,FALSE)</f>
        <v>Expreso - Servicios Troncales</v>
      </c>
    </row>
    <row r="1224" spans="1:19" hidden="1" x14ac:dyDescent="0.3">
      <c r="A1224">
        <v>37525</v>
      </c>
      <c r="B1224" t="s">
        <v>28</v>
      </c>
      <c r="C1224" t="s">
        <v>124</v>
      </c>
      <c r="D1224" t="s">
        <v>23</v>
      </c>
      <c r="E1224" t="s">
        <v>119</v>
      </c>
      <c r="F1224" s="6" t="str">
        <f t="shared" si="19"/>
        <v>3ML</v>
      </c>
      <c r="G1224" s="1">
        <v>46224</v>
      </c>
      <c r="H1224" s="13">
        <v>0.48680555555555555</v>
      </c>
      <c r="I1224" s="1">
        <v>46223</v>
      </c>
      <c r="L1224" t="s">
        <v>166</v>
      </c>
      <c r="M1224" t="s">
        <v>142</v>
      </c>
      <c r="N1224" t="s">
        <v>17</v>
      </c>
      <c r="O1224" t="s">
        <v>25</v>
      </c>
      <c r="P1224">
        <v>31303</v>
      </c>
      <c r="Q1224" t="s">
        <v>123</v>
      </c>
      <c r="S1224" t="str">
        <f>VLOOKUP(L1224&amp;TEXT(I1224,"mmmm")&amp;YEAR(I1224),'[1]Detalle C-Fecha'!$D$2:$E$15921,2,FALSE)</f>
        <v>Expreso - Servicios Troncales</v>
      </c>
    </row>
    <row r="1225" spans="1:19" hidden="1" x14ac:dyDescent="0.3">
      <c r="A1225">
        <v>37526</v>
      </c>
      <c r="B1225" t="s">
        <v>28</v>
      </c>
      <c r="C1225" t="s">
        <v>124</v>
      </c>
      <c r="D1225" t="s">
        <v>23</v>
      </c>
      <c r="E1225" t="s">
        <v>295</v>
      </c>
      <c r="F1225" s="6" t="str">
        <f t="shared" si="19"/>
        <v>6ML</v>
      </c>
      <c r="G1225" s="1">
        <v>46224</v>
      </c>
      <c r="H1225" s="13">
        <v>0.48680555555555555</v>
      </c>
      <c r="I1225" s="1">
        <v>46223</v>
      </c>
      <c r="L1225" t="s">
        <v>166</v>
      </c>
      <c r="M1225" t="s">
        <v>142</v>
      </c>
      <c r="N1225" t="s">
        <v>17</v>
      </c>
      <c r="O1225" t="s">
        <v>25</v>
      </c>
      <c r="P1225">
        <v>31304</v>
      </c>
      <c r="Q1225" t="s">
        <v>123</v>
      </c>
      <c r="S1225" t="str">
        <f>VLOOKUP(L1225&amp;TEXT(I1225,"mmmm")&amp;YEAR(I1225),'[1]Detalle C-Fecha'!$D$2:$E$15921,2,FALSE)</f>
        <v>Expreso - Servicios Troncales</v>
      </c>
    </row>
    <row r="1226" spans="1:19" hidden="1" x14ac:dyDescent="0.3">
      <c r="A1226">
        <v>37543</v>
      </c>
      <c r="B1226" t="s">
        <v>28</v>
      </c>
      <c r="C1226" t="s">
        <v>15</v>
      </c>
      <c r="D1226" t="s">
        <v>16</v>
      </c>
      <c r="E1226" t="s">
        <v>35</v>
      </c>
      <c r="F1226" s="6" t="str">
        <f t="shared" si="19"/>
        <v>2ML</v>
      </c>
      <c r="G1226" s="1">
        <v>46224</v>
      </c>
      <c r="H1226" s="13">
        <v>0.59027777777777779</v>
      </c>
      <c r="I1226" s="1">
        <v>46224</v>
      </c>
      <c r="J1226" s="1">
        <v>46224</v>
      </c>
      <c r="K1226" s="1">
        <v>46224</v>
      </c>
      <c r="L1226" t="s">
        <v>61</v>
      </c>
      <c r="M1226" t="s">
        <v>204</v>
      </c>
      <c r="N1226" t="s">
        <v>31</v>
      </c>
      <c r="O1226" t="s">
        <v>25</v>
      </c>
      <c r="P1226">
        <v>31234</v>
      </c>
      <c r="Q1226" t="s">
        <v>19</v>
      </c>
      <c r="R1226">
        <v>45098</v>
      </c>
      <c r="S1226" t="str">
        <f>VLOOKUP(L1226&amp;TEXT(I1226,"mmmm")&amp;YEAR(I1226),'[1]Detalle C-Fecha'!$D$2:$E$15921,2,FALSE)</f>
        <v>Expreso - Servicios Troncales</v>
      </c>
    </row>
    <row r="1227" spans="1:19" hidden="1" x14ac:dyDescent="0.3">
      <c r="A1227">
        <v>37543</v>
      </c>
      <c r="B1227" t="s">
        <v>28</v>
      </c>
      <c r="C1227" t="s">
        <v>15</v>
      </c>
      <c r="D1227" t="s">
        <v>16</v>
      </c>
      <c r="E1227" t="s">
        <v>35</v>
      </c>
      <c r="F1227" s="6" t="str">
        <f t="shared" si="19"/>
        <v>2ML</v>
      </c>
      <c r="G1227" s="1">
        <v>46224</v>
      </c>
      <c r="H1227" s="13">
        <v>0.59027777777777779</v>
      </c>
      <c r="I1227" s="1">
        <v>46224</v>
      </c>
      <c r="J1227" s="1">
        <v>46224</v>
      </c>
      <c r="K1227" s="1">
        <v>46224</v>
      </c>
      <c r="L1227" t="s">
        <v>61</v>
      </c>
      <c r="M1227" t="s">
        <v>204</v>
      </c>
      <c r="N1227" t="s">
        <v>31</v>
      </c>
      <c r="O1227" t="s">
        <v>25</v>
      </c>
      <c r="P1227">
        <v>31234</v>
      </c>
      <c r="Q1227" t="s">
        <v>19</v>
      </c>
      <c r="R1227">
        <v>45099</v>
      </c>
      <c r="S1227" t="str">
        <f>VLOOKUP(L1227&amp;TEXT(I1227,"mmmm")&amp;YEAR(I1227),'[1]Detalle C-Fecha'!$D$2:$E$15921,2,FALSE)</f>
        <v>Expreso - Servicios Troncales</v>
      </c>
    </row>
    <row r="1228" spans="1:19" hidden="1" x14ac:dyDescent="0.3">
      <c r="A1228">
        <v>37549</v>
      </c>
      <c r="B1228" t="s">
        <v>28</v>
      </c>
      <c r="C1228" t="s">
        <v>124</v>
      </c>
      <c r="D1228" t="s">
        <v>23</v>
      </c>
      <c r="E1228" t="s">
        <v>52</v>
      </c>
      <c r="F1228" s="6" t="str">
        <f t="shared" si="19"/>
        <v>6MC</v>
      </c>
      <c r="G1228" s="1">
        <v>46224</v>
      </c>
      <c r="H1228" s="13">
        <v>0.6694444444444444</v>
      </c>
      <c r="I1228" s="1">
        <v>46224</v>
      </c>
      <c r="J1228" s="1">
        <v>46224</v>
      </c>
      <c r="K1228" s="1">
        <v>46224</v>
      </c>
      <c r="L1228" t="s">
        <v>296</v>
      </c>
      <c r="M1228" t="s">
        <v>290</v>
      </c>
      <c r="N1228" t="s">
        <v>208</v>
      </c>
      <c r="O1228" t="s">
        <v>27</v>
      </c>
      <c r="P1228">
        <v>31346</v>
      </c>
      <c r="Q1228" t="s">
        <v>123</v>
      </c>
      <c r="S1228" t="str">
        <f>VLOOKUP(L1228&amp;TEXT(I1228,"mmmm")&amp;YEAR(I1228),'[1]Detalle C-Fecha'!$D$2:$E$15921,2,FALSE)</f>
        <v>CCUCoAZA</v>
      </c>
    </row>
    <row r="1229" spans="1:19" hidden="1" x14ac:dyDescent="0.3">
      <c r="A1229">
        <v>37759</v>
      </c>
      <c r="B1229" t="s">
        <v>28</v>
      </c>
      <c r="C1229" t="s">
        <v>15</v>
      </c>
      <c r="D1229" t="s">
        <v>16</v>
      </c>
      <c r="E1229" t="s">
        <v>35</v>
      </c>
      <c r="F1229" s="6" t="str">
        <f t="shared" si="19"/>
        <v>2ML</v>
      </c>
      <c r="G1229" s="1">
        <v>46225</v>
      </c>
      <c r="H1229" s="13">
        <v>0.42569444444444443</v>
      </c>
      <c r="I1229" s="1">
        <v>46225</v>
      </c>
      <c r="J1229" s="1">
        <v>46225</v>
      </c>
      <c r="K1229" s="1">
        <v>46225</v>
      </c>
      <c r="L1229" t="s">
        <v>219</v>
      </c>
      <c r="M1229" t="s">
        <v>126</v>
      </c>
      <c r="N1229" t="s">
        <v>31</v>
      </c>
      <c r="O1229" t="s">
        <v>25</v>
      </c>
      <c r="P1229">
        <v>31373</v>
      </c>
      <c r="Q1229" t="s">
        <v>19</v>
      </c>
      <c r="R1229">
        <v>45086</v>
      </c>
      <c r="S1229" t="str">
        <f>VLOOKUP(L1229&amp;TEXT(I1229,"mmmm")&amp;YEAR(I1229),'[1]Detalle C-Fecha'!$D$2:$E$15921,2,FALSE)</f>
        <v>Expreso - Servicios Troncales</v>
      </c>
    </row>
    <row r="1230" spans="1:19" hidden="1" x14ac:dyDescent="0.3">
      <c r="A1230">
        <v>37759</v>
      </c>
      <c r="B1230" t="s">
        <v>28</v>
      </c>
      <c r="C1230" t="s">
        <v>15</v>
      </c>
      <c r="D1230" t="s">
        <v>16</v>
      </c>
      <c r="E1230" t="s">
        <v>35</v>
      </c>
      <c r="F1230" s="6" t="str">
        <f t="shared" si="19"/>
        <v>2ML</v>
      </c>
      <c r="G1230" s="1">
        <v>46225</v>
      </c>
      <c r="H1230" s="13">
        <v>0.42569444444444443</v>
      </c>
      <c r="I1230" s="1">
        <v>46225</v>
      </c>
      <c r="J1230" s="1">
        <v>46225</v>
      </c>
      <c r="K1230" s="1">
        <v>46225</v>
      </c>
      <c r="L1230" t="s">
        <v>219</v>
      </c>
      <c r="M1230" t="s">
        <v>126</v>
      </c>
      <c r="N1230" t="s">
        <v>31</v>
      </c>
      <c r="O1230" t="s">
        <v>25</v>
      </c>
      <c r="P1230">
        <v>31373</v>
      </c>
      <c r="Q1230" t="s">
        <v>19</v>
      </c>
      <c r="R1230">
        <v>45087</v>
      </c>
      <c r="S1230" t="str">
        <f>VLOOKUP(L1230&amp;TEXT(I1230,"mmmm")&amp;YEAR(I1230),'[1]Detalle C-Fecha'!$D$2:$E$15921,2,FALSE)</f>
        <v>Expreso - Servicios Troncales</v>
      </c>
    </row>
    <row r="1231" spans="1:19" hidden="1" x14ac:dyDescent="0.3">
      <c r="A1231">
        <v>37760</v>
      </c>
      <c r="B1231" t="s">
        <v>28</v>
      </c>
      <c r="C1231" t="s">
        <v>15</v>
      </c>
      <c r="D1231" t="s">
        <v>16</v>
      </c>
      <c r="E1231" t="s">
        <v>47</v>
      </c>
      <c r="F1231" s="6" t="str">
        <f t="shared" si="19"/>
        <v>3ML</v>
      </c>
      <c r="G1231" s="1">
        <v>46225</v>
      </c>
      <c r="H1231" s="13">
        <v>0.42569444444444443</v>
      </c>
      <c r="I1231" s="1">
        <v>46225</v>
      </c>
      <c r="J1231" s="1">
        <v>46225</v>
      </c>
      <c r="K1231" s="1">
        <v>46225</v>
      </c>
      <c r="L1231" t="s">
        <v>219</v>
      </c>
      <c r="M1231" t="s">
        <v>126</v>
      </c>
      <c r="N1231" t="s">
        <v>31</v>
      </c>
      <c r="O1231" t="s">
        <v>25</v>
      </c>
      <c r="P1231">
        <v>31374</v>
      </c>
      <c r="Q1231" t="s">
        <v>19</v>
      </c>
      <c r="R1231">
        <v>45088</v>
      </c>
      <c r="S1231" t="str">
        <f>VLOOKUP(L1231&amp;TEXT(I1231,"mmmm")&amp;YEAR(I1231),'[1]Detalle C-Fecha'!$D$2:$E$15921,2,FALSE)</f>
        <v>Expreso - Servicios Troncales</v>
      </c>
    </row>
    <row r="1232" spans="1:19" hidden="1" x14ac:dyDescent="0.3">
      <c r="A1232">
        <v>37760</v>
      </c>
      <c r="B1232" t="s">
        <v>28</v>
      </c>
      <c r="C1232" t="s">
        <v>15</v>
      </c>
      <c r="D1232" t="s">
        <v>16</v>
      </c>
      <c r="E1232" t="s">
        <v>47</v>
      </c>
      <c r="F1232" s="6" t="str">
        <f t="shared" si="19"/>
        <v>3ML</v>
      </c>
      <c r="G1232" s="1">
        <v>46225</v>
      </c>
      <c r="H1232" s="13">
        <v>0.42569444444444443</v>
      </c>
      <c r="I1232" s="1">
        <v>46225</v>
      </c>
      <c r="J1232" s="1">
        <v>46225</v>
      </c>
      <c r="K1232" s="1">
        <v>46225</v>
      </c>
      <c r="L1232" t="s">
        <v>219</v>
      </c>
      <c r="M1232" t="s">
        <v>126</v>
      </c>
      <c r="N1232" t="s">
        <v>31</v>
      </c>
      <c r="O1232" t="s">
        <v>25</v>
      </c>
      <c r="P1232">
        <v>31374</v>
      </c>
      <c r="Q1232" t="s">
        <v>19</v>
      </c>
      <c r="R1232">
        <v>45089</v>
      </c>
      <c r="S1232" t="str">
        <f>VLOOKUP(L1232&amp;TEXT(I1232,"mmmm")&amp;YEAR(I1232),'[1]Detalle C-Fecha'!$D$2:$E$15921,2,FALSE)</f>
        <v>Expreso - Servicios Troncales</v>
      </c>
    </row>
    <row r="1233" spans="1:19" hidden="1" x14ac:dyDescent="0.3">
      <c r="A1233">
        <v>37761</v>
      </c>
      <c r="B1233" t="s">
        <v>28</v>
      </c>
      <c r="C1233" t="s">
        <v>15</v>
      </c>
      <c r="D1233" t="s">
        <v>16</v>
      </c>
      <c r="E1233" t="s">
        <v>46</v>
      </c>
      <c r="F1233" s="6" t="str">
        <f t="shared" si="19"/>
        <v>6ML</v>
      </c>
      <c r="G1233" s="1">
        <v>46225</v>
      </c>
      <c r="H1233" s="13">
        <v>0.49513888888888885</v>
      </c>
      <c r="I1233" s="1">
        <v>46225</v>
      </c>
      <c r="J1233" s="1">
        <v>46225</v>
      </c>
      <c r="K1233" s="1">
        <v>46225</v>
      </c>
      <c r="L1233" t="s">
        <v>219</v>
      </c>
      <c r="M1233" t="s">
        <v>126</v>
      </c>
      <c r="N1233" t="s">
        <v>31</v>
      </c>
      <c r="O1233" t="s">
        <v>25</v>
      </c>
      <c r="P1233">
        <v>31375</v>
      </c>
      <c r="Q1233" t="s">
        <v>19</v>
      </c>
      <c r="R1233">
        <v>45090</v>
      </c>
      <c r="S1233" t="str">
        <f>VLOOKUP(L1233&amp;TEXT(I1233,"mmmm")&amp;YEAR(I1233),'[1]Detalle C-Fecha'!$D$2:$E$15921,2,FALSE)</f>
        <v>Expreso - Servicios Troncales</v>
      </c>
    </row>
    <row r="1234" spans="1:19" hidden="1" x14ac:dyDescent="0.3">
      <c r="A1234">
        <v>37761</v>
      </c>
      <c r="B1234" t="s">
        <v>28</v>
      </c>
      <c r="C1234" t="s">
        <v>15</v>
      </c>
      <c r="D1234" t="s">
        <v>16</v>
      </c>
      <c r="E1234" t="s">
        <v>46</v>
      </c>
      <c r="F1234" s="6" t="str">
        <f t="shared" si="19"/>
        <v>6ML</v>
      </c>
      <c r="G1234" s="1">
        <v>46225</v>
      </c>
      <c r="H1234" s="13">
        <v>0.49513888888888885</v>
      </c>
      <c r="I1234" s="1">
        <v>46225</v>
      </c>
      <c r="J1234" s="1">
        <v>46225</v>
      </c>
      <c r="K1234" s="1">
        <v>46225</v>
      </c>
      <c r="L1234" t="s">
        <v>219</v>
      </c>
      <c r="M1234" t="s">
        <v>126</v>
      </c>
      <c r="N1234" t="s">
        <v>31</v>
      </c>
      <c r="O1234" t="s">
        <v>25</v>
      </c>
      <c r="P1234">
        <v>31375</v>
      </c>
      <c r="Q1234" t="s">
        <v>19</v>
      </c>
      <c r="R1234">
        <v>45091</v>
      </c>
      <c r="S1234" t="str">
        <f>VLOOKUP(L1234&amp;TEXT(I1234,"mmmm")&amp;YEAR(I1234),'[1]Detalle C-Fecha'!$D$2:$E$15921,2,FALSE)</f>
        <v>Expreso - Servicios Troncales</v>
      </c>
    </row>
    <row r="1235" spans="1:19" hidden="1" x14ac:dyDescent="0.3">
      <c r="A1235">
        <v>37791</v>
      </c>
      <c r="B1235" t="s">
        <v>28</v>
      </c>
      <c r="C1235" t="s">
        <v>124</v>
      </c>
      <c r="D1235" t="s">
        <v>23</v>
      </c>
      <c r="E1235" t="s">
        <v>35</v>
      </c>
      <c r="F1235" s="6" t="str">
        <f t="shared" si="19"/>
        <v>2ML</v>
      </c>
      <c r="G1235" s="1">
        <v>46226</v>
      </c>
      <c r="H1235" s="13">
        <v>0.64513888888888882</v>
      </c>
      <c r="I1235" s="1">
        <v>46225</v>
      </c>
      <c r="L1235" t="s">
        <v>297</v>
      </c>
      <c r="M1235" t="s">
        <v>163</v>
      </c>
      <c r="N1235" t="s">
        <v>17</v>
      </c>
      <c r="O1235" t="s">
        <v>25</v>
      </c>
      <c r="P1235">
        <v>31403</v>
      </c>
      <c r="Q1235" t="s">
        <v>123</v>
      </c>
      <c r="S1235" t="str">
        <f>VLOOKUP(L1235&amp;TEXT(I1235,"mmmm")&amp;YEAR(I1235),'[1]Detalle C-Fecha'!$D$2:$E$15921,2,FALSE)</f>
        <v>Expreso - Servicios Troncales</v>
      </c>
    </row>
    <row r="1236" spans="1:19" hidden="1" x14ac:dyDescent="0.3">
      <c r="A1236">
        <v>37792</v>
      </c>
      <c r="B1236" t="s">
        <v>28</v>
      </c>
      <c r="C1236" t="s">
        <v>124</v>
      </c>
      <c r="D1236" t="s">
        <v>23</v>
      </c>
      <c r="E1236" t="s">
        <v>47</v>
      </c>
      <c r="F1236" s="6" t="str">
        <f t="shared" si="19"/>
        <v>3ML</v>
      </c>
      <c r="G1236" s="1">
        <v>46226</v>
      </c>
      <c r="H1236" s="13">
        <v>0.64513888888888882</v>
      </c>
      <c r="I1236" s="1">
        <v>46225</v>
      </c>
      <c r="L1236" t="s">
        <v>297</v>
      </c>
      <c r="M1236" t="s">
        <v>163</v>
      </c>
      <c r="N1236" t="s">
        <v>17</v>
      </c>
      <c r="O1236" t="s">
        <v>25</v>
      </c>
      <c r="P1236">
        <v>31404</v>
      </c>
      <c r="Q1236" t="s">
        <v>123</v>
      </c>
      <c r="S1236" t="str">
        <f>VLOOKUP(L1236&amp;TEXT(I1236,"mmmm")&amp;YEAR(I1236),'[1]Detalle C-Fecha'!$D$2:$E$15921,2,FALSE)</f>
        <v>Expreso - Servicios Troncales</v>
      </c>
    </row>
    <row r="1237" spans="1:19" hidden="1" x14ac:dyDescent="0.3">
      <c r="A1237">
        <v>37794</v>
      </c>
      <c r="B1237" t="s">
        <v>28</v>
      </c>
      <c r="C1237" t="s">
        <v>124</v>
      </c>
      <c r="D1237" t="s">
        <v>23</v>
      </c>
      <c r="E1237" t="s">
        <v>46</v>
      </c>
      <c r="F1237" s="6" t="str">
        <f t="shared" si="19"/>
        <v>6ML</v>
      </c>
      <c r="G1237" s="1">
        <v>46226</v>
      </c>
      <c r="H1237" s="13">
        <v>0.65625</v>
      </c>
      <c r="I1237" s="1">
        <v>46225</v>
      </c>
      <c r="L1237" t="s">
        <v>297</v>
      </c>
      <c r="M1237" t="s">
        <v>163</v>
      </c>
      <c r="N1237" t="s">
        <v>17</v>
      </c>
      <c r="O1237" t="s">
        <v>25</v>
      </c>
      <c r="P1237">
        <v>31406</v>
      </c>
      <c r="Q1237" t="s">
        <v>123</v>
      </c>
      <c r="S1237" t="str">
        <f>VLOOKUP(L1237&amp;TEXT(I1237,"mmmm")&amp;YEAR(I1237),'[1]Detalle C-Fecha'!$D$2:$E$15921,2,FALSE)</f>
        <v>Expreso - Servicios Troncales</v>
      </c>
    </row>
    <row r="1238" spans="1:19" hidden="1" x14ac:dyDescent="0.3">
      <c r="A1238">
        <v>37799</v>
      </c>
      <c r="B1238" t="s">
        <v>28</v>
      </c>
      <c r="C1238" t="s">
        <v>124</v>
      </c>
      <c r="D1238" t="s">
        <v>23</v>
      </c>
      <c r="E1238" t="s">
        <v>51</v>
      </c>
      <c r="F1238" s="6" t="str">
        <f t="shared" si="19"/>
        <v>2MC</v>
      </c>
      <c r="G1238" s="1">
        <v>46226</v>
      </c>
      <c r="H1238" s="13">
        <v>0.67499999999999993</v>
      </c>
      <c r="I1238" s="1">
        <v>46226</v>
      </c>
      <c r="J1238" s="1"/>
      <c r="K1238" s="1"/>
      <c r="L1238" t="s">
        <v>298</v>
      </c>
      <c r="M1238">
        <v>1624</v>
      </c>
      <c r="N1238" t="s">
        <v>17</v>
      </c>
      <c r="O1238" t="s">
        <v>24</v>
      </c>
      <c r="P1238">
        <v>31408</v>
      </c>
      <c r="Q1238" t="s">
        <v>123</v>
      </c>
      <c r="S1238" t="str">
        <f>VLOOKUP(L1238&amp;TEXT(I1238,"mmmm")&amp;YEAR(I1238),'[1]Detalle C-Fecha'!$D$2:$E$15921,2,FALSE)</f>
        <v>Sin Operación</v>
      </c>
    </row>
    <row r="1239" spans="1:19" hidden="1" x14ac:dyDescent="0.3">
      <c r="A1239">
        <v>37800</v>
      </c>
      <c r="B1239" t="s">
        <v>28</v>
      </c>
      <c r="C1239" t="s">
        <v>124</v>
      </c>
      <c r="D1239" t="s">
        <v>23</v>
      </c>
      <c r="E1239" t="s">
        <v>53</v>
      </c>
      <c r="F1239" s="6" t="str">
        <f t="shared" si="19"/>
        <v>3MC</v>
      </c>
      <c r="G1239" s="1">
        <v>46226</v>
      </c>
      <c r="H1239" s="13">
        <v>0.67499999999999993</v>
      </c>
      <c r="I1239" s="1">
        <v>46226</v>
      </c>
      <c r="J1239" s="1"/>
      <c r="K1239" s="1"/>
      <c r="L1239" t="s">
        <v>298</v>
      </c>
      <c r="M1239">
        <v>1624</v>
      </c>
      <c r="N1239" t="s">
        <v>17</v>
      </c>
      <c r="O1239" t="s">
        <v>24</v>
      </c>
      <c r="P1239">
        <v>31409</v>
      </c>
      <c r="Q1239" t="s">
        <v>123</v>
      </c>
      <c r="S1239" t="str">
        <f>VLOOKUP(L1239&amp;TEXT(I1239,"mmmm")&amp;YEAR(I1239),'[1]Detalle C-Fecha'!$D$2:$E$15921,2,FALSE)</f>
        <v>Sin Operación</v>
      </c>
    </row>
    <row r="1240" spans="1:19" hidden="1" x14ac:dyDescent="0.3">
      <c r="A1240">
        <v>37801</v>
      </c>
      <c r="B1240" t="s">
        <v>28</v>
      </c>
      <c r="C1240" t="s">
        <v>124</v>
      </c>
      <c r="D1240" t="s">
        <v>23</v>
      </c>
      <c r="E1240" t="s">
        <v>52</v>
      </c>
      <c r="F1240" s="6" t="str">
        <f t="shared" si="19"/>
        <v>6MC</v>
      </c>
      <c r="G1240" s="1">
        <v>46226</v>
      </c>
      <c r="H1240" s="13">
        <v>0.67499999999999993</v>
      </c>
      <c r="I1240" s="1">
        <v>46226</v>
      </c>
      <c r="J1240" s="1"/>
      <c r="K1240" s="1"/>
      <c r="L1240" t="s">
        <v>298</v>
      </c>
      <c r="M1240">
        <v>1624</v>
      </c>
      <c r="N1240" t="s">
        <v>17</v>
      </c>
      <c r="O1240" t="s">
        <v>24</v>
      </c>
      <c r="P1240">
        <v>31410</v>
      </c>
      <c r="Q1240" t="s">
        <v>123</v>
      </c>
      <c r="S1240" t="str">
        <f>VLOOKUP(L1240&amp;TEXT(I1240,"mmmm")&amp;YEAR(I1240),'[1]Detalle C-Fecha'!$D$2:$E$15921,2,FALSE)</f>
        <v>Sin Operación</v>
      </c>
    </row>
    <row r="1241" spans="1:19" hidden="1" x14ac:dyDescent="0.3">
      <c r="A1241">
        <v>37804</v>
      </c>
      <c r="B1241" t="s">
        <v>28</v>
      </c>
      <c r="C1241" t="s">
        <v>124</v>
      </c>
      <c r="D1241" t="s">
        <v>23</v>
      </c>
      <c r="E1241" t="s">
        <v>118</v>
      </c>
      <c r="F1241" s="6" t="str">
        <f t="shared" si="19"/>
        <v>2ML</v>
      </c>
      <c r="G1241" s="1">
        <v>46226</v>
      </c>
      <c r="H1241" s="13">
        <v>0.68958333333333333</v>
      </c>
      <c r="I1241" s="1">
        <v>46226</v>
      </c>
      <c r="J1241" s="1"/>
      <c r="K1241" s="1"/>
      <c r="L1241" t="s">
        <v>65</v>
      </c>
      <c r="M1241" t="s">
        <v>142</v>
      </c>
      <c r="N1241" t="s">
        <v>17</v>
      </c>
      <c r="O1241" t="s">
        <v>25</v>
      </c>
      <c r="P1241">
        <v>31413</v>
      </c>
      <c r="Q1241" t="s">
        <v>123</v>
      </c>
      <c r="S1241" t="str">
        <f>VLOOKUP(L1241&amp;TEXT(I1241,"mmmm")&amp;YEAR(I1241),'[1]Detalle C-Fecha'!$D$2:$E$15921,2,FALSE)</f>
        <v>Expreso - Servicios Troncales</v>
      </c>
    </row>
    <row r="1242" spans="1:19" hidden="1" x14ac:dyDescent="0.3">
      <c r="A1242">
        <v>37805</v>
      </c>
      <c r="B1242" t="s">
        <v>28</v>
      </c>
      <c r="C1242" t="s">
        <v>124</v>
      </c>
      <c r="D1242" t="s">
        <v>23</v>
      </c>
      <c r="E1242" t="s">
        <v>119</v>
      </c>
      <c r="F1242" s="6" t="str">
        <f t="shared" si="19"/>
        <v>3ML</v>
      </c>
      <c r="G1242" s="1">
        <v>46226</v>
      </c>
      <c r="H1242" s="13">
        <v>0.68958333333333333</v>
      </c>
      <c r="I1242" s="1">
        <v>46226</v>
      </c>
      <c r="J1242" s="1"/>
      <c r="K1242" s="1"/>
      <c r="L1242" t="s">
        <v>65</v>
      </c>
      <c r="M1242" t="s">
        <v>142</v>
      </c>
      <c r="N1242" t="s">
        <v>17</v>
      </c>
      <c r="O1242" t="s">
        <v>25</v>
      </c>
      <c r="P1242">
        <v>31414</v>
      </c>
      <c r="Q1242" t="s">
        <v>123</v>
      </c>
      <c r="S1242" t="str">
        <f>VLOOKUP(L1242&amp;TEXT(I1242,"mmmm")&amp;YEAR(I1242),'[1]Detalle C-Fecha'!$D$2:$E$15921,2,FALSE)</f>
        <v>Expreso - Servicios Troncales</v>
      </c>
    </row>
    <row r="1243" spans="1:19" hidden="1" x14ac:dyDescent="0.3">
      <c r="A1243">
        <v>37806</v>
      </c>
      <c r="B1243" t="s">
        <v>28</v>
      </c>
      <c r="C1243" t="s">
        <v>124</v>
      </c>
      <c r="D1243" t="s">
        <v>23</v>
      </c>
      <c r="E1243" t="s">
        <v>120</v>
      </c>
      <c r="F1243" s="6" t="str">
        <f t="shared" si="19"/>
        <v>6ML</v>
      </c>
      <c r="G1243" s="1">
        <v>46226</v>
      </c>
      <c r="H1243" s="13">
        <v>0.68958333333333333</v>
      </c>
      <c r="I1243" s="1">
        <v>46226</v>
      </c>
      <c r="L1243" t="s">
        <v>65</v>
      </c>
      <c r="M1243" t="s">
        <v>142</v>
      </c>
      <c r="N1243" t="s">
        <v>17</v>
      </c>
      <c r="O1243" t="s">
        <v>25</v>
      </c>
      <c r="P1243">
        <v>31415</v>
      </c>
      <c r="Q1243" t="s">
        <v>123</v>
      </c>
      <c r="S1243" t="str">
        <f>VLOOKUP(L1243&amp;TEXT(I1243,"mmmm")&amp;YEAR(I1243),'[1]Detalle C-Fecha'!$D$2:$E$15921,2,FALSE)</f>
        <v>Expreso - Servicios Troncales</v>
      </c>
    </row>
  </sheetData>
  <autoFilter ref="A1:S1243">
    <filterColumn colId="5">
      <filters>
        <filter val="2MC"/>
        <filter val="2ML"/>
      </filters>
    </filterColumn>
    <filterColumn colId="8">
      <filters>
        <dateGroupItem year="2026" month="7" dateTimeGrouping="month"/>
      </filters>
    </filterColumn>
    <filterColumn colId="13">
      <filters>
        <filter val="CIUD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2026-07-30T15:37:51Z</dcterms:modified>
</cp:coreProperties>
</file>